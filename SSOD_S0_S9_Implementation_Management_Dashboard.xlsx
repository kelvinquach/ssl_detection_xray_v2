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a406baa15a43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4" r:id="R85b76e6da4a9461d"/>
    <x:sheet xmlns:r="http://schemas.openxmlformats.org/officeDocument/2006/relationships" name="Lists" sheetId="1" r:id="R66dec4ab94534a6b"/>
    <x:sheet xmlns:r="http://schemas.openxmlformats.org/officeDocument/2006/relationships" name="Detailed_Tasks" sheetId="2" r:id="R50d50946cd324afa"/>
    <x:sheet xmlns:r="http://schemas.openxmlformats.org/officeDocument/2006/relationships" name="Stage_Status" sheetId="3" r:id="Re326853993f24a9e"/>
    <x:sheet xmlns:r="http://schemas.openxmlformats.org/officeDocument/2006/relationships" name="Evidence_Register" sheetId="5" r:id="R45743e94bbbd4cec"/>
    <x:sheet xmlns:r="http://schemas.openxmlformats.org/officeDocument/2006/relationships" name="Risks_Blockers" sheetId="6" r:id="Rda63a0e296d44774"/>
    <x:sheet xmlns:r="http://schemas.openxmlformats.org/officeDocument/2006/relationships" name="S9_Official_Matrix" sheetId="7" r:id="Rc80b9855dee34d6c"/>
    <x:sheet xmlns:r="http://schemas.openxmlformats.org/officeDocument/2006/relationships" name="Reference_Locks" sheetId="8" r:id="Reae743f8ec7b41ca"/>
    <x:sheet xmlns:r="http://schemas.openxmlformats.org/officeDocument/2006/relationships" name="Source_Map" sheetId="9" r:id="R99f19e38c8294886"/>
  </x:sheets>
</x:workbook>
</file>

<file path=xl/sharedStrings.xml><?xml version="1.0" encoding="utf-8"?>
<x:sst xmlns:x="http://schemas.openxmlformats.org/spreadsheetml/2006/main">
  <x:si>
    <x:t xml:space="preserve">SSOD IMPLEMENTATION CONTROL DASHBOARD — S0 → S9</x:t>
  </x:si>
  <x:si>
    <x:t xml:space="preserve">OVERALL PROGRESS</x:t>
  </x:si>
  <x:si>
    <x:t xml:space="preserve">TASKS PASS</x:t>
  </x:si>
  <x:si>
    <x:t xml:space="preserve">FAIL / BLOCKED</x:t>
  </x:si>
  <x:si>
    <x:t xml:space="preserve">S9 AUTHORIZED?</x:t>
  </x:si>
  <x:si>
    <x:t xml:space="preserve">CURRENT EXECUTION STATE</x:t>
  </x:si>
  <x:si>
    <x:t xml:space="preserve">Current Stage</x:t>
  </x:si>
  <x:si>
    <x:t xml:space="preserve">Stage Status</x:t>
  </x:si>
  <x:si>
    <x:t xml:space="preserve">Next Gate</x:t>
  </x:si>
  <x:si>
    <x:t xml:space="preserve">STAGE STATUS TABLE</x:t>
  </x:si>
  <x:si>
    <x:t xml:space="preserve">Stage</x:t>
  </x:si>
  <x:si>
    <x:t xml:space="preserve">Name</x:t>
  </x:si>
  <x:si>
    <x:t xml:space="preserve">Status</x:t>
  </x:si>
  <x:si>
    <x:t xml:space="preserve">Progress</x:t>
  </x:si>
  <x:si>
    <x:t xml:space="preserve">PASS</x:t>
  </x:si>
  <x:si>
    <x:t xml:space="preserve">Total</x:t>
  </x:si>
  <x:si>
    <x:t xml:space="preserve">HARD-GATE MONITOR</x:t>
  </x:si>
  <x:si>
    <x:t xml:space="preserve">S7 PASS Tasks</x:t>
  </x:si>
  <x:si>
    <x:t xml:space="preserve">S7 Total Tasks</x:t>
  </x:si>
  <x:si>
    <x:t xml:space="preserve">S7 FAIL/BLOCKED</x:t>
  </x:si>
  <x:si>
    <x:t xml:space="preserve">S8 Status</x:t>
  </x:si>
  <x:si>
    <x:t xml:space="preserve">S9 Status</x:t>
  </x:si>
  <x:si>
    <x:t xml:space="preserve">Task Status</x:t>
  </x:si>
  <x:si>
    <x:t xml:space="preserve">Priority</x:t>
  </x:si>
  <x:si>
    <x:t xml:space="preserve">Owner</x:t>
  </x:si>
  <x:si>
    <x:t xml:space="preserve">NOT_STARTED</x:t>
  </x:si>
  <x:si>
    <x:t xml:space="preserve">NOT_OPEN</x:t>
  </x:si>
  <x:si>
    <x:t xml:space="preserve">CRITICAL</x:t>
  </x:si>
  <x:si>
    <x:t xml:space="preserve">Researcher</x:t>
  </x:si>
  <x:si>
    <x:t xml:space="preserve">IN_PROGRESS</x:t>
  </x:si>
  <x:si>
    <x:t xml:space="preserve">HIGH</x:t>
  </x:si>
  <x:si>
    <x:t xml:space="preserve">ChatGPT Support</x:t>
  </x:si>
  <x:si>
    <x:t xml:space="preserve">CLOSED / PASS</x:t>
  </x:si>
  <x:si>
    <x:t xml:space="preserve">MEDIUM</x:t>
  </x:si>
  <x:si>
    <x:t xml:space="preserve">Engineer Support</x:t>
  </x:si>
  <x:si>
    <x:t xml:space="preserve">FAIL</x:t>
  </x:si>
  <x:si>
    <x:t xml:space="preserve">BLOCKED / FAIL</x:t>
  </x:si>
  <x:si>
    <x:t xml:space="preserve">LOW</x:t>
  </x:si>
  <x:si>
    <x:t xml:space="preserve">Researcher + Support</x:t>
  </x:si>
  <x:si>
    <x:t xml:space="preserve">BLOCKED</x:t>
  </x:si>
  <x:si>
    <x:t xml:space="preserve">NOT_AUTHORIZED</x:t>
  </x:si>
  <x:si>
    <x:t xml:space="preserve">NOT_APPLICABLE</x:t>
  </x:si>
  <x:si>
    <x:t xml:space="preserve">Task ID</x:t>
  </x:si>
  <x:si>
    <x:t xml:space="preserve">Category</x:t>
  </x:si>
  <x:si>
    <x:t xml:space="preserve">Task / Action</x:t>
  </x:si>
  <x:si>
    <x:t xml:space="preserve">Requirement / Locked Rule</x:t>
  </x:si>
  <x:si>
    <x:t xml:space="preserve">Primary Source</x:t>
  </x:si>
  <x:si>
    <x:t xml:space="preserve">Evidence / Artifact Path</x:t>
  </x:si>
  <x:si>
    <x:t xml:space="preserve">Expected Result / Gate</x:t>
  </x:si>
  <x:si>
    <x:t xml:space="preserve">Start Date</x:t>
  </x:si>
  <x:si>
    <x:t xml:space="preserve">Due Date</x:t>
  </x:si>
  <x:si>
    <x:t xml:space="preserve">Completed Date</x:t>
  </x:si>
  <x:si>
    <x:t xml:space="preserve">Blocker / Dependency</x:t>
  </x:si>
  <x:si>
    <x:t xml:space="preserve">Notes</x:t>
  </x:si>
  <x:si>
    <x:t xml:space="preserve">S0</x:t>
  </x:si>
  <x:si>
    <x:t xml:space="preserve">S0.01</x:t>
  </x:si>
  <x:si>
    <x:t xml:space="preserve">Governance</x:t>
  </x:si>
  <x:si>
    <x:t xml:space="preserve">Verify canonical filename: sn-article.tex</x:t>
  </x:si>
  <x:si>
    <x:t xml:space="preserve">Canonical scientific source filename must be sn-article.tex.</x:t>
  </x:si>
  <x:si>
    <x:t xml:space="preserve">sn-article.tex / ARTIFACT_AND_EVIDENCE_CONTRACT.md</x:t>
  </x:si>
  <x:si>
    <x:t xml:space="preserve">Repository root</x:t>
  </x:si>
  <x:si>
    <x:t xml:space="preserve">Canonical filename present</x:t>
  </x:si>
  <x:si>
    <x:t xml:space="preserve">S0.02</x:t>
  </x:si>
  <x:si>
    <x:t xml:space="preserve">Verify SHA-256: sn-article.tex</x:t>
  </x:si>
  <x:si>
    <x:t xml:space="preserve">Must match locked scientific-source SHA-256.</x:t>
  </x:si>
  <x:si>
    <x:t xml:space="preserve">ARTIFACT_AND_EVIDENCE_CONTRACT.md</x:t>
  </x:si>
  <x:si>
    <x:t xml:space="preserve">a5f63ff018ee28a37ad2daa3fff337daf6b30faf34d9f12c6ff5c0fa92fe5237</x:t>
  </x:si>
  <x:si>
    <x:t xml:space="preserve">Hash MATCH</x:t>
  </x:si>
  <x:si>
    <x:t xml:space="preserve">S0.03</x:t>
  </x:si>
  <x:si>
    <x:t xml:space="preserve">Verify SHA-256: IMPLEMENTATION_HANDOFF.md</x:t>
  </x:si>
  <x:si>
    <x:t xml:space="preserve">Must match locked implementation handoff SHA-256.</x:t>
  </x:si>
  <x:si>
    <x:t xml:space="preserve">d70e556d45f4a54a5e0498842b4932deef7991de0d986095ec85e546dcc2d026</x:t>
  </x:si>
  <x:si>
    <x:t xml:space="preserve">S0.04</x:t>
  </x:si>
  <x:si>
    <x:t xml:space="preserve">Verify SHA-256: ARTIFACT_AND_EVIDENCE_CONTRACT.md</x:t>
  </x:si>
  <x:si>
    <x:t xml:space="preserve">Must match locked artifact contract SHA-256.</x:t>
  </x:si>
  <x:si>
    <x:t xml:space="preserve">6f59fe4c097173fe0114763762dd191a6f3590caa57b28199b8bcf5100563639</x:t>
  </x:si>
  <x:si>
    <x:t xml:space="preserve">S0.05</x:t>
  </x:si>
  <x:si>
    <x:t xml:space="preserve">Verify source priority hierarchy</x:t>
  </x:si>
  <x:si>
    <x:t xml:space="preserve">sn-article.tex &gt; IMPLEMENTATION_HANDOFF.md &gt; ARTIFACT_AND_EVIDENCE_CONTRACT.md &gt; execution tracker &gt; code/config/runtime.</x:t>
  </x:si>
  <x:si>
    <x:t xml:space="preserve">Governance section</x:t>
  </x:si>
  <x:si>
    <x:t xml:space="preserve">Priority order confirmed</x:t>
  </x:si>
  <x:si>
    <x:t xml:space="preserve">S0.06</x:t>
  </x:si>
  <x:si>
    <x:t xml:space="preserve">Git</x:t>
  </x:si>
  <x:si>
    <x:t xml:space="preserve">Record current Git branch and HEAD commit</x:t>
  </x:si>
  <x:si>
    <x:t xml:space="preserve">Capture branch/commit before implementation baseline.</x:t>
  </x:si>
  <x:si>
    <x:t xml:space="preserve">S0.07</x:t>
  </x:si>
  <x:si>
    <x:t xml:space="preserve">Create scientific_source_manifest.json</x:t>
  </x:si>
  <x:si>
    <x:t xml:space="preserve">Record canonical source name/hash and lock state.</x:t>
  </x:si>
  <x:si>
    <x:t xml:space="preserve">artifacts/governance/scientific_source_manifest.json</x:t>
  </x:si>
  <x:si>
    <x:t xml:space="preserve">Schema valid + hash correct</x:t>
  </x:si>
  <x:si>
    <x:t xml:space="preserve">S0.08</x:t>
  </x:si>
  <x:si>
    <x:t xml:space="preserve">Create implementation_contract_manifest.json</x:t>
  </x:si>
  <x:si>
    <x:t xml:space="preserve">Record handoff name/hash and source hierarchy.</x:t>
  </x:si>
  <x:si>
    <x:t xml:space="preserve">artifacts/governance/implementation_contract_manifest.json</x:t>
  </x:si>
  <x:si>
    <x:t xml:space="preserve">S0.09</x:t>
  </x:si>
  <x:si>
    <x:t xml:space="preserve">Create artifact_contract_manifest.json</x:t>
  </x:si>
  <x:si>
    <x:t xml:space="preserve">Record artifact contract version/schema/hash.</x:t>
  </x:si>
  <x:si>
    <x:t xml:space="preserve">artifacts/governance/artifact_contract_manifest.json</x:t>
  </x:si>
  <x:si>
    <x:t xml:space="preserve">S0.10</x:t>
  </x:si>
  <x:si>
    <x:t xml:space="preserve">Create schema_version.json</x:t>
  </x:si>
  <x:si>
    <x:t xml:space="preserve">Record governance/artifact schema versions.</x:t>
  </x:si>
  <x:si>
    <x:t xml:space="preserve">artifacts/governance/schema_version.json</x:t>
  </x:si>
  <x:si>
    <x:t xml:space="preserve">Schema parse PASS</x:t>
  </x:si>
  <x:si>
    <x:t xml:space="preserve">S0.11</x:t>
  </x:si>
  <x:si>
    <x:t xml:space="preserve">S0.12</x:t>
  </x:si>
  <x:si>
    <x:t xml:space="preserve">Create pre-implementation baseline commit</x:t>
  </x:si>
  <x:si>
    <x:t xml:space="preserve">Commit intentional pre-code governance state; no model implementation.</x:t>
  </x:si>
  <x:si>
    <x:t xml:space="preserve">Git history</x:t>
  </x:si>
  <x:si>
    <x:t xml:space="preserve">Baseline commit created</x:t>
  </x:si>
  <x:si>
    <x:t xml:space="preserve">S0.13</x:t>
  </x:si>
  <x:si>
    <x:t xml:space="preserve">Create PRE_IMPLEMENTATION_BASELINE tag</x:t>
  </x:si>
  <x:si>
    <x:t xml:space="preserve">Tag exact pre-implementation baseline for rollback.</x:t>
  </x:si>
  <x:si>
    <x:t xml:space="preserve">Git tag PRE_IMPLEMENTATION_BASELINE</x:t>
  </x:si>
  <x:si>
    <x:t xml:space="preserve">Tag resolves to baseline commit</x:t>
  </x:si>
  <x:si>
    <x:t xml:space="preserve">S0.14</x:t>
  </x:si>
  <x:si>
    <x:t xml:space="preserve">Gate</x:t>
  </x:si>
  <x:si>
    <x:t xml:space="preserve">Close S0</x:t>
  </x:si>
  <x:si>
    <x:t xml:space="preserve">Only after governance manifests valid and baseline commit/tag exist.</x:t>
  </x:si>
  <x:si>
    <x:t xml:space="preserve">S0 = CLOSED / PASS</x:t>
  </x:si>
  <x:si>
    <x:t xml:space="preserve">S1</x:t>
  </x:si>
  <x:si>
    <x:t xml:space="preserve">S1.01</x:t>
  </x:si>
  <x:si>
    <x:t xml:space="preserve">Vast</x:t>
  </x:si>
  <x:si>
    <x:t xml:space="preserve">Provision Vast instance</x:t>
  </x:si>
  <x:si>
    <x:t xml:space="preserve">Use suitable Vast instance; active training/data must use Vast local/persistent storage.</x:t>
  </x:si>
  <x:si>
    <x:t xml:space="preserve">vast_environment.json</x:t>
  </x:si>
  <x:si>
    <x:t xml:space="preserve">Instance accessible</x:t>
  </x:si>
  <x:si>
    <x:t xml:space="preserve">S1.02</x:t>
  </x:si>
  <x:si>
    <x:t xml:space="preserve">Runtime</x:t>
  </x:si>
  <x:si>
    <x:t xml:space="preserve">Pull exact locked Docker image digest</x:t>
  </x:si>
  <x:si>
    <x:t xml:space="preserve">quachthainguyen/sslxray-runtime@sha256:fab1b1ea8850527e5728de526b3d53f063355e84cb3a0d8c75e3a7890411d989.</x:t>
  </x:si>
  <x:si>
    <x:t xml:space="preserve">IMPLEMENTATION_HANDOFF.md</x:t>
  </x:si>
  <x:si>
    <x:t xml:space="preserve">docker_image_identity.json</x:t>
  </x:si>
  <x:si>
    <x:t xml:space="preserve">Digest MATCH</x:t>
  </x:si>
  <x:si>
    <x:t xml:space="preserve">S1.03</x:t>
  </x:si>
  <x:si>
    <x:t xml:space="preserve">Capture observed Vast runtime</x:t>
  </x:si>
  <x:si>
    <x:t xml:space="preserve">OS/kernel/Python/PyTorch/MMDet/MMCV/MMEngine/CUDA/cuDNN/GPU/driver/Docker digest.</x:t>
  </x:si>
  <x:si>
    <x:t xml:space="preserve">Required fields present</x:t>
  </x:si>
  <x:si>
    <x:t xml:space="preserve">S1.04</x:t>
  </x:si>
  <x:si>
    <x:t xml:space="preserve">Storage</x:t>
  </x:si>
  <x:si>
    <x:t xml:space="preserve">Create project/data/artifact paths on Vast</x:t>
  </x:si>
  <x:si>
    <x:t xml:space="preserve">Separate active data, artifacts, checkpoints and caches.</x:t>
  </x:si>
  <x:si>
    <x:t xml:space="preserve">storage_environment.json</x:t>
  </x:si>
  <x:si>
    <x:t xml:space="preserve">Paths writable</x:t>
  </x:si>
  <x:si>
    <x:t xml:space="preserve">S1.05</x:t>
  </x:si>
  <x:si>
    <x:t xml:space="preserve">Data Ingress</x:t>
  </x:si>
  <x:si>
    <x:t xml:space="preserve">Copy 4,894 JPG from Google Drive to Vast</x:t>
  </x:si>
  <x:si>
    <x:t xml:space="preserve">Drive is transport/durable source only; no direct training I/O.</x:t>
  </x:si>
  <x:si>
    <x:t xml:space="preserve">dataset_transfer_manifest.json</x:t>
  </x:si>
  <x:si>
    <x:t xml:space="preserve">Observed JPG count=4894</x:t>
  </x:si>
  <x:si>
    <x:t xml:space="preserve">S1.06</x:t>
  </x:si>
  <x:si>
    <x:t xml:space="preserve">Data Integrity</x:t>
  </x:si>
  <x:si>
    <x:t xml:space="preserve">Verify JPG count / missing / unexpected</x:t>
  </x:si>
  <x:si>
    <x:t xml:space="preserve">Expected=4894; missing=0; unexpected=0.</x:t>
  </x:si>
  <x:si>
    <x:t xml:space="preserve">dataset_integrity_report.json</x:t>
  </x:si>
  <x:si>
    <x:t xml:space="preserve">4894/0/0</x:t>
  </x:si>
  <x:si>
    <x:t xml:space="preserve">S1.07</x:t>
  </x:si>
  <x:si>
    <x:t xml:space="preserve">Verify fixed split membership</x:t>
  </x:si>
  <x:si>
    <x:t xml:space="preserve">Train/val/test=3426/734/734; membership hashes fixed.</x:t>
  </x:si>
  <x:si>
    <x:t xml:space="preserve">split_membership_audit.json</x:t>
  </x:si>
  <x:si>
    <x:t xml:space="preserve">Counts + hashes MATCH</x:t>
  </x:si>
  <x:si>
    <x:t xml:space="preserve">S1.08</x:t>
  </x:si>
  <x:si>
    <x:t xml:space="preserve">Verify No Finding counts and zero-GT identity</x:t>
  </x:si>
  <x:si>
    <x:t xml:space="preserve">Train/val/test No Finding=350/75/75; not class 15.</x:t>
  </x:si>
  <x:si>
    <x:t xml:space="preserve">Counts MATCH</x:t>
  </x:si>
  <x:si>
    <x:t xml:space="preserve">S1.09</x:t>
  </x:si>
  <x:si>
    <x:t xml:space="preserve">Verify L_b/U_b memberships</x:t>
  </x:si>
  <x:si>
    <x:t xml:space="preserve">Budgets 1/5/10/20%; nested; U=T\L; exact sizes.</x:t>
  </x:si>
  <x:si>
    <x:t xml:space="preserve">labeled_unlabeled_membership_audit.json</x:t>
  </x:si>
  <x:si>
    <x:t xml:space="preserve">All relations MATCH</x:t>
  </x:si>
  <x:si>
    <x:t xml:space="preserve">S1.10</x:t>
  </x:si>
  <x:si>
    <x:t xml:space="preserve">Verify 1% subset coverage identity</x:t>
  </x:si>
  <x:si>
    <x:t xml:space="preserve">34 images; 14/14 classes; dedicated coverage repair moves=0.</x:t>
  </x:si>
  <x:si>
    <x:t xml:space="preserve">34 + 14/14</x:t>
  </x:si>
  <x:si>
    <x:t xml:space="preserve">S1.11</x:t>
  </x:si>
  <x:si>
    <x:t xml:space="preserve">Verify class mapping</x:t>
  </x:si>
  <x:si>
    <x:t xml:space="preserve">Exactly 14 detection classes; No Finding not category 15.</x:t>
  </x:si>
  <x:si>
    <x:t xml:space="preserve">class_mapping_audit.json</x:t>
  </x:si>
  <x:si>
    <x:t xml:space="preserve">14 classes MATCH</x:t>
  </x:si>
  <x:si>
    <x:t xml:space="preserve">S1.12</x:t>
  </x:si>
  <x:si>
    <x:t xml:space="preserve">Verify training path is Vast local/persistent</x:t>
  </x:si>
  <x:si>
    <x:t xml:space="preserve">DataLoader must not resolve direct Google Drive paths.</x:t>
  </x:si>
  <x:si>
    <x:t xml:space="preserve">dataset_loader_manifest.json</x:t>
  </x:si>
  <x:si>
    <x:t xml:space="preserve">direct_google_drive_io_for_training=false</x:t>
  </x:si>
  <x:si>
    <x:t xml:space="preserve">S1.13</x:t>
  </x:si>
  <x:si>
    <x:t xml:space="preserve">Backup</x:t>
  </x:si>
  <x:si>
    <x:t xml:space="preserve">Configure Vast → Google Drive durable backup</x:t>
  </x:si>
  <x:si>
    <x:t xml:space="preserve">Sync scientific artifacts/checkpoints to durable storage.</x:t>
  </x:si>
  <x:si>
    <x:t xml:space="preserve">Backup path writable</x:t>
  </x:si>
  <x:si>
    <x:t xml:space="preserve">S1.14</x:t>
  </x:si>
  <x:si>
    <x:t xml:space="preserve">Implement checksum verification for backup</x:t>
  </x:si>
  <x:si>
    <x:t xml:space="preserve">Copy success alone is insufficient; verify hashes.</x:t>
  </x:si>
  <x:si>
    <x:t xml:space="preserve">backup_sync_manifest.json</x:t>
  </x:si>
  <x:si>
    <x:t xml:space="preserve">verification_status=PASS</x:t>
  </x:si>
  <x:si>
    <x:t xml:space="preserve">S1.15</x:t>
  </x:si>
  <x:si>
    <x:t xml:space="preserve">Recovery</x:t>
  </x:si>
  <x:si>
    <x:t xml:space="preserve">Test restore foundation</x:t>
  </x:si>
  <x:si>
    <x:t xml:space="preserve">Rehydrate artifacts/checkpoint into clean path and verify hashes.</x:t>
  </x:si>
  <x:si>
    <x:t xml:space="preserve">storage_restore_test.json</x:t>
  </x:si>
  <x:si>
    <x:t xml:space="preserve">S1.16</x:t>
  </x:si>
  <x:si>
    <x:t xml:space="preserve">Close S1</x:t>
  </x:si>
  <x:si>
    <x:t xml:space="preserve">Runtime, data membership and backup/recovery verified.</x:t>
  </x:si>
  <x:si>
    <x:t xml:space="preserve">S1 closure record</x:t>
  </x:si>
  <x:si>
    <x:t xml:space="preserve">S1=CLOSED / PASS</x:t>
  </x:si>
  <x:si>
    <x:t xml:space="preserve">S2</x:t>
  </x:si>
  <x:si>
    <x:t xml:space="preserve">S2.01</x:t>
  </x:si>
  <x:si>
    <x:t xml:space="preserve">Dataset</x:t>
  </x:si>
  <x:si>
    <x:t xml:space="preserve">Implement COCO dataset loading</x:t>
  </x:si>
  <x:si>
    <x:t xml:space="preserve">Use fixed JSON memberships; no rebuild.</x:t>
  </x:si>
  <x:si>
    <x:t xml:space="preserve">dataset/DataLoader config</x:t>
  </x:si>
  <x:si>
    <x:t xml:space="preserve">Samples resolve</x:t>
  </x:si>
  <x:si>
    <x:t xml:space="preserve">S2.02</x:t>
  </x:si>
  <x:si>
    <x:t xml:space="preserve">Implement grayscale → 3 identical channels</x:t>
  </x:si>
  <x:si>
    <x:t xml:space="preserve">R=G=B.</x:t>
  </x:si>
  <x:si>
    <x:t xml:space="preserve">sample evidence</x:t>
  </x:si>
  <x:si>
    <x:t xml:space="preserve">Channels identical</x:t>
  </x:si>
  <x:si>
    <x:t xml:space="preserve">S2.03</x:t>
  </x:si>
  <x:si>
    <x:t xml:space="preserve">Implement Resize(1333,800), keep_ratio=True</x:t>
  </x:si>
  <x:si>
    <x:t xml:space="preserve">Preserve geometry.</x:t>
  </x:si>
  <x:si>
    <x:t xml:space="preserve">MATCH</x:t>
  </x:si>
  <x:si>
    <x:t xml:space="preserve">S2.04</x:t>
  </x:si>
  <x:si>
    <x:t xml:space="preserve">Implement pad_size_divisor=32</x:t>
  </x:si>
  <x:si>
    <x:t xml:space="preserve">Required preprocessing.</x:t>
  </x:si>
  <x:si>
    <x:t xml:space="preserve">S2.05</x:t>
  </x:si>
  <x:si>
    <x:t xml:space="preserve">Keep zero-GT No Finding samples</x:t>
  </x:si>
  <x:si>
    <x:t xml:space="preserve">Do not filter empty GT.</x:t>
  </x:si>
  <x:si>
    <x:t xml:space="preserve">zero_gt_test.json</x:t>
  </x:si>
  <x:si>
    <x:t xml:space="preserve">S2.06</x:t>
  </x:si>
  <x:si>
    <x:t xml:space="preserve">Seed</x:t>
  </x:si>
  <x:si>
    <x:t xml:space="preserve">Propagate training_seed to Python/NumPy/Torch CPU/CUDA</x:t>
  </x:si>
  <x:si>
    <x:t xml:space="preserve">Observed/derived RNG behavior logged.</x:t>
  </x:si>
  <x:si>
    <x:t xml:space="preserve">seed_propagation_audit.json</x:t>
  </x:si>
  <x:si>
    <x:t xml:space="preserve">S2.07</x:t>
  </x:si>
  <x:si>
    <x:t xml:space="preserve">Implement DataLoader worker seeding</x:t>
  </x:si>
  <x:si>
    <x:t xml:space="preserve">Record strategy and examples.</x:t>
  </x:si>
  <x:si>
    <x:t xml:space="preserve">dataloader_worker_seed_audit.json</x:t>
  </x:si>
  <x:si>
    <x:t xml:space="preserve">S2.08</x:t>
  </x:si>
  <x:si>
    <x:t xml:space="preserve">Implement sampler seeding</x:t>
  </x:si>
  <x:si>
    <x:t xml:space="preserve">Controlled by training_seed.</x:t>
  </x:si>
  <x:si>
    <x:t xml:space="preserve">S2.09</x:t>
  </x:si>
  <x:si>
    <x:t xml:space="preserve">Prove training_seed does not change membership</x:t>
  </x:si>
  <x:si>
    <x:t xml:space="preserve">Same train/val/test and L/U hashes across seeds.</x:t>
  </x:si>
  <x:si>
    <x:t xml:space="preserve">training_seed_invariance_audit.json</x:t>
  </x:si>
  <x:si>
    <x:t xml:space="preserve">S2.10</x:t>
  </x:si>
  <x:si>
    <x:t xml:space="preserve">Training Infra</x:t>
  </x:si>
  <x:si>
    <x:t xml:space="preserve">Implement actual optimizer-update counter</x:t>
  </x:si>
  <x:si>
    <x:t xml:space="preserve">Count real optimizer steps, not raw iterations.</x:t>
  </x:si>
  <x:si>
    <x:t xml:space="preserve">preflight logs</x:t>
  </x:si>
  <x:si>
    <x:t xml:space="preserve">S2.11</x:t>
  </x:si>
  <x:si>
    <x:t xml:space="preserve">Logging</x:t>
  </x:si>
  <x:si>
    <x:t xml:space="preserve">Implement run_manifest.json</x:t>
  </x:si>
  <x:si>
    <x:t xml:space="preserve">Capture source/config/data/seed/runtime identity.</x:t>
  </x:si>
  <x:si>
    <x:t xml:space="preserve">run_manifest.json</x:t>
  </x:si>
  <x:si>
    <x:t xml:space="preserve">Schema PASS</x:t>
  </x:si>
  <x:si>
    <x:t xml:space="preserve">S2.12</x:t>
  </x:si>
  <x:si>
    <x:t xml:space="preserve">Implement train.jsonl/runtime_events.jsonl</x:t>
  </x:si>
  <x:si>
    <x:t xml:space="preserve">Event evidence incl AMP skip.</x:t>
  </x:si>
  <x:si>
    <x:t xml:space="preserve">sample logs</x:t>
  </x:si>
  <x:si>
    <x:t xml:space="preserve">S2.13</x:t>
  </x:si>
  <x:si>
    <x:t xml:space="preserve">Checkpoint</x:t>
  </x:si>
  <x:si>
    <x:t xml:space="preserve">Implement checkpoint/resume foundation</x:t>
  </x:si>
  <x:si>
    <x:t xml:space="preserve">Restore model/optimizer/scheduler/scaler/update/RNG states as supported.</x:t>
  </x:si>
  <x:si>
    <x:t xml:space="preserve">resume test</x:t>
  </x:si>
  <x:si>
    <x:t xml:space="preserve">S2.14</x:t>
  </x:si>
  <x:si>
    <x:t xml:space="preserve">Guardrail</x:t>
  </x:si>
  <x:si>
    <x:t xml:space="preserve">Implement fail-fast source/config/data/seed checks</x:t>
  </x:si>
  <x:si>
    <x:t xml:space="preserve">Block mismatch before training.</x:t>
  </x:si>
  <x:si>
    <x:t xml:space="preserve">guardrail tests</x:t>
  </x:si>
  <x:si>
    <x:t xml:space="preserve">S2.15</x:t>
  </x:si>
  <x:si>
    <x:t xml:space="preserve">Firewall</x:t>
  </x:si>
  <x:si>
    <x:t xml:space="preserve">Implement hidden-U isolation foundation</x:t>
  </x:si>
  <x:si>
    <x:t xml:space="preserve">Unlabeled object must not expose hidden annotations.</x:t>
  </x:si>
  <x:si>
    <x:t xml:space="preserve">hidden_u_gt_firewall_report.json</x:t>
  </x:si>
  <x:si>
    <x:t xml:space="preserve">S2.16</x:t>
  </x:si>
  <x:si>
    <x:t xml:space="preserve">Close S2</x:t>
  </x:si>
  <x:si>
    <x:t xml:space="preserve">Shared infra tests and seed/data/firewall behavior verified.</x:t>
  </x:si>
  <x:si>
    <x:t xml:space="preserve">S2 closure record</x:t>
  </x:si>
  <x:si>
    <x:t xml:space="preserve">S2=CLOSED / PASS</x:t>
  </x:si>
  <x:si>
    <x:t xml:space="preserve">S3</x:t>
  </x:si>
  <x:si>
    <x:t xml:space="preserve">S3.01</x:t>
  </x:si>
  <x:si>
    <x:t xml:space="preserve">R50 SUP</x:t>
  </x:si>
  <x:si>
    <x:t xml:space="preserve">Implement Faster R-CNN R50-FPN SUP path</x:t>
  </x:si>
  <x:si>
    <x:t xml:space="preserve">ImageNet-1K backbone pretraining; no COCO detector init.</x:t>
  </x:si>
  <x:si>
    <x:t xml:space="preserve">sn-article.tex / IMPLEMENTATION_HANDOFF.md</x:t>
  </x:si>
  <x:si>
    <x:t xml:space="preserve">sup_r50_preflight.json</x:t>
  </x:si>
  <x:si>
    <x:t xml:space="preserve">S3.02</x:t>
  </x:si>
  <x:si>
    <x:t xml:space="preserve">Swin SUP</x:t>
  </x:si>
  <x:si>
    <x:t xml:space="preserve">Implement Faster R-CNN Swin-T-FPN SUP path</x:t>
  </x:si>
  <x:si>
    <x:t xml:space="preserve">ImageNet-1K backbone; native no-decay rules retained.</x:t>
  </x:si>
  <x:si>
    <x:t xml:space="preserve">sup_swin_preflight.json</x:t>
  </x:si>
  <x:si>
    <x:t xml:space="preserve">S3.03</x:t>
  </x:si>
  <x:si>
    <x:t xml:space="preserve">Optimizer</x:t>
  </x:si>
  <x:si>
    <x:t xml:space="preserve">R50 SGD recipe</x:t>
  </x:si>
  <x:si>
    <x:t xml:space="preserve">lr=.005, momentum=.9, wd=.0001.</x:t>
  </x:si>
  <x:si>
    <x:t xml:space="preserve">resolved config</x:t>
  </x:si>
  <x:si>
    <x:t xml:space="preserve">S3.04</x:t>
  </x:si>
  <x:si>
    <x:t xml:space="preserve">Swin AdamW recipe</x:t>
  </x:si>
  <x:si>
    <x:t xml:space="preserve">lr=.000025, betas=(.9,.999), wd=.05.</x:t>
  </x:si>
  <x:si>
    <x:t xml:space="preserve">S3.05</x:t>
  </x:si>
  <x:si>
    <x:t xml:space="preserve">Numerics</x:t>
  </x:si>
  <x:si>
    <x:t xml:space="preserve">Enable AMP / disable grad clipping</x:t>
  </x:si>
  <x:si>
    <x:t xml:space="preserve">AMP ON; gradient clipping OFF.</x:t>
  </x:si>
  <x:si>
    <x:t xml:space="preserve">S3.06</x:t>
  </x:si>
  <x:si>
    <x:t xml:space="preserve">Augmentation</x:t>
  </x:si>
  <x:si>
    <x:t xml:space="preserve">Lock SUP pipeline Load→Resize→Pack</x:t>
  </x:si>
  <x:si>
    <x:t xml:space="preserve">No flip/crop/rotation/mosaic/aggressive photometric.</x:t>
  </x:si>
  <x:si>
    <x:t xml:space="preserve">supervised_augmentation_manifest.json</x:t>
  </x:si>
  <x:si>
    <x:t xml:space="preserve">S3.07</x:t>
  </x:si>
  <x:si>
    <x:t xml:space="preserve">Batch</x:t>
  </x:si>
  <x:si>
    <x:t xml:space="preserve">Effective labeled batch = 4</x:t>
  </x:si>
  <x:si>
    <x:t xml:space="preserve">Microbatch/accumulation only to reach B_L_eff=4.</x:t>
  </x:si>
  <x:si>
    <x:t xml:space="preserve">training summary</x:t>
  </x:si>
  <x:si>
    <x:t xml:space="preserve">S3.08</x:t>
  </x:si>
  <x:si>
    <x:t xml:space="preserve">Scheduler</x:t>
  </x:si>
  <x:si>
    <x:t xml:space="preserve">Test 1% path = 1032 updates</x:t>
  </x:si>
  <x:si>
    <x:t xml:space="preserve">Proportional scheduler structure.</x:t>
  </x:si>
  <x:si>
    <x:t xml:space="preserve">schedule_1pct_preflight.json</x:t>
  </x:si>
  <x:si>
    <x:t xml:space="preserve">S3.09</x:t>
  </x:si>
  <x:si>
    <x:t xml:space="preserve">Test standard path = 2064 updates</x:t>
  </x:si>
  <x:si>
    <x:t xml:space="preserve">5/10/20% path.</x:t>
  </x:si>
  <x:si>
    <x:t xml:space="preserve">schedule_2064_preflight.json</x:t>
  </x:si>
  <x:si>
    <x:t xml:space="preserve">S3.10</x:t>
  </x:si>
  <x:si>
    <x:t xml:space="preserve">Test 100%-SUP path = 10284 updates</x:t>
  </x:si>
  <x:si>
    <x:t xml:space="preserve">Explicit evidence required.</x:t>
  </x:si>
  <x:si>
    <x:t xml:space="preserve">schedule_100pct_10284_preflight.json</x:t>
  </x:si>
  <x:si>
    <x:t xml:space="preserve">S3.11</x:t>
  </x:si>
  <x:si>
    <x:t xml:space="preserve">Validation</x:t>
  </x:si>
  <x:si>
    <x:t xml:space="preserve">Validation every 172 actual updates</x:t>
  </x:si>
  <x:si>
    <x:t xml:space="preserve">Not raw iterations.</x:t>
  </x:si>
  <x:si>
    <x:t xml:space="preserve">validation history</x:t>
  </x:si>
  <x:si>
    <x:t xml:space="preserve">S3.12</x:t>
  </x:si>
  <x:si>
    <x:t xml:space="preserve">Verify SUP BEST/LAST logic</x:t>
  </x:si>
  <x:si>
    <x:t xml:space="preserve">BEST=argmax val bbox mAP@[.50:.95]; retain BEST+LAST.</x:t>
  </x:si>
  <x:si>
    <x:t xml:space="preserve">checkpoint evidence</x:t>
  </x:si>
  <x:si>
    <x:t xml:space="preserve">S3.13</x:t>
  </x:si>
  <x:si>
    <x:t xml:space="preserve">Resume</x:t>
  </x:si>
  <x:si>
    <x:t xml:space="preserve">Verify SUP resume if enabled</x:t>
  </x:si>
  <x:si>
    <x:t xml:space="preserve">Same seed and trajectory state.</x:t>
  </x:si>
  <x:si>
    <x:t xml:space="preserve">resume_equivalence_test.json</x:t>
  </x:si>
  <x:si>
    <x:t xml:space="preserve">S3.14</x:t>
  </x:si>
  <x:si>
    <x:t xml:space="preserve">Close S3</x:t>
  </x:si>
  <x:si>
    <x:t xml:space="preserve">All SUP official paths verified.</x:t>
  </x:si>
  <x:si>
    <x:t xml:space="preserve">S3 closure record</x:t>
  </x:si>
  <x:si>
    <x:t xml:space="preserve">S3=CLOSED / PASS</x:t>
  </x:si>
  <x:si>
    <x:t xml:space="preserve">S4</x:t>
  </x:si>
  <x:si>
    <x:t xml:space="preserve">S4.01</x:t>
  </x:si>
  <x:si>
    <x:t xml:space="preserve">Model</x:t>
  </x:si>
  <x:si>
    <x:t xml:space="preserve">Implement Student + EMA Teacher</x:t>
  </x:si>
  <x:si>
    <x:t xml:space="preserve">Teacher(t0)=Student(t0); no burn-in.</x:t>
  </x:si>
  <x:si>
    <x:t xml:space="preserve">teacher_initialization_test.json</x:t>
  </x:si>
  <x:si>
    <x:t xml:space="preserve">S4.02</x:t>
  </x:si>
  <x:si>
    <x:t xml:space="preserve">EMA</x:t>
  </x:si>
  <x:si>
    <x:t xml:space="preserve">Implement MeanTeacherHook momentum=.001</x:t>
  </x:si>
  <x:si>
    <x:t xml:space="preserve">Teacher=.999 old + .001 Student.</x:t>
  </x:si>
  <x:si>
    <x:t xml:space="preserve">ema_timing_test.json</x:t>
  </x:si>
  <x:si>
    <x:t xml:space="preserve">S4.03</x:t>
  </x:si>
  <x:si>
    <x:t xml:space="preserve">skip_buffers=True</x:t>
  </x:si>
  <x:si>
    <x:t xml:space="preserve">Frozen behavior.</x:t>
  </x:si>
  <x:si>
    <x:t xml:space="preserve">resolved SSL config</x:t>
  </x:si>
  <x:si>
    <x:t xml:space="preserve">S4.04</x:t>
  </x:si>
  <x:si>
    <x:t xml:space="preserve">Update Teacher only after actual optimizer update</x:t>
  </x:si>
  <x:si>
    <x:t xml:space="preserve">No EMA on microbatch.</x:t>
  </x:si>
  <x:si>
    <x:t xml:space="preserve">S4.05</x:t>
  </x:si>
  <x:si>
    <x:t xml:space="preserve">AMP</x:t>
  </x:si>
  <x:si>
    <x:t xml:space="preserve">AMP skipped step → EMA skip</x:t>
  </x:si>
  <x:si>
    <x:t xml:space="preserve">Explicit test.</x:t>
  </x:si>
  <x:si>
    <x:t xml:space="preserve">amp_ema_skip_test.json</x:t>
  </x:si>
  <x:si>
    <x:t xml:space="preserve">S4.06</x:t>
  </x:si>
  <x:si>
    <x:t xml:space="preserve">Unlabeled weak</x:t>
  </x:si>
  <x:si>
    <x:t xml:space="preserve">Weak view → Teacher</x:t>
  </x:si>
  <x:si>
    <x:t xml:space="preserve">Resize + standard preprocessing + padding; no extra augmentation.</x:t>
  </x:si>
  <x:si>
    <x:t xml:space="preserve">ssl_augmentation_manifest.json</x:t>
  </x:si>
  <x:si>
    <x:t xml:space="preserve">S4.07</x:t>
  </x:si>
  <x:si>
    <x:t xml:space="preserve">Unlabeled strong</x:t>
  </x:si>
  <x:si>
    <x:t xml:space="preserve">Strong view → Student</x:t>
  </x:si>
  <x:si>
    <x:t xml:space="preserve">brightness/contrast U(.90,1.10), grayscale R=G=B.</x:t>
  </x:si>
  <x:si>
    <x:t xml:space="preserve">S4.08</x:t>
  </x:si>
  <x:si>
    <x:t xml:space="preserve">Geometry</x:t>
  </x:si>
  <x:si>
    <x:t xml:space="preserve">Verify image–pseudo-box alignment</x:t>
  </x:si>
  <x:si>
    <x:t xml:space="preserve">No coordinate mismatch.</x:t>
  </x:si>
  <x:si>
    <x:t xml:space="preserve">pseudo_bbox_alignment_report.json</x:t>
  </x:si>
  <x:si>
    <x:t xml:space="preserve">S4.09</x:t>
  </x:si>
  <x:si>
    <x:t xml:space="preserve">Pseudo</x:t>
  </x:si>
  <x:si>
    <x:t xml:space="preserve">Lock pseudo thresholds</x:t>
  </x:si>
  <x:si>
    <x:t xml:space="preserve">floor=.05, initial=.50, RPN=.90, RCNN cls=.90.</x:t>
  </x:si>
  <x:si>
    <x:t xml:space="preserve">S4.10</x:t>
  </x:si>
  <x:si>
    <x:t xml:space="preserve">Lock NMS/max</x:t>
  </x:si>
  <x:si>
    <x:t xml:space="preserve">RPN .70/max1000; RCNN .50/max100.</x:t>
  </x:si>
  <x:si>
    <x:t xml:space="preserve">S4.11</x:t>
  </x:si>
  <x:si>
    <x:t xml:space="preserve">Regression</x:t>
  </x:si>
  <x:si>
    <x:t xml:space="preserve">Regression reliability filtering</x:t>
  </x:si>
  <x:si>
    <x:t xml:space="preserve">jitter=10, scale=.06, uncertainty&lt;.02, min wh=.01/.01; no cls&gt;.90 requirement.</x:t>
  </x:si>
  <x:si>
    <x:t xml:space="preserve">S4.12</x:t>
  </x:si>
  <x:si>
    <x:t xml:space="preserve">Loss</x:t>
  </x:si>
  <x:si>
    <x:t xml:space="preserve">L_total=L_sup+4*L_unsup</x:t>
  </x:si>
  <x:si>
    <x:t xml:space="preserve">No ramp-up/burn-in.</x:t>
  </x:si>
  <x:si>
    <x:t xml:space="preserve">S4.13</x:t>
  </x:si>
  <x:si>
    <x:t xml:space="preserve">L:U=1:1; B_L_eff=4; B_U_eff=4</x:t>
  </x:si>
  <x:si>
    <x:t xml:space="preserve">Paired labeled exposure must match SUP.</x:t>
  </x:si>
  <x:si>
    <x:t xml:space="preserve">S4.14</x:t>
  </x:si>
  <x:si>
    <x:t xml:space="preserve">Empty pseudo</x:t>
  </x:si>
  <x:si>
    <x:t xml:space="preserve">Handle empty pseudo batch</x:t>
  </x:si>
  <x:si>
    <x:t xml:space="preserve">No crash/fake supervision.</x:t>
  </x:si>
  <x:si>
    <x:t xml:space="preserve">empty_pseudo_batch_test.json</x:t>
  </x:si>
  <x:si>
    <x:t xml:space="preserve">S4.15</x:t>
  </x:si>
  <x:si>
    <x:t xml:space="preserve">Zero-GT</x:t>
  </x:si>
  <x:si>
    <x:t xml:space="preserve">Verify SSL zero-GT handling</x:t>
  </x:si>
  <x:si>
    <x:t xml:space="preserve">No Finding negatives valid.</x:t>
  </x:si>
  <x:si>
    <x:t xml:space="preserve">S4.16</x:t>
  </x:si>
  <x:si>
    <x:t xml:space="preserve">Verify hidden-U GT firewall</x:t>
  </x:si>
  <x:si>
    <x:t xml:space="preserve">No hidden U GT in development/Q_pseudo.</x:t>
  </x:si>
  <x:si>
    <x:t xml:space="preserve">S4.17</x:t>
  </x:si>
  <x:si>
    <x:t xml:space="preserve">Restore Student+Teacher without resync</x:t>
  </x:si>
  <x:si>
    <x:t xml:space="preserve">Restore optimizer/scheduler/scaler/update state.</x:t>
  </x:si>
  <x:si>
    <x:t xml:space="preserve">S4.18</x:t>
  </x:si>
  <x:si>
    <x:t xml:space="preserve">Architecture</x:t>
  </x:si>
  <x:si>
    <x:t xml:space="preserve">Preflight SSL R50</x:t>
  </x:si>
  <x:si>
    <x:t xml:space="preserve">Official path verified.</x:t>
  </x:si>
  <x:si>
    <x:t xml:space="preserve">ssl_r50_preflight.json</x:t>
  </x:si>
  <x:si>
    <x:t xml:space="preserve">S4.19</x:t>
  </x:si>
  <x:si>
    <x:t xml:space="preserve">Preflight SSL Swin-T</x:t>
  </x:si>
  <x:si>
    <x:t xml:space="preserve">ssl_swin_preflight.json</x:t>
  </x:si>
  <x:si>
    <x:t xml:space="preserve">S4.20</x:t>
  </x:si>
  <x:si>
    <x:t xml:space="preserve">Close S4</x:t>
  </x:si>
  <x:si>
    <x:t xml:space="preserve">All SSL paths + EMA/AMP/geometry/firewall verified.</x:t>
  </x:si>
  <x:si>
    <x:t xml:space="preserve">S4 closure record</x:t>
  </x:si>
  <x:si>
    <x:t xml:space="preserve">S4=CLOSED / PASS</x:t>
  </x:si>
  <x:si>
    <x:t xml:space="preserve">S5</x:t>
  </x:si>
  <x:si>
    <x:t xml:space="preserve">S5.01</x:t>
  </x:si>
  <x:si>
    <x:t xml:space="preserve">COCO</x:t>
  </x:si>
  <x:si>
    <x:t xml:space="preserve">Implement bbox mAP@[.50:.95]</x:t>
  </x:si>
  <x:si>
    <x:t xml:space="preserve">IoU .50:.05:.95; useCats=1; maxDets=100; no fixed score threshold before AP.</x:t>
  </x:si>
  <x:si>
    <x:t xml:space="preserve">coco_evaluator_golden_test.json</x:t>
  </x:si>
  <x:si>
    <x:t xml:space="preserve">S5.02</x:t>
  </x:si>
  <x:si>
    <x:t xml:space="preserve">Implement AP50/AP75/class-wise AP/AR</x:t>
  </x:si>
  <x:si>
    <x:t xml:space="preserve">AR@[.50:.95], maxDets=100.</x:t>
  </x:si>
  <x:si>
    <x:t xml:space="preserve">S5.03</x:t>
  </x:si>
  <x:si>
    <x:t xml:space="preserve">Operating</x:t>
  </x:si>
  <x:si>
    <x:t xml:space="preserve">Implement Recall@tau_eval=.50</x:t>
  </x:si>
  <x:si>
    <x:t xml:space="preserve">Category-aware one-to-one; IoU&gt;=.50; native NMS/max100.</x:t>
  </x:si>
  <x:si>
    <x:t xml:space="preserve">operating_point_golden_test.json</x:t>
  </x:si>
  <x:si>
    <x:t xml:space="preserve">S5.04</x:t>
  </x:si>
  <x:si>
    <x:t xml:space="preserve">Implement FP/image</x:t>
  </x:si>
  <x:si>
    <x:t xml:space="preserve">Same operating point.</x:t>
  </x:si>
  <x:si>
    <x:t xml:space="preserve">S5.05</x:t>
  </x:si>
  <x:si>
    <x:t xml:space="preserve">Negative</x:t>
  </x:si>
  <x:si>
    <x:t xml:space="preserve">Implement FP/negative + FAR</x:t>
  </x:si>
  <x:si>
    <x:t xml:space="preserve">All detections on zero-GT are FP.</x:t>
  </x:si>
  <x:si>
    <x:t xml:space="preserve">S5.06</x:t>
  </x:si>
  <x:si>
    <x:t xml:space="preserve">Q_pseudo</x:t>
  </x:si>
  <x:si>
    <x:t xml:space="preserve">Implement PL-mAP@[.50:.95]</x:t>
  </x:si>
  <x:si>
    <x:t xml:space="preserve">LAST EMA Teacher; fixed validation; accepted RCNN classification pseudo labels.</x:t>
  </x:si>
  <x:si>
    <x:t xml:space="preserve">qpseudo_path_golden_test.json</x:t>
  </x:si>
  <x:si>
    <x:t xml:space="preserve">S5.07</x:t>
  </x:si>
  <x:si>
    <x:t xml:space="preserve">Block BEST Teacher for Q_pseudo</x:t>
  </x:si>
  <x:si>
    <x:t xml:space="preserve">BEST is official detection model only.</x:t>
  </x:si>
  <x:si>
    <x:t xml:space="preserve">S5.08</x:t>
  </x:si>
  <x:si>
    <x:t xml:space="preserve">Verify no hidden-U/test GT in Q_pseudo</x:t>
  </x:si>
  <x:si>
    <x:t xml:space="preserve">Validation only.</x:t>
  </x:si>
  <x:si>
    <x:t xml:space="preserve">S5.09</x:t>
  </x:si>
  <x:si>
    <x:t xml:space="preserve">Test Firewall</x:t>
  </x:si>
  <x:si>
    <x:t xml:space="preserve">Keep test closed</x:t>
  </x:si>
  <x:si>
    <x:t xml:space="preserve">No checkpoint/model/tuning/ablation selection using test.</x:t>
  </x:si>
  <x:si>
    <x:t xml:space="preserve">test_firewall_preflight.json</x:t>
  </x:si>
  <x:si>
    <x:t xml:space="preserve">S5.10</x:t>
  </x:si>
  <x:si>
    <x:t xml:space="preserve">Close S5</x:t>
  </x:si>
  <x:si>
    <x:t xml:space="preserve">Evaluator golden tests PASS.</x:t>
  </x:si>
  <x:si>
    <x:t xml:space="preserve">S5 closure record</x:t>
  </x:si>
  <x:si>
    <x:t xml:space="preserve">S5=CLOSED / PASS</x:t>
  </x:si>
  <x:si>
    <x:t xml:space="preserve">S6</x:t>
  </x:si>
  <x:si>
    <x:t xml:space="preserve">S6.01</x:t>
  </x:si>
  <x:si>
    <x:t xml:space="preserve">Stats</x:t>
  </x:si>
  <x:si>
    <x:t xml:space="preserve">Implement mean/SD ddof=1</x:t>
  </x:si>
  <x:si>
    <x:t xml:space="preserve">Seed/run is inferential unit.</x:t>
  </x:si>
  <x:si>
    <x:t xml:space="preserve">statistical_fixture_report.json</x:t>
  </x:si>
  <x:si>
    <x:t xml:space="preserve">S6.02</x:t>
  </x:si>
  <x:si>
    <x:t xml:space="preserve">RQ2</x:t>
  </x:si>
  <x:si>
    <x:t xml:space="preserve">Implement one-sample t, alternative=greater</x:t>
  </x:si>
  <x:si>
    <x:t xml:space="preserve">G_s, n=10, df=9, two-sided 95% CI.</x:t>
  </x:si>
  <x:si>
    <x:t xml:space="preserve">S6.03</x:t>
  </x:si>
  <x:si>
    <x:t xml:space="preserve">RQ3</x:t>
  </x:si>
  <x:si>
    <x:t xml:space="preserve">Implement repeated-measures ANOVA + GG ALWAYS</x:t>
  </x:si>
  <x:si>
    <x:t xml:space="preserve">Mauchly diagnostic only.</x:t>
  </x:si>
  <x:si>
    <x:t xml:space="preserve">S6.04</x:t>
  </x:si>
  <x:si>
    <x:t xml:space="preserve">Implement six prespecified contrasts</x:t>
  </x:si>
  <x:si>
    <x:t xml:space="preserve">5-1,10-1,20-1,10-5,20-5,20-10.</x:t>
  </x:si>
  <x:si>
    <x:t xml:space="preserve">S6.05</x:t>
  </x:si>
  <x:si>
    <x:t xml:space="preserve">RQ4</x:t>
  </x:si>
  <x:si>
    <x:t xml:space="preserve">Implement mixed model</x:t>
  </x:si>
  <x:si>
    <x:t xml:space="preserve">Y~X+cell+(1|seed), REML, Kenward–Roger.</x:t>
  </x:si>
  <x:si>
    <x:t xml:space="preserve">S6.06</x:t>
  </x:si>
  <x:si>
    <x:t xml:space="preserve">RQ5</x:t>
  </x:si>
  <x:si>
    <x:t xml:space="preserve">Implement rare-class summaries</x:t>
  </x:si>
  <x:si>
    <x:t xml:space="preserve">Atelectasis/Pneumothorax; NA not 0.</x:t>
  </x:si>
  <x:si>
    <x:t xml:space="preserve">S6.07</x:t>
  </x:si>
  <x:si>
    <x:t xml:space="preserve">RQ6</x:t>
  </x:si>
  <x:si>
    <x:t xml:space="preserve">Implement two-sided t test</x:t>
  </x:si>
  <x:si>
    <x:t xml:space="preserve">H_s on ΔFP/negative.</x:t>
  </x:si>
  <x:si>
    <x:t xml:space="preserve">S6.08</x:t>
  </x:si>
  <x:si>
    <x:t xml:space="preserve">RQ7</x:t>
  </x:si>
  <x:si>
    <x:t xml:space="preserve">Implement two-sided architecture effect</x:t>
  </x:si>
  <x:si>
    <x:t xml:space="preserve">D_s=A_Swin-A_R50.</x:t>
  </x:si>
  <x:si>
    <x:t xml:space="preserve">S6.09</x:t>
  </x:si>
  <x:si>
    <x:t xml:space="preserve">Multiplicity</x:t>
  </x:si>
  <x:si>
    <x:t xml:space="preserve">Implement Holm F2 m=4</x:t>
  </x:si>
  <x:si>
    <x:t xml:space="preserve">RQ3/RQ4/RQ6/RQ7.</x:t>
  </x:si>
  <x:si>
    <x:t xml:space="preserve">multiplicity_fixture_report.json</x:t>
  </x:si>
  <x:si>
    <x:t xml:space="preserve">S6.10</x:t>
  </x:si>
  <x:si>
    <x:t xml:space="preserve">Implement Holm F3 m=6</x:t>
  </x:si>
  <x:si>
    <x:t xml:space="preserve">Six RQ3 contrasts.</x:t>
  </x:si>
  <x:si>
    <x:t xml:space="preserve">S6.11</x:t>
  </x:si>
  <x:si>
    <x:t xml:space="preserve">Robustness</x:t>
  </x:si>
  <x:si>
    <x:t xml:space="preserve">Implement exact sign-flip 2^10</x:t>
  </x:si>
  <x:si>
    <x:t xml:space="preserve">RQ2 one-sided; RQ6/RQ7 two-sided.</x:t>
  </x:si>
  <x:si>
    <x:t xml:space="preserve">S6.12</x:t>
  </x:si>
  <x:si>
    <x:t xml:space="preserve">Implement exactly 10 LOSO</x:t>
  </x:si>
  <x:si>
    <x:t xml:space="preserve">Never exclude seed.</x:t>
  </x:si>
  <x:si>
    <x:t xml:space="preserve">S6.13</x:t>
  </x:si>
  <x:si>
    <x:t xml:space="preserve">Sensitivity</x:t>
  </x:si>
  <x:si>
    <x:t xml:space="preserve">Implement Friedman RQ3</x:t>
  </x:si>
  <x:si>
    <x:t xml:space="preserve">Sensitivity only.</x:t>
  </x:si>
  <x:si>
    <x:t xml:space="preserve">S6.14</x:t>
  </x:si>
  <x:si>
    <x:t xml:space="preserve">Implement CR2/Satterthwaite RQ4</x:t>
  </x:si>
  <x:si>
    <x:t xml:space="preserve">Cluster training_seed.</x:t>
  </x:si>
  <x:si>
    <x:t xml:space="preserve">S6.15</x:t>
  </x:si>
  <x:si>
    <x:t xml:space="preserve">Provenance</x:t>
  </x:si>
  <x:si>
    <x:t xml:space="preserve">Capture statistics environment + script hashes</x:t>
  </x:si>
  <x:si>
    <x:t xml:space="preserve">Package/runtime/script identity.</x:t>
  </x:si>
  <x:si>
    <x:t xml:space="preserve">statistical_implementation_manifest.json</x:t>
  </x:si>
  <x:si>
    <x:t xml:space="preserve">S6.16</x:t>
  </x:si>
  <x:si>
    <x:t xml:space="preserve">Close S6</x:t>
  </x:si>
  <x:si>
    <x:t xml:space="preserve">All statistical fixtures PASS.</x:t>
  </x:si>
  <x:si>
    <x:t xml:space="preserve">S6 closure record</x:t>
  </x:si>
  <x:si>
    <x:t xml:space="preserve">S6=CLOSED / PASS</x:t>
  </x:si>
  <x:si>
    <x:t xml:space="preserve">S7</x:t>
  </x:si>
  <x:si>
    <x:t xml:space="preserve">S7.01</x:t>
  </x:si>
  <x:si>
    <x:t xml:space="preserve">Closure</x:t>
  </x:si>
  <x:si>
    <x:t xml:space="preserve">PF01 — Data / membership / seed</x:t>
  </x:si>
  <x:si>
    <x:t xml:space="preserve">Must PASS with direct evidence; no assumed/not-tested path.</x:t>
  </x:si>
  <x:si>
    <x:t xml:space="preserve">IMPLEMENTATION_HANDOFF.md / ARTIFACT_AND_EVIDENCE_CONTRACT.md</x:t>
  </x:si>
  <x:si>
    <x:t xml:space="preserve">GLOBAL_PREFLIGHT_REPORT.json#PF01</x:t>
  </x:si>
  <x:si>
    <x:t xml:space="preserve">S7.02</x:t>
  </x:si>
  <x:si>
    <x:t xml:space="preserve">PF02 — DataLoader / sampler / workers</x:t>
  </x:si>
  <x:si>
    <x:t xml:space="preserve">GLOBAL_PREFLIGHT_REPORT.json#PF02</x:t>
  </x:si>
  <x:si>
    <x:t xml:space="preserve">S7.03</x:t>
  </x:si>
  <x:si>
    <x:t xml:space="preserve">PF03 — SUP R50</x:t>
  </x:si>
  <x:si>
    <x:t xml:space="preserve">GLOBAL_PREFLIGHT_REPORT.json#PF03</x:t>
  </x:si>
  <x:si>
    <x:t xml:space="preserve">S7.04</x:t>
  </x:si>
  <x:si>
    <x:t xml:space="preserve">PF04 — SUP Swin-T</x:t>
  </x:si>
  <x:si>
    <x:t xml:space="preserve">GLOBAL_PREFLIGHT_REPORT.json#PF04</x:t>
  </x:si>
  <x:si>
    <x:t xml:space="preserve">S7.05</x:t>
  </x:si>
  <x:si>
    <x:t xml:space="preserve">PF05 — SSL R50</x:t>
  </x:si>
  <x:si>
    <x:t xml:space="preserve">GLOBAL_PREFLIGHT_REPORT.json#PF05</x:t>
  </x:si>
  <x:si>
    <x:t xml:space="preserve">S7.06</x:t>
  </x:si>
  <x:si>
    <x:t xml:space="preserve">PF06 — SSL Swin-T</x:t>
  </x:si>
  <x:si>
    <x:t xml:space="preserve">GLOBAL_PREFLIGHT_REPORT.json#PF06</x:t>
  </x:si>
  <x:si>
    <x:t xml:space="preserve">S7.07</x:t>
  </x:si>
  <x:si>
    <x:t xml:space="preserve">PF07 — 1% scheduler</x:t>
  </x:si>
  <x:si>
    <x:t xml:space="preserve">GLOBAL_PREFLIGHT_REPORT.json#PF07</x:t>
  </x:si>
  <x:si>
    <x:t xml:space="preserve">S7.08</x:t>
  </x:si>
  <x:si>
    <x:t xml:space="preserve">PF08 — 2064 scheduler + 100%-SUP evidence</x:t>
  </x:si>
  <x:si>
    <x:t xml:space="preserve">GLOBAL_PREFLIGHT_REPORT.json#PF08</x:t>
  </x:si>
  <x:si>
    <x:t xml:space="preserve">S7.09</x:t>
  </x:si>
  <x:si>
    <x:t xml:space="preserve">PF09 — GT geometry</x:t>
  </x:si>
  <x:si>
    <x:t xml:space="preserve">GLOBAL_PREFLIGHT_REPORT.json#PF09</x:t>
  </x:si>
  <x:si>
    <x:t xml:space="preserve">S7.10</x:t>
  </x:si>
  <x:si>
    <x:t xml:space="preserve">PF10 — pseudo geometry</x:t>
  </x:si>
  <x:si>
    <x:t xml:space="preserve">GLOBAL_PREFLIGHT_REPORT.json#PF10</x:t>
  </x:si>
  <x:si>
    <x:t xml:space="preserve">S7.11</x:t>
  </x:si>
  <x:si>
    <x:t xml:space="preserve">PF11 — Teacher initialization</x:t>
  </x:si>
  <x:si>
    <x:t xml:space="preserve">GLOBAL_PREFLIGHT_REPORT.json#PF11</x:t>
  </x:si>
  <x:si>
    <x:t xml:space="preserve">S7.12</x:t>
  </x:si>
  <x:si>
    <x:t xml:space="preserve">PF12 — EMA timing</x:t>
  </x:si>
  <x:si>
    <x:t xml:space="preserve">GLOBAL_PREFLIGHT_REPORT.json#PF12</x:t>
  </x:si>
  <x:si>
    <x:t xml:space="preserve">S7.13</x:t>
  </x:si>
  <x:si>
    <x:t xml:space="preserve">PF13 — AMP skip → EMA skip</x:t>
  </x:si>
  <x:si>
    <x:t xml:space="preserve">GLOBAL_PREFLIGHT_REPORT.json#PF13</x:t>
  </x:si>
  <x:si>
    <x:t xml:space="preserve">S7.14</x:t>
  </x:si>
  <x:si>
    <x:t xml:space="preserve">PF14 — empty pseudo</x:t>
  </x:si>
  <x:si>
    <x:t xml:space="preserve">GLOBAL_PREFLIGHT_REPORT.json#PF14</x:t>
  </x:si>
  <x:si>
    <x:t xml:space="preserve">S7.15</x:t>
  </x:si>
  <x:si>
    <x:t xml:space="preserve">PF15 — zero-GT</x:t>
  </x:si>
  <x:si>
    <x:t xml:space="preserve">GLOBAL_PREFLIGHT_REPORT.json#PF15</x:t>
  </x:si>
  <x:si>
    <x:t xml:space="preserve">S7.16</x:t>
  </x:si>
  <x:si>
    <x:t xml:space="preserve">PF16 — hidden-U firewall</x:t>
  </x:si>
  <x:si>
    <x:t xml:space="preserve">GLOBAL_PREFLIGHT_REPORT.json#PF16</x:t>
  </x:si>
  <x:si>
    <x:t xml:space="preserve">S7.17</x:t>
  </x:si>
  <x:si>
    <x:t xml:space="preserve">PF17 — BEST/LAST</x:t>
  </x:si>
  <x:si>
    <x:t xml:space="preserve">GLOBAL_PREFLIGHT_REPORT.json#PF17</x:t>
  </x:si>
  <x:si>
    <x:t xml:space="preserve">S7.18</x:t>
  </x:si>
  <x:si>
    <x:t xml:space="preserve">PF18 — Q_pseudo path</x:t>
  </x:si>
  <x:si>
    <x:t xml:space="preserve">GLOBAL_PREFLIGHT_REPORT.json#PF18</x:t>
  </x:si>
  <x:si>
    <x:t xml:space="preserve">S7.19</x:t>
  </x:si>
  <x:si>
    <x:t xml:space="preserve">PF19 — COCO evaluator</x:t>
  </x:si>
  <x:si>
    <x:t xml:space="preserve">GLOBAL_PREFLIGHT_REPORT.json#PF19</x:t>
  </x:si>
  <x:si>
    <x:t xml:space="preserve">S7.20</x:t>
  </x:si>
  <x:si>
    <x:t xml:space="preserve">PF20 — operating-point metrics</x:t>
  </x:si>
  <x:si>
    <x:t xml:space="preserve">GLOBAL_PREFLIGHT_REPORT.json#PF20</x:t>
  </x:si>
  <x:si>
    <x:t xml:space="preserve">S7.21</x:t>
  </x:si>
  <x:si>
    <x:t xml:space="preserve">PF21 — resume path if enabled</x:t>
  </x:si>
  <x:si>
    <x:t xml:space="preserve">GLOBAL_PREFLIGHT_REPORT.json#PF21</x:t>
  </x:si>
  <x:si>
    <x:t xml:space="preserve">S7.22</x:t>
  </x:si>
  <x:si>
    <x:t xml:space="preserve">PF22 — manifest/seed/provenance</x:t>
  </x:si>
  <x:si>
    <x:t xml:space="preserve">GLOBAL_PREFLIGHT_REPORT.json#PF22</x:t>
  </x:si>
  <x:si>
    <x:t xml:space="preserve">S7.23</x:t>
  </x:si>
  <x:si>
    <x:t xml:space="preserve">PF23 — pilot-official isolation + test firewall</x:t>
  </x:si>
  <x:si>
    <x:t xml:space="preserve">GLOBAL_PREFLIGHT_REPORT.json#PF23</x:t>
  </x:si>
  <x:si>
    <x:t xml:space="preserve">S7.24</x:t>
  </x:si>
  <x:si>
    <x:t xml:space="preserve">PF24 — frozen/hashable configs + pairing diff</x:t>
  </x:si>
  <x:si>
    <x:t xml:space="preserve">GLOBAL_PREFLIGHT_REPORT.json#PF24</x:t>
  </x:si>
  <x:si>
    <x:t xml:space="preserve">S7.25</x:t>
  </x:si>
  <x:si>
    <x:t xml:space="preserve">PF25 — no unresolved protocol warning</x:t>
  </x:si>
  <x:si>
    <x:t xml:space="preserve">GLOBAL_PREFLIGHT_REPORT.json#PF25</x:t>
  </x:si>
  <x:si>
    <x:t xml:space="preserve">S7.26</x:t>
  </x:si>
  <x:si>
    <x:t xml:space="preserve">Generate GLOBAL_PREFLIGHT_REPORT.json</x:t>
  </x:si>
  <x:si>
    <x:t xml:space="preserve">All closure groups PASS.</x:t>
  </x:si>
  <x:si>
    <x:t xml:space="preserve">GLOBAL_PREFLIGHT_REPORT.json</x:t>
  </x:si>
  <x:si>
    <x:t xml:space="preserve">status=PASS</x:t>
  </x:si>
  <x:si>
    <x:t xml:space="preserve">S7.27</x:t>
  </x:si>
  <x:si>
    <x:t xml:space="preserve">Close S7</x:t>
  </x:si>
  <x:si>
    <x:t xml:space="preserve">No untested official path remains.</x:t>
  </x:si>
  <x:si>
    <x:t xml:space="preserve">S7 closure record</x:t>
  </x:si>
  <x:si>
    <x:t xml:space="preserve">S7=CLOSED / PASS</x:t>
  </x:si>
  <x:si>
    <x:t xml:space="preserve">S8</x:t>
  </x:si>
  <x:si>
    <x:t xml:space="preserve">S8.01</x:t>
  </x:si>
  <x:si>
    <x:t xml:space="preserve">Freeze</x:t>
  </x:si>
  <x:si>
    <x:t xml:space="preserve">Freeze Git commit</x:t>
  </x:si>
  <x:si>
    <x:t xml:space="preserve">Audited implementation commit immutable reference.</x:t>
  </x:si>
  <x:si>
    <x:t xml:space="preserve">frozen_source_manifest.json</x:t>
  </x:si>
  <x:si>
    <x:t xml:space="preserve">S8.02</x:t>
  </x:si>
  <x:si>
    <x:t xml:space="preserve">Freeze Docker image + digest</x:t>
  </x:si>
  <x:si>
    <x:t xml:space="preserve">Exact image identity captured.</x:t>
  </x:si>
  <x:si>
    <x:t xml:space="preserve">frozen_environment.json</x:t>
  </x:si>
  <x:si>
    <x:t xml:space="preserve">S8.03</x:t>
  </x:si>
  <x:si>
    <x:t xml:space="preserve">Freeze source/contract hashes</x:t>
  </x:si>
  <x:si>
    <x:t xml:space="preserve">Canonical hierarchy recorded.</x:t>
  </x:si>
  <x:si>
    <x:t xml:space="preserve">S8.04</x:t>
  </x:si>
  <x:si>
    <x:t xml:space="preserve">Freeze data membership hashes</x:t>
  </x:si>
  <x:si>
    <x:t xml:space="preserve">Train/val/test/L/U locked.</x:t>
  </x:si>
  <x:si>
    <x:t xml:space="preserve">frozen_data_manifest.json</x:t>
  </x:si>
  <x:si>
    <x:t xml:space="preserve">S8.05</x:t>
  </x:si>
  <x:si>
    <x:t xml:space="preserve">Freeze experiment configuration</x:t>
  </x:si>
  <x:si>
    <x:t xml:space="preserve">FROZEN_EXPERIMENTAL_CONFIGURATION.yaml.</x:t>
  </x:si>
  <x:si>
    <x:t xml:space="preserve">FROZEN_EXPERIMENTAL_CONFIGURATION.yaml</x:t>
  </x:si>
  <x:si>
    <x:t xml:space="preserve">S8.06</x:t>
  </x:si>
  <x:si>
    <x:t xml:space="preserve">Freeze evaluator</x:t>
  </x:si>
  <x:si>
    <x:t xml:space="preserve">COCO/operating/Q_pseudo hashes.</x:t>
  </x:si>
  <x:si>
    <x:t xml:space="preserve">frozen_evaluator_manifest.json</x:t>
  </x:si>
  <x:si>
    <x:t xml:space="preserve">S8.07</x:t>
  </x:si>
  <x:si>
    <x:t xml:space="preserve">Freeze statistics</x:t>
  </x:si>
  <x:si>
    <x:t xml:space="preserve">Runtime/packages/scripts/hashes.</x:t>
  </x:si>
  <x:si>
    <x:t xml:space="preserve">frozen_statistics_manifest.json</x:t>
  </x:si>
  <x:si>
    <x:t xml:space="preserve">S8.08</x:t>
  </x:si>
  <x:si>
    <x:t xml:space="preserve">Create TEST_FIREWALL_STATE.json</x:t>
  </x:si>
  <x:si>
    <x:t xml:space="preserve">test_access_authorized=false before final-test gate.</x:t>
  </x:si>
  <x:si>
    <x:t xml:space="preserve">TEST_FIREWALL_STATE.json</x:t>
  </x:si>
  <x:si>
    <x:t xml:space="preserve">S8.09</x:t>
  </x:si>
  <x:si>
    <x:t xml:space="preserve">Authorization</x:t>
  </x:si>
  <x:si>
    <x:t xml:space="preserve">Researcher review S7 evidence</x:t>
  </x:si>
  <x:si>
    <x:t xml:space="preserve">No unresolved warning.</x:t>
  </x:si>
  <x:si>
    <x:t xml:space="preserve">review record</x:t>
  </x:si>
  <x:si>
    <x:t xml:space="preserve">APPROVED</x:t>
  </x:si>
  <x:si>
    <x:t xml:space="preserve">S8.10</x:t>
  </x:si>
  <x:si>
    <x:t xml:space="preserve">Create FREEZE_AUTHORIZATION.json</x:t>
  </x:si>
  <x:si>
    <x:t xml:space="preserve">Researcher authorization before S9.</x:t>
  </x:si>
  <x:si>
    <x:t xml:space="preserve">FREEZE_AUTHORIZATION.json</x:t>
  </x:si>
  <x:si>
    <x:t xml:space="preserve">YES</x:t>
  </x:si>
  <x:si>
    <x:t xml:space="preserve">S8.11</x:t>
  </x:si>
  <x:si>
    <x:t xml:space="preserve">Close S8</x:t>
  </x:si>
  <x:si>
    <x:t xml:space="preserve">Frozen manifests valid + authorization YES.</x:t>
  </x:si>
  <x:si>
    <x:t xml:space="preserve">S8 closure record</x:t>
  </x:si>
  <x:si>
    <x:t xml:space="preserve">S8=CLOSED / PASS</x:t>
  </x:si>
  <x:si>
    <x:t xml:space="preserve">S9</x:t>
  </x:si>
  <x:si>
    <x:t xml:space="preserve">S9.01</x:t>
  </x:si>
  <x:si>
    <x:t xml:space="preserve">Matrix</x:t>
  </x:si>
  <x:si>
    <x:t xml:space="preserve">Prepare official run inventory</x:t>
  </x:si>
  <x:si>
    <x:t xml:space="preserve">80 SUP low-label +20 SUP100 +80 SSL =180.</x:t>
  </x:si>
  <x:si>
    <x:t xml:space="preserve">official_run_inventory.csv</x:t>
  </x:si>
  <x:si>
    <x:t xml:space="preserve">180 expected</x:t>
  </x:si>
  <x:si>
    <x:t xml:space="preserve">S9.02</x:t>
  </x:si>
  <x:si>
    <x:t xml:space="preserve">Enable pre_run_assertions</x:t>
  </x:si>
  <x:si>
    <x:t xml:space="preserve">Verify source/config/data/seed/arch/method/budget/evaluator/firewall before launch.</x:t>
  </x:si>
  <x:si>
    <x:t xml:space="preserve">pre_run_assertions.json</x:t>
  </x:si>
  <x:si>
    <x:t xml:space="preserve">S9.03</x:t>
  </x:si>
  <x:si>
    <x:t xml:space="preserve">SUP</x:t>
  </x:si>
  <x:si>
    <x:t xml:space="preserve">Execute 80 low-label SUP runs</x:t>
  </x:si>
  <x:si>
    <x:t xml:space="preserve">2 arch ×4 budgets ×10 seeds.</x:t>
  </x:si>
  <x:si>
    <x:t xml:space="preserve">official_training_summary.csv</x:t>
  </x:si>
  <x:si>
    <x:t xml:space="preserve">80/80</x:t>
  </x:si>
  <x:si>
    <x:t xml:space="preserve">S9.04</x:t>
  </x:si>
  <x:si>
    <x:t xml:space="preserve">SUP Reference</x:t>
  </x:si>
  <x:si>
    <x:t xml:space="preserve">Execute 20 100%-SUP runs</x:t>
  </x:si>
  <x:si>
    <x:t xml:space="preserve">2 arch ×10 seeds.</x:t>
  </x:si>
  <x:si>
    <x:t xml:space="preserve">20/20</x:t>
  </x:si>
  <x:si>
    <x:t xml:space="preserve">S9.05</x:t>
  </x:si>
  <x:si>
    <x:t xml:space="preserve">SSL</x:t>
  </x:si>
  <x:si>
    <x:t xml:space="preserve">Execute 80 low-label SSL runs</x:t>
  </x:si>
  <x:si>
    <x:t xml:space="preserve">Paired seed/L_b/update exposure; EMA Teacher official model.</x:t>
  </x:si>
  <x:si>
    <x:t xml:space="preserve">S9.06</x:t>
  </x:si>
  <x:si>
    <x:t xml:space="preserve">Retry</x:t>
  </x:si>
  <x:si>
    <x:t xml:space="preserve">Technical retry uses same exact seed</x:t>
  </x:si>
  <x:si>
    <x:t xml:space="preserve">Never retry valid poor result for performance.</x:t>
  </x:si>
  <x:si>
    <x:t xml:space="preserve">retry_deviation.json</x:t>
  </x:si>
  <x:si>
    <x:t xml:space="preserve">Same seed</x:t>
  </x:si>
  <x:si>
    <x:t xml:space="preserve">S9.07</x:t>
  </x:si>
  <x:si>
    <x:t xml:space="preserve">Continuously sync logs/checkpoints</x:t>
  </x:si>
  <x:si>
    <x:t xml:space="preserve">Vast active; Drive durable backup; verify checksum.</x:t>
  </x:si>
  <x:si>
    <x:t xml:space="preserve">S9.08</x:t>
  </x:si>
  <x:si>
    <x:t xml:space="preserve">Retain scientific checkpoints</x:t>
  </x:si>
  <x:si>
    <x:t xml:space="preserve">SUP BEST/LAST; SSL BEST/LAST EMA Teacher.</x:t>
  </x:si>
  <x:si>
    <x:t xml:space="preserve">checkpoint_index.json</x:t>
  </x:si>
  <x:si>
    <x:t xml:space="preserve">S9.09</x:t>
  </x:si>
  <x:si>
    <x:t xml:space="preserve">Compute SSL Q_pseudo</x:t>
  </x:si>
  <x:si>
    <x:t xml:space="preserve">LAST EMA Teacher on fixed validation.</x:t>
  </x:si>
  <x:si>
    <x:t xml:space="preserve">qpseudo_validation.json</x:t>
  </x:si>
  <x:si>
    <x:t xml:space="preserve">80 complete</x:t>
  </x:si>
  <x:si>
    <x:t xml:space="preserve">S9.10</x:t>
  </x:si>
  <x:si>
    <x:t xml:space="preserve">Completeness</x:t>
  </x:si>
  <x:si>
    <x:t xml:space="preserve">Verify 180 training runs closed</x:t>
  </x:si>
  <x:si>
    <x:t xml:space="preserve">No replacement seed.</x:t>
  </x:si>
  <x:si>
    <x:t xml:space="preserve">completeness_report.json</x:t>
  </x:si>
  <x:si>
    <x:t xml:space="preserve">180/180</x:t>
  </x:si>
  <x:si>
    <x:t xml:space="preserve">S9.11</x:t>
  </x:si>
  <x:si>
    <x:t xml:space="preserve">Ablation</x:t>
  </x:si>
  <x:si>
    <x:t xml:space="preserve">Run locked OFAT validation-only campaign</x:t>
  </x:si>
  <x:si>
    <x:t xml:space="preserve">R50 10%; 10 unique configs; 10 seeds/config; non-Main never test.</x:t>
  </x:si>
  <x:si>
    <x:t xml:space="preserve">results/ablation/*</x:t>
  </x:si>
  <x:si>
    <x:t xml:space="preserve">100 observations</x:t>
  </x:si>
  <x:si>
    <x:t xml:space="preserve">S9.12</x:t>
  </x:si>
  <x:si>
    <x:t xml:space="preserve">Final Test Gate</x:t>
  </x:si>
  <x:si>
    <x:t xml:space="preserve">Prepare PRE_FINAL_TEST_GATE_REPORT</x:t>
  </x:si>
  <x:si>
    <x:t xml:space="preserve">Only after training+ablation+frozen evaluator/stats.</x:t>
  </x:si>
  <x:si>
    <x:t xml:space="preserve">PRE_FINAL_TEST_GATE_REPORT.json</x:t>
  </x:si>
  <x:si>
    <x:t xml:space="preserve">S9.13</x:t>
  </x:si>
  <x:si>
    <x:t xml:space="preserve">Create eligible model inventory</x:t>
  </x:si>
  <x:si>
    <x:t xml:space="preserve">80 SUP +20 SUP100 +80 SSL BEST models.</x:t>
  </x:si>
  <x:si>
    <x:t xml:space="preserve">eligible_model_inventory.csv</x:t>
  </x:si>
  <x:si>
    <x:t xml:space="preserve">180</x:t>
  </x:si>
  <x:si>
    <x:t xml:space="preserve">S9.14</x:t>
  </x:si>
  <x:si>
    <x:t xml:space="preserve">Researcher authorizes final test</x:t>
  </x:si>
  <x:si>
    <x:t xml:space="preserve">Only after gate PASS.</x:t>
  </x:si>
  <x:si>
    <x:t xml:space="preserve">FINAL_TEST_AUTHORIZATION.json</x:t>
  </x:si>
  <x:si>
    <x:t xml:space="preserve">S9.15</x:t>
  </x:si>
  <x:si>
    <x:t xml:space="preserve">Final Test</x:t>
  </x:si>
  <x:si>
    <x:t xml:space="preserve">Evaluate 180 eligible models</x:t>
  </x:si>
  <x:si>
    <x:t xml:space="preserve">No non-Main ablation test.</x:t>
  </x:si>
  <x:si>
    <x:t xml:space="preserve">official_final_test_results.csv</x:t>
  </x:si>
  <x:si>
    <x:t xml:space="preserve">S9.16</x:t>
  </x:si>
  <x:si>
    <x:t xml:space="preserve">Analysis</x:t>
  </x:si>
  <x:si>
    <x:t xml:space="preserve">Generate paired effects + RQ1–RQ7</x:t>
  </x:si>
  <x:si>
    <x:t xml:space="preserve">Use locked statistical implementation.</x:t>
  </x:si>
  <x:si>
    <x:t xml:space="preserve">analysis/rq1..rq7</x:t>
  </x:si>
  <x:si>
    <x:t xml:space="preserve">Complete</x:t>
  </x:si>
  <x:si>
    <x:t xml:space="preserve">Progress %</x:t>
  </x:si>
  <x:si>
    <x:t xml:space="preserve">Total Tasks</x:t>
  </x:si>
  <x:si>
    <x:t xml:space="preserve">IN PROGRESS</x:t>
  </x:si>
  <x:si>
    <x:t xml:space="preserve">Purpose</x:t>
  </x:si>
  <x:si>
    <x:t xml:space="preserve">Gate to Next Stage</x:t>
  </x:si>
  <x:si>
    <x:t xml:space="preserve">Dependency</x:t>
  </x:si>
  <x:si>
    <x:t xml:space="preserve">End Date</x:t>
  </x:si>
  <x:si>
    <x:t xml:space="preserve">Source / Protocol Lock Verification</x:t>
  </x:si>
  <x:si>
    <x:t xml:space="preserve">Verify canonical locked sources, hashes, Git baseline and governance manifests.</x:t>
  </x:si>
  <x:si>
    <x:t xml:space="preserve">S0 governance artifacts valid + baseline commit/tag created</x:t>
  </x:si>
  <x:si>
    <x:t xml:space="preserve">None</x:t>
  </x:si>
  <x:si>
    <x:t xml:space="preserve">Vast Runtime + Data Ingress + Storage/Backup</x:t>
  </x:si>
  <x:si>
    <x:t xml:space="preserve">Provision exact Vast runtime, transfer 4,894 JPG to Vast local/persistent storage, verify integrity and backup/restore foundation.</x:t>
  </x:si>
  <x:si>
    <x:t xml:space="preserve">Runtime + 4,894 JPG + membership + storage/backup verification PASS</x:t>
  </x:si>
  <x:si>
    <x:t xml:space="preserve">Shared Infrastructure</x:t>
  </x:si>
  <x:si>
    <x:t xml:space="preserve">Implement shared dataset/loading/seeding/logging/checkpoint/guardrail infrastructure.</x:t>
  </x:si>
  <x:si>
    <x:t xml:space="preserve">Shared infrastructure tests PASS</x:t>
  </x:si>
  <x:si>
    <x:t xml:space="preserve">S1 = CLOSED / PASS</x:t>
  </x:si>
  <x:si>
    <x:t xml:space="preserve">Supervised Baseline</x:t>
  </x:si>
  <x:si>
    <x:t xml:space="preserve">Implement and preflight R50/Swin supervised paths and all scheduler/update branches.</x:t>
  </x:si>
  <x:si>
    <x:t xml:space="preserve">All SUP official execution paths verified</x:t>
  </x:si>
  <x:si>
    <x:t xml:space="preserve">S2 = CLOSED / PASS</x:t>
  </x:si>
  <x:si>
    <x:t xml:space="preserve">SSL Teacher–Student / EMA / Pseudo-label</x:t>
  </x:si>
  <x:si>
    <x:t xml:space="preserve">Implement and preflight Teacher/Student, EMA, pseudo-label, augmentation, hidden-U firewall and resume behavior.</x:t>
  </x:si>
  <x:si>
    <x:t xml:space="preserve">All SSL paths + firewall + EMA/AMP/geometry PASS</x:t>
  </x:si>
  <x:si>
    <x:t xml:space="preserve">S3 = CLOSED / PASS</x:t>
  </x:si>
  <x:si>
    <x:t xml:space="preserve">Evaluation + Q_pseudo</x:t>
  </x:si>
  <x:si>
    <x:t xml:space="preserve">Implement COCO evaluator, operating-point metrics and Q_pseudo path before test is opened.</x:t>
  </x:si>
  <x:si>
    <x:t xml:space="preserve">Evaluator golden tests + validation/test firewall PASS</x:t>
  </x:si>
  <x:si>
    <x:t xml:space="preserve">S4 = CLOSED / PASS</x:t>
  </x:si>
  <x:si>
    <x:t xml:space="preserve">Statistical Fixtures</x:t>
  </x:si>
  <x:si>
    <x:t xml:space="preserve">Implement statistical analysis functions and verify with synthetic/golden fixtures.</x:t>
  </x:si>
  <x:si>
    <x:t xml:space="preserve">All statistical fixtures PASS</x:t>
  </x:si>
  <x:si>
    <x:t xml:space="preserve">S5 = CLOSED / PASS</x:t>
  </x:si>
  <x:si>
    <x:t xml:space="preserve">Global Preflight</x:t>
  </x:si>
  <x:si>
    <x:t xml:space="preserve">Audit all official execution paths against closure criteria and artifact contract.</x:t>
  </x:si>
  <x:si>
    <x:t xml:space="preserve">GLOBAL_PREFLIGHT_REPORT = PASS; no unresolved protocol-relevant warning</x:t>
  </x:si>
  <x:si>
    <x:t xml:space="preserve">S6 = CLOSED / PASS</x:t>
  </x:si>
  <x:si>
    <x:t xml:space="preserve">Freeze + Researcher Authorization</x:t>
  </x:si>
  <x:si>
    <x:t xml:space="preserve">Freeze exact executable source/config/data/evaluator/statistics/environment and obtain researcher authorization.</x:t>
  </x:si>
  <x:si>
    <x:t xml:space="preserve">Freeze manifests valid + RESEARCHER AUTHORIZATION = YES</x:t>
  </x:si>
  <x:si>
    <x:t xml:space="preserve">S7 = CLOSED / PASS</x:t>
  </x:si>
  <x:si>
    <x:t xml:space="preserve">Official Training</x:t>
  </x:si>
  <x:si>
    <x:t xml:space="preserve">Execute official Main/reference matrix only after S8 PASS.</x:t>
  </x:si>
  <x:si>
    <x:t xml:space="preserve">S8 PASS required before any official run</x:t>
  </x:si>
  <x:si>
    <x:t xml:space="preserve">S8 = CLOSED / PASS</x:t>
  </x:si>
  <x:si>
    <x:t xml:space="preserve">Evidence ID</x:t>
  </x:si>
  <x:si>
    <x:t xml:space="preserve">Artifact / Evidence</x:t>
  </x:si>
  <x:si>
    <x:t xml:space="preserve">Type</x:t>
  </x:si>
  <x:si>
    <x:t xml:space="preserve">Required?</x:t>
  </x:si>
  <x:si>
    <x:t xml:space="preserve">Expected Path</x:t>
  </x:si>
  <x:si>
    <x:t xml:space="preserve">Observed Path</x:t>
  </x:si>
  <x:si>
    <x:t xml:space="preserve">SHA-256 / Identity</x:t>
  </x:si>
  <x:si>
    <x:t xml:space="preserve">Verification</x:t>
  </x:si>
  <x:si>
    <x:t xml:space="preserve">Source</x:t>
  </x:si>
  <x:si>
    <x:t xml:space="preserve">E001</x:t>
  </x:si>
  <x:si>
    <x:t xml:space="preserve">Artifact/Evidence</x:t>
  </x:si>
  <x:si>
    <x:t xml:space="preserve">NOT_CREATED</x:t>
  </x:si>
  <x:si>
    <x:t xml:space="preserve">PENDING</x:t>
  </x:si>
  <x:si>
    <x:t xml:space="preserve">E002</x:t>
  </x:si>
  <x:si>
    <x:t xml:space="preserve">E003</x:t>
  </x:si>
  <x:si>
    <x:t xml:space="preserve">E004</x:t>
  </x:si>
  <x:si>
    <x:t xml:space="preserve">E005</x:t>
  </x:si>
  <x:si>
    <x:t xml:space="preserve">E006</x:t>
  </x:si>
  <x:si>
    <x:t xml:space="preserve">E007</x:t>
  </x:si>
  <x:si>
    <x:t xml:space="preserve">E008</x:t>
  </x:si>
  <x:si>
    <x:t xml:space="preserve">E009</x:t>
  </x:si>
  <x:si>
    <x:t xml:space="preserve">E010</x:t>
  </x:si>
  <x:si>
    <x:t xml:space="preserve">E011</x:t>
  </x:si>
  <x:si>
    <x:t xml:space="preserve">E012</x:t>
  </x:si>
  <x:si>
    <x:t xml:space="preserve">E013</x:t>
  </x:si>
  <x:si>
    <x:t xml:space="preserve">SOURCE_PROTOCOL_LOCK_REPORT.json</x:t>
  </x:si>
  <x:si>
    <x:t xml:space="preserve">E014</x:t>
  </x:si>
  <x:si>
    <x:t xml:space="preserve">E015</x:t>
  </x:si>
  <x:si>
    <x:t xml:space="preserve">E016</x:t>
  </x:si>
  <x:si>
    <x:t xml:space="preserve">E017</x:t>
  </x:si>
  <x:si>
    <x:t xml:space="preserve">E018</x:t>
  </x:si>
  <x:si>
    <x:t xml:space="preserve">E019</x:t>
  </x:si>
  <x:si>
    <x:t xml:space="preserve">E020</x:t>
  </x:si>
  <x:si>
    <x:t xml:space="preserve">E021</x:t>
  </x:si>
  <x:si>
    <x:t xml:space="preserve">E022</x:t>
  </x:si>
  <x:si>
    <x:t xml:space="preserve">E023</x:t>
  </x:si>
  <x:si>
    <x:t xml:space="preserve">E024</x:t>
  </x:si>
  <x:si>
    <x:t xml:space="preserve">E025</x:t>
  </x:si>
  <x:si>
    <x:t xml:space="preserve">E026</x:t>
  </x:si>
  <x:si>
    <x:t xml:space="preserve">E027</x:t>
  </x:si>
  <x:si>
    <x:t xml:space="preserve">E028</x:t>
  </x:si>
  <x:si>
    <x:t xml:space="preserve">E029</x:t>
  </x:si>
  <x:si>
    <x:t xml:space="preserve">E030</x:t>
  </x:si>
  <x:si>
    <x:t xml:space="preserve">E031</x:t>
  </x:si>
  <x:si>
    <x:t xml:space="preserve">E032</x:t>
  </x:si>
  <x:si>
    <x:t xml:space="preserve">E033</x:t>
  </x:si>
  <x:si>
    <x:t xml:space="preserve">E034</x:t>
  </x:si>
  <x:si>
    <x:t xml:space="preserve">E035</x:t>
  </x:si>
  <x:si>
    <x:t xml:space="preserve">E036</x:t>
  </x:si>
  <x:si>
    <x:t xml:space="preserve">E037</x:t>
  </x:si>
  <x:si>
    <x:t xml:space="preserve">E038</x:t>
  </x:si>
  <x:si>
    <x:t xml:space="preserve">E039</x:t>
  </x:si>
  <x:si>
    <x:t xml:space="preserve">E040</x:t>
  </x:si>
  <x:si>
    <x:t xml:space="preserve">E041</x:t>
  </x:si>
  <x:si>
    <x:t xml:space="preserve">E042</x:t>
  </x:si>
  <x:si>
    <x:t xml:space="preserve">E043</x:t>
  </x:si>
  <x:si>
    <x:t xml:space="preserve">E044</x:t>
  </x:si>
  <x:si>
    <x:t xml:space="preserve">E045</x:t>
  </x:si>
  <x:si>
    <x:t xml:space="preserve">E046</x:t>
  </x:si>
  <x:si>
    <x:t xml:space="preserve">E047</x:t>
  </x:si>
  <x:si>
    <x:t xml:space="preserve">E048</x:t>
  </x:si>
  <x:si>
    <x:t xml:space="preserve">E049</x:t>
  </x:si>
  <x:si>
    <x:t xml:space="preserve">E050</x:t>
  </x:si>
  <x:si>
    <x:t xml:space="preserve">E051</x:t>
  </x:si>
  <x:si>
    <x:t xml:space="preserve">E052</x:t>
  </x:si>
  <x:si>
    <x:t xml:space="preserve">E053</x:t>
  </x:si>
  <x:si>
    <x:t xml:space="preserve">E054</x:t>
  </x:si>
  <x:si>
    <x:t xml:space="preserve">E055</x:t>
  </x:si>
  <x:si>
    <x:t xml:space="preserve">E056</x:t>
  </x:si>
  <x:si>
    <x:t xml:space="preserve">E057</x:t>
  </x:si>
  <x:si>
    <x:t xml:space="preserve">E058</x:t>
  </x:si>
  <x:si>
    <x:t xml:space="preserve">E059</x:t>
  </x:si>
  <x:si>
    <x:t xml:space="preserve">E060</x:t>
  </x:si>
  <x:si>
    <x:t xml:space="preserve">E061</x:t>
  </x:si>
  <x:si>
    <x:t xml:space="preserve">E062</x:t>
  </x:si>
  <x:si>
    <x:t xml:space="preserve">E063</x:t>
  </x:si>
  <x:si>
    <x:t xml:space="preserve">E064</x:t>
  </x:si>
  <x:si>
    <x:t xml:space="preserve">E065</x:t>
  </x:si>
  <x:si>
    <x:t xml:space="preserve">E066</x:t>
  </x:si>
  <x:si>
    <x:t xml:space="preserve">E067</x:t>
  </x:si>
  <x:si>
    <x:t xml:space="preserve">E068</x:t>
  </x:si>
  <x:si>
    <x:t xml:space="preserve">E069</x:t>
  </x:si>
  <x:si>
    <x:t xml:space="preserve">E070</x:t>
  </x:si>
  <x:si>
    <x:t xml:space="preserve">E071</x:t>
  </x:si>
  <x:si>
    <x:t xml:space="preserve">E072</x:t>
  </x:si>
  <x:si>
    <x:t xml:space="preserve">E073</x:t>
  </x:si>
  <x:si>
    <x:t xml:space="preserve">E074</x:t>
  </x:si>
  <x:si>
    <x:t xml:space="preserve">E075</x:t>
  </x:si>
  <x:si>
    <x:t xml:space="preserve">E076</x:t>
  </x:si>
  <x:si>
    <x:t xml:space="preserve">E077</x:t>
  </x:si>
  <x:si>
    <x:t xml:space="preserve">E078</x:t>
  </x:si>
  <x:si>
    <x:t xml:space="preserve">E079</x:t>
  </x:si>
  <x:si>
    <x:t xml:space="preserve">E080</x:t>
  </x:si>
  <x:si>
    <x:t xml:space="preserve">E081</x:t>
  </x:si>
  <x:si>
    <x:t xml:space="preserve">E082</x:t>
  </x:si>
  <x:si>
    <x:t xml:space="preserve">E083</x:t>
  </x:si>
  <x:si>
    <x:t xml:space="preserve">E084</x:t>
  </x:si>
  <x:si>
    <x:t xml:space="preserve">E085</x:t>
  </x:si>
  <x:si>
    <x:t xml:space="preserve">E086</x:t>
  </x:si>
  <x:si>
    <x:t xml:space="preserve">E087</x:t>
  </x:si>
  <x:si>
    <x:t xml:space="preserve">E088</x:t>
  </x:si>
  <x:si>
    <x:t xml:space="preserve">E089</x:t>
  </x:si>
  <x:si>
    <x:t xml:space="preserve">E090</x:t>
  </x:si>
  <x:si>
    <x:t xml:space="preserve">E091</x:t>
  </x:si>
  <x:si>
    <x:t xml:space="preserve">E092</x:t>
  </x:si>
  <x:si>
    <x:t xml:space="preserve">E093</x:t>
  </x:si>
  <x:si>
    <x:t xml:space="preserve">E094</x:t>
  </x:si>
  <x:si>
    <x:t xml:space="preserve">E095</x:t>
  </x:si>
  <x:si>
    <x:t xml:space="preserve">E096</x:t>
  </x:si>
  <x:si>
    <x:t xml:space="preserve">E097</x:t>
  </x:si>
  <x:si>
    <x:t xml:space="preserve">E098</x:t>
  </x:si>
  <x:si>
    <x:t xml:space="preserve">E099</x:t>
  </x:si>
  <x:si>
    <x:t xml:space="preserve">E100</x:t>
  </x:si>
  <x:si>
    <x:t xml:space="preserve">E101</x:t>
  </x:si>
  <x:si>
    <x:t xml:space="preserve">E102</x:t>
  </x:si>
  <x:si>
    <x:t xml:space="preserve">E103</x:t>
  </x:si>
  <x:si>
    <x:t xml:space="preserve">E104</x:t>
  </x:si>
  <x:si>
    <x:t xml:space="preserve">E105</x:t>
  </x:si>
  <x:si>
    <x:t xml:space="preserve">E106</x:t>
  </x:si>
  <x:si>
    <x:t xml:space="preserve">E107</x:t>
  </x:si>
  <x:si>
    <x:t xml:space="preserve">E108</x:t>
  </x:si>
  <x:si>
    <x:t xml:space="preserve">E109</x:t>
  </x:si>
  <x:si>
    <x:t xml:space="preserve">E110</x:t>
  </x:si>
  <x:si>
    <x:t xml:space="preserve">E111</x:t>
  </x:si>
  <x:si>
    <x:t xml:space="preserve">E112</x:t>
  </x:si>
  <x:si>
    <x:t xml:space="preserve">E113</x:t>
  </x:si>
  <x:si>
    <x:t xml:space="preserve">E114</x:t>
  </x:si>
  <x:si>
    <x:t xml:space="preserve">E115</x:t>
  </x:si>
  <x:si>
    <x:t xml:space="preserve">E116</x:t>
  </x:si>
  <x:si>
    <x:t xml:space="preserve">E117</x:t>
  </x:si>
  <x:si>
    <x:t xml:space="preserve">E118</x:t>
  </x:si>
  <x:si>
    <x:t xml:space="preserve">E119</x:t>
  </x:si>
  <x:si>
    <x:t xml:space="preserve">Risk ID</x:t>
  </x:si>
  <x:si>
    <x:t xml:space="preserve">Date Raised</x:t>
  </x:si>
  <x:si>
    <x:t xml:space="preserve">Description</x:t>
  </x:si>
  <x:si>
    <x:t xml:space="preserve">Severity</x:t>
  </x:si>
  <x:si>
    <x:t xml:space="preserve">Probability</x:t>
  </x:si>
  <x:si>
    <x:t xml:space="preserve">Mitigation / Next Action</x:t>
  </x:si>
  <x:si>
    <x:t xml:space="preserve">Evidence / Link</x:t>
  </x:si>
  <x:si>
    <x:t xml:space="preserve">Resolved Date</x:t>
  </x:si>
  <x:si>
    <x:t xml:space="preserve">R001</x:t>
  </x:si>
  <x:si>
    <x:t xml:space="preserve">Vast instance may be terminated before checkpoints/logs are durably backed up.</x:t>
  </x:si>
  <x:si>
    <x:t xml:space="preserve">OPEN</x:t>
  </x:si>
  <x:si>
    <x:t xml:space="preserve">Implement verified continuous backup + restore test before model implementation.</x:t>
  </x:si>
  <x:si>
    <x:t xml:space="preserve">R002</x:t>
  </x:si>
  <x:si>
    <x:t xml:space="preserve">Data</x:t>
  </x:si>
  <x:si>
    <x:t xml:space="preserve">Training directly from Google Drive could cause unstable I/O and violate storage contract.</x:t>
  </x:si>
  <x:si>
    <x:t xml:space="preserve">Force DataLoader image root to Vast local/persistent storage.</x:t>
  </x:si>
  <x:si>
    <x:t xml:space="preserve">R003</x:t>
  </x:si>
  <x:si>
    <x:t xml:space="preserve">Scientific</x:t>
  </x:si>
  <x:si>
    <x:t xml:space="preserve">Hidden U ground truth could leak via dataset/evaluator hooks.</x:t>
  </x:si>
  <x:si>
    <x:t xml:space="preserve">Hard firewall test before official SSL path.</x:t>
  </x:si>
  <x:si>
    <x:t xml:space="preserve">R004</x:t>
  </x:si>
  <x:si>
    <x:t xml:space="preserve">Technical interruption could lose optimizer/Teacher/AMP state.</x:t>
  </x:si>
  <x:si>
    <x:t xml:space="preserve">Verify latest_resume and same-seed resume path before S8.</x:t>
  </x:si>
  <x:si>
    <x:t xml:space="preserve">Run ID</x:t>
  </x:si>
  <x:si>
    <x:t xml:space="preserve">Condition Role</x:t>
  </x:si>
  <x:si>
    <x:t xml:space="preserve">Method</x:t>
  </x:si>
  <x:si>
    <x:t xml:space="preserve">Budget</x:t>
  </x:si>
  <x:si>
    <x:t xml:space="preserve">Seed Index</x:t>
  </x:si>
  <x:si>
    <x:t xml:space="preserve">Training Seed</x:t>
  </x:si>
  <x:si>
    <x:t xml:space="preserve">Expected</x:t>
  </x:si>
  <x:si>
    <x:t xml:space="preserve">Training Status</x:t>
  </x:si>
  <x:si>
    <x:t xml:space="preserve">Attempt Used</x:t>
  </x:si>
  <x:si>
    <x:t xml:space="preserve">BEST Checkpoint</x:t>
  </x:si>
  <x:si>
    <x:t xml:space="preserve">LAST Checkpoint</x:t>
  </x:si>
  <x:si>
    <x:t xml:space="preserve">Q_pseudo Status</x:t>
  </x:si>
  <x:si>
    <x:t xml:space="preserve">Backup Verified</x:t>
  </x:si>
  <x:si>
    <x:t xml:space="preserve">Eligible Final Test</x:t>
  </x:si>
  <x:si>
    <x:t xml:space="preserve">Final Eval Status</x:t>
  </x:si>
  <x:si>
    <x:t xml:space="preserve">OFF_SUP_R50_B01_S01</x:t>
  </x:si>
  <x:si>
    <x:t xml:space="preserve">MAIN_LOW_LABEL</x:t>
  </x:si>
  <x:si>
    <x:t xml:space="preserve">R50-FPN</x:t>
  </x:si>
  <x:si>
    <x:t xml:space="preserve">B01</x:t>
  </x:si>
  <x:si>
    <x:t xml:space="preserve">NO</x:t>
  </x:si>
  <x:si>
    <x:t xml:space="preserve">OFF_SUP_R50_B01_S02</x:t>
  </x:si>
  <x:si>
    <x:t xml:space="preserve">OFF_SUP_R50_B01_S03</x:t>
  </x:si>
  <x:si>
    <x:t xml:space="preserve">OFF_SUP_R50_B01_S04</x:t>
  </x:si>
  <x:si>
    <x:t xml:space="preserve">OFF_SUP_R50_B01_S05</x:t>
  </x:si>
  <x:si>
    <x:t xml:space="preserve">OFF_SUP_R50_B01_S06</x:t>
  </x:si>
  <x:si>
    <x:t xml:space="preserve">OFF_SUP_R50_B01_S07</x:t>
  </x:si>
  <x:si>
    <x:t xml:space="preserve">OFF_SUP_R50_B01_S08</x:t>
  </x:si>
  <x:si>
    <x:t xml:space="preserve">OFF_SUP_R50_B01_S09</x:t>
  </x:si>
  <x:si>
    <x:t xml:space="preserve">OFF_SUP_R50_B01_S10</x:t>
  </x:si>
  <x:si>
    <x:t xml:space="preserve">OFF_SUP_R50_B05_S01</x:t>
  </x:si>
  <x:si>
    <x:t xml:space="preserve">B05</x:t>
  </x:si>
  <x:si>
    <x:t xml:space="preserve">OFF_SUP_R50_B05_S02</x:t>
  </x:si>
  <x:si>
    <x:t xml:space="preserve">OFF_SUP_R50_B05_S03</x:t>
  </x:si>
  <x:si>
    <x:t xml:space="preserve">OFF_SUP_R50_B05_S04</x:t>
  </x:si>
  <x:si>
    <x:t xml:space="preserve">OFF_SUP_R50_B05_S05</x:t>
  </x:si>
  <x:si>
    <x:t xml:space="preserve">OFF_SUP_R50_B05_S06</x:t>
  </x:si>
  <x:si>
    <x:t xml:space="preserve">OFF_SUP_R50_B05_S07</x:t>
  </x:si>
  <x:si>
    <x:t xml:space="preserve">OFF_SUP_R50_B05_S08</x:t>
  </x:si>
  <x:si>
    <x:t xml:space="preserve">OFF_SUP_R50_B05_S09</x:t>
  </x:si>
  <x:si>
    <x:t xml:space="preserve">OFF_SUP_R50_B05_S10</x:t>
  </x:si>
  <x:si>
    <x:t xml:space="preserve">OFF_SUP_R50_B10_S01</x:t>
  </x:si>
  <x:si>
    <x:t xml:space="preserve">B10</x:t>
  </x:si>
  <x:si>
    <x:t xml:space="preserve">OFF_SUP_R50_B10_S02</x:t>
  </x:si>
  <x:si>
    <x:t xml:space="preserve">OFF_SUP_R50_B10_S03</x:t>
  </x:si>
  <x:si>
    <x:t xml:space="preserve">OFF_SUP_R50_B10_S04</x:t>
  </x:si>
  <x:si>
    <x:t xml:space="preserve">OFF_SUP_R50_B10_S05</x:t>
  </x:si>
  <x:si>
    <x:t xml:space="preserve">OFF_SUP_R50_B10_S06</x:t>
  </x:si>
  <x:si>
    <x:t xml:space="preserve">OFF_SUP_R50_B10_S07</x:t>
  </x:si>
  <x:si>
    <x:t xml:space="preserve">OFF_SUP_R50_B10_S08</x:t>
  </x:si>
  <x:si>
    <x:t xml:space="preserve">OFF_SUP_R50_B10_S09</x:t>
  </x:si>
  <x:si>
    <x:t xml:space="preserve">OFF_SUP_R50_B10_S10</x:t>
  </x:si>
  <x:si>
    <x:t xml:space="preserve">OFF_SUP_R50_B20_S01</x:t>
  </x:si>
  <x:si>
    <x:t xml:space="preserve">B20</x:t>
  </x:si>
  <x:si>
    <x:t xml:space="preserve">OFF_SUP_R50_B20_S02</x:t>
  </x:si>
  <x:si>
    <x:t xml:space="preserve">OFF_SUP_R50_B20_S03</x:t>
  </x:si>
  <x:si>
    <x:t xml:space="preserve">OFF_SUP_R50_B20_S04</x:t>
  </x:si>
  <x:si>
    <x:t xml:space="preserve">OFF_SUP_R50_B20_S05</x:t>
  </x:si>
  <x:si>
    <x:t xml:space="preserve">OFF_SUP_R50_B20_S06</x:t>
  </x:si>
  <x:si>
    <x:t xml:space="preserve">OFF_SUP_R50_B20_S07</x:t>
  </x:si>
  <x:si>
    <x:t xml:space="preserve">OFF_SUP_R50_B20_S08</x:t>
  </x:si>
  <x:si>
    <x:t xml:space="preserve">OFF_SUP_R50_B20_S09</x:t>
  </x:si>
  <x:si>
    <x:t xml:space="preserve">OFF_SUP_R50_B20_S10</x:t>
  </x:si>
  <x:si>
    <x:t xml:space="preserve">OFF_SUP_SWIN_B01_S01</x:t>
  </x:si>
  <x:si>
    <x:t xml:space="preserve">Swin-T-FPN</x:t>
  </x:si>
  <x:si>
    <x:t xml:space="preserve">OFF_SUP_SWIN_B01_S02</x:t>
  </x:si>
  <x:si>
    <x:t xml:space="preserve">OFF_SUP_SWIN_B01_S03</x:t>
  </x:si>
  <x:si>
    <x:t xml:space="preserve">OFF_SUP_SWIN_B01_S04</x:t>
  </x:si>
  <x:si>
    <x:t xml:space="preserve">OFF_SUP_SWIN_B01_S05</x:t>
  </x:si>
  <x:si>
    <x:t xml:space="preserve">OFF_SUP_SWIN_B01_S06</x:t>
  </x:si>
  <x:si>
    <x:t xml:space="preserve">OFF_SUP_SWIN_B01_S07</x:t>
  </x:si>
  <x:si>
    <x:t xml:space="preserve">OFF_SUP_SWIN_B01_S08</x:t>
  </x:si>
  <x:si>
    <x:t xml:space="preserve">OFF_SUP_SWIN_B01_S09</x:t>
  </x:si>
  <x:si>
    <x:t xml:space="preserve">OFF_SUP_SWIN_B01_S10</x:t>
  </x:si>
  <x:si>
    <x:t xml:space="preserve">OFF_SUP_SWIN_B05_S01</x:t>
  </x:si>
  <x:si>
    <x:t xml:space="preserve">OFF_SUP_SWIN_B05_S02</x:t>
  </x:si>
  <x:si>
    <x:t xml:space="preserve">OFF_SUP_SWIN_B05_S03</x:t>
  </x:si>
  <x:si>
    <x:t xml:space="preserve">OFF_SUP_SWIN_B05_S04</x:t>
  </x:si>
  <x:si>
    <x:t xml:space="preserve">OFF_SUP_SWIN_B05_S05</x:t>
  </x:si>
  <x:si>
    <x:t xml:space="preserve">OFF_SUP_SWIN_B05_S06</x:t>
  </x:si>
  <x:si>
    <x:t xml:space="preserve">OFF_SUP_SWIN_B05_S07</x:t>
  </x:si>
  <x:si>
    <x:t xml:space="preserve">OFF_SUP_SWIN_B05_S08</x:t>
  </x:si>
  <x:si>
    <x:t xml:space="preserve">OFF_SUP_SWIN_B05_S09</x:t>
  </x:si>
  <x:si>
    <x:t xml:space="preserve">OFF_SUP_SWIN_B05_S10</x:t>
  </x:si>
  <x:si>
    <x:t xml:space="preserve">OFF_SUP_SWIN_B10_S01</x:t>
  </x:si>
  <x:si>
    <x:t xml:space="preserve">OFF_SUP_SWIN_B10_S02</x:t>
  </x:si>
  <x:si>
    <x:t xml:space="preserve">OFF_SUP_SWIN_B10_S03</x:t>
  </x:si>
  <x:si>
    <x:t xml:space="preserve">OFF_SUP_SWIN_B10_S04</x:t>
  </x:si>
  <x:si>
    <x:t xml:space="preserve">OFF_SUP_SWIN_B10_S05</x:t>
  </x:si>
  <x:si>
    <x:t xml:space="preserve">OFF_SUP_SWIN_B10_S06</x:t>
  </x:si>
  <x:si>
    <x:t xml:space="preserve">OFF_SUP_SWIN_B10_S07</x:t>
  </x:si>
  <x:si>
    <x:t xml:space="preserve">OFF_SUP_SWIN_B10_S08</x:t>
  </x:si>
  <x:si>
    <x:t xml:space="preserve">OFF_SUP_SWIN_B10_S09</x:t>
  </x:si>
  <x:si>
    <x:t xml:space="preserve">OFF_SUP_SWIN_B10_S10</x:t>
  </x:si>
  <x:si>
    <x:t xml:space="preserve">OFF_SUP_SWIN_B20_S01</x:t>
  </x:si>
  <x:si>
    <x:t xml:space="preserve">OFF_SUP_SWIN_B20_S02</x:t>
  </x:si>
  <x:si>
    <x:t xml:space="preserve">OFF_SUP_SWIN_B20_S03</x:t>
  </x:si>
  <x:si>
    <x:t xml:space="preserve">OFF_SUP_SWIN_B20_S04</x:t>
  </x:si>
  <x:si>
    <x:t xml:space="preserve">OFF_SUP_SWIN_B20_S05</x:t>
  </x:si>
  <x:si>
    <x:t xml:space="preserve">OFF_SUP_SWIN_B20_S06</x:t>
  </x:si>
  <x:si>
    <x:t xml:space="preserve">OFF_SUP_SWIN_B20_S07</x:t>
  </x:si>
  <x:si>
    <x:t xml:space="preserve">OFF_SUP_SWIN_B20_S08</x:t>
  </x:si>
  <x:si>
    <x:t xml:space="preserve">OFF_SUP_SWIN_B20_S09</x:t>
  </x:si>
  <x:si>
    <x:t xml:space="preserve">OFF_SUP_SWIN_B20_S10</x:t>
  </x:si>
  <x:si>
    <x:t xml:space="preserve">OFF_SSL_R50_B01_S01</x:t>
  </x:si>
  <x:si>
    <x:t xml:space="preserve">OFF_SSL_R50_B01_S02</x:t>
  </x:si>
  <x:si>
    <x:t xml:space="preserve">OFF_SSL_R50_B01_S03</x:t>
  </x:si>
  <x:si>
    <x:t xml:space="preserve">OFF_SSL_R50_B01_S04</x:t>
  </x:si>
  <x:si>
    <x:t xml:space="preserve">OFF_SSL_R50_B01_S05</x:t>
  </x:si>
  <x:si>
    <x:t xml:space="preserve">OFF_SSL_R50_B01_S06</x:t>
  </x:si>
  <x:si>
    <x:t xml:space="preserve">OFF_SSL_R50_B01_S07</x:t>
  </x:si>
  <x:si>
    <x:t xml:space="preserve">OFF_SSL_R50_B01_S08</x:t>
  </x:si>
  <x:si>
    <x:t xml:space="preserve">OFF_SSL_R50_B01_S09</x:t>
  </x:si>
  <x:si>
    <x:t xml:space="preserve">OFF_SSL_R50_B01_S10</x:t>
  </x:si>
  <x:si>
    <x:t xml:space="preserve">OFF_SSL_R50_B05_S01</x:t>
  </x:si>
  <x:si>
    <x:t xml:space="preserve">OFF_SSL_R50_B05_S02</x:t>
  </x:si>
  <x:si>
    <x:t xml:space="preserve">OFF_SSL_R50_B05_S03</x:t>
  </x:si>
  <x:si>
    <x:t xml:space="preserve">OFF_SSL_R50_B05_S04</x:t>
  </x:si>
  <x:si>
    <x:t xml:space="preserve">OFF_SSL_R50_B05_S05</x:t>
  </x:si>
  <x:si>
    <x:t xml:space="preserve">OFF_SSL_R50_B05_S06</x:t>
  </x:si>
  <x:si>
    <x:t xml:space="preserve">OFF_SSL_R50_B05_S07</x:t>
  </x:si>
  <x:si>
    <x:t xml:space="preserve">OFF_SSL_R50_B05_S08</x:t>
  </x:si>
  <x:si>
    <x:t xml:space="preserve">OFF_SSL_R50_B05_S09</x:t>
  </x:si>
  <x:si>
    <x:t xml:space="preserve">OFF_SSL_R50_B05_S10</x:t>
  </x:si>
  <x:si>
    <x:t xml:space="preserve">OFF_SSL_R50_B10_S01</x:t>
  </x:si>
  <x:si>
    <x:t xml:space="preserve">OFF_SSL_R50_B10_S02</x:t>
  </x:si>
  <x:si>
    <x:t xml:space="preserve">OFF_SSL_R50_B10_S03</x:t>
  </x:si>
  <x:si>
    <x:t xml:space="preserve">OFF_SSL_R50_B10_S04</x:t>
  </x:si>
  <x:si>
    <x:t xml:space="preserve">OFF_SSL_R50_B10_S05</x:t>
  </x:si>
  <x:si>
    <x:t xml:space="preserve">OFF_SSL_R50_B10_S06</x:t>
  </x:si>
  <x:si>
    <x:t xml:space="preserve">OFF_SSL_R50_B10_S07</x:t>
  </x:si>
  <x:si>
    <x:t xml:space="preserve">OFF_SSL_R50_B10_S08</x:t>
  </x:si>
  <x:si>
    <x:t xml:space="preserve">OFF_SSL_R50_B10_S09</x:t>
  </x:si>
  <x:si>
    <x:t xml:space="preserve">OFF_SSL_R50_B10_S10</x:t>
  </x:si>
  <x:si>
    <x:t xml:space="preserve">OFF_SSL_R50_B20_S01</x:t>
  </x:si>
  <x:si>
    <x:t xml:space="preserve">OFF_SSL_R50_B20_S02</x:t>
  </x:si>
  <x:si>
    <x:t xml:space="preserve">OFF_SSL_R50_B20_S03</x:t>
  </x:si>
  <x:si>
    <x:t xml:space="preserve">OFF_SSL_R50_B20_S04</x:t>
  </x:si>
  <x:si>
    <x:t xml:space="preserve">OFF_SSL_R50_B20_S05</x:t>
  </x:si>
  <x:si>
    <x:t xml:space="preserve">OFF_SSL_R50_B20_S06</x:t>
  </x:si>
  <x:si>
    <x:t xml:space="preserve">OFF_SSL_R50_B20_S07</x:t>
  </x:si>
  <x:si>
    <x:t xml:space="preserve">OFF_SSL_R50_B20_S08</x:t>
  </x:si>
  <x:si>
    <x:t xml:space="preserve">OFF_SSL_R50_B20_S09</x:t>
  </x:si>
  <x:si>
    <x:t xml:space="preserve">OFF_SSL_R50_B20_S10</x:t>
  </x:si>
  <x:si>
    <x:t xml:space="preserve">OFF_SSL_SWIN_B01_S01</x:t>
  </x:si>
  <x:si>
    <x:t xml:space="preserve">OFF_SSL_SWIN_B01_S02</x:t>
  </x:si>
  <x:si>
    <x:t xml:space="preserve">OFF_SSL_SWIN_B01_S03</x:t>
  </x:si>
  <x:si>
    <x:t xml:space="preserve">OFF_SSL_SWIN_B01_S04</x:t>
  </x:si>
  <x:si>
    <x:t xml:space="preserve">OFF_SSL_SWIN_B01_S05</x:t>
  </x:si>
  <x:si>
    <x:t xml:space="preserve">OFF_SSL_SWIN_B01_S06</x:t>
  </x:si>
  <x:si>
    <x:t xml:space="preserve">OFF_SSL_SWIN_B01_S07</x:t>
  </x:si>
  <x:si>
    <x:t xml:space="preserve">OFF_SSL_SWIN_B01_S08</x:t>
  </x:si>
  <x:si>
    <x:t xml:space="preserve">OFF_SSL_SWIN_B01_S09</x:t>
  </x:si>
  <x:si>
    <x:t xml:space="preserve">OFF_SSL_SWIN_B01_S10</x:t>
  </x:si>
  <x:si>
    <x:t xml:space="preserve">OFF_SSL_SWIN_B05_S01</x:t>
  </x:si>
  <x:si>
    <x:t xml:space="preserve">OFF_SSL_SWIN_B05_S02</x:t>
  </x:si>
  <x:si>
    <x:t xml:space="preserve">OFF_SSL_SWIN_B05_S03</x:t>
  </x:si>
  <x:si>
    <x:t xml:space="preserve">OFF_SSL_SWIN_B05_S04</x:t>
  </x:si>
  <x:si>
    <x:t xml:space="preserve">OFF_SSL_SWIN_B05_S05</x:t>
  </x:si>
  <x:si>
    <x:t xml:space="preserve">OFF_SSL_SWIN_B05_S06</x:t>
  </x:si>
  <x:si>
    <x:t xml:space="preserve">OFF_SSL_SWIN_B05_S07</x:t>
  </x:si>
  <x:si>
    <x:t xml:space="preserve">OFF_SSL_SWIN_B05_S08</x:t>
  </x:si>
  <x:si>
    <x:t xml:space="preserve">OFF_SSL_SWIN_B05_S09</x:t>
  </x:si>
  <x:si>
    <x:t xml:space="preserve">OFF_SSL_SWIN_B05_S10</x:t>
  </x:si>
  <x:si>
    <x:t xml:space="preserve">OFF_SSL_SWIN_B10_S01</x:t>
  </x:si>
  <x:si>
    <x:t xml:space="preserve">OFF_SSL_SWIN_B10_S02</x:t>
  </x:si>
  <x:si>
    <x:t xml:space="preserve">OFF_SSL_SWIN_B10_S03</x:t>
  </x:si>
  <x:si>
    <x:t xml:space="preserve">OFF_SSL_SWIN_B10_S04</x:t>
  </x:si>
  <x:si>
    <x:t xml:space="preserve">OFF_SSL_SWIN_B10_S05</x:t>
  </x:si>
  <x:si>
    <x:t xml:space="preserve">OFF_SSL_SWIN_B10_S06</x:t>
  </x:si>
  <x:si>
    <x:t xml:space="preserve">OFF_SSL_SWIN_B10_S07</x:t>
  </x:si>
  <x:si>
    <x:t xml:space="preserve">OFF_SSL_SWIN_B10_S08</x:t>
  </x:si>
  <x:si>
    <x:t xml:space="preserve">OFF_SSL_SWIN_B10_S09</x:t>
  </x:si>
  <x:si>
    <x:t xml:space="preserve">OFF_SSL_SWIN_B10_S10</x:t>
  </x:si>
  <x:si>
    <x:t xml:space="preserve">OFF_SSL_SWIN_B20_S01</x:t>
  </x:si>
  <x:si>
    <x:t xml:space="preserve">OFF_SSL_SWIN_B20_S02</x:t>
  </x:si>
  <x:si>
    <x:t xml:space="preserve">OFF_SSL_SWIN_B20_S03</x:t>
  </x:si>
  <x:si>
    <x:t xml:space="preserve">OFF_SSL_SWIN_B20_S04</x:t>
  </x:si>
  <x:si>
    <x:t xml:space="preserve">OFF_SSL_SWIN_B20_S05</x:t>
  </x:si>
  <x:si>
    <x:t xml:space="preserve">OFF_SSL_SWIN_B20_S06</x:t>
  </x:si>
  <x:si>
    <x:t xml:space="preserve">OFF_SSL_SWIN_B20_S07</x:t>
  </x:si>
  <x:si>
    <x:t xml:space="preserve">OFF_SSL_SWIN_B20_S08</x:t>
  </x:si>
  <x:si>
    <x:t xml:space="preserve">OFF_SSL_SWIN_B20_S09</x:t>
  </x:si>
  <x:si>
    <x:t xml:space="preserve">OFF_SSL_SWIN_B20_S10</x:t>
  </x:si>
  <x:si>
    <x:t xml:space="preserve">OFF_SUP_R50_B100_S01</x:t>
  </x:si>
  <x:si>
    <x:t xml:space="preserve">SUP_REFERENCE</x:t>
  </x:si>
  <x:si>
    <x:t xml:space="preserve">B100</x:t>
  </x:si>
  <x:si>
    <x:t xml:space="preserve">OFF_SUP_R50_B100_S02</x:t>
  </x:si>
  <x:si>
    <x:t xml:space="preserve">OFF_SUP_R50_B100_S03</x:t>
  </x:si>
  <x:si>
    <x:t xml:space="preserve">OFF_SUP_R50_B100_S04</x:t>
  </x:si>
  <x:si>
    <x:t xml:space="preserve">OFF_SUP_R50_B100_S05</x:t>
  </x:si>
  <x:si>
    <x:t xml:space="preserve">OFF_SUP_R50_B100_S06</x:t>
  </x:si>
  <x:si>
    <x:t xml:space="preserve">OFF_SUP_R50_B100_S07</x:t>
  </x:si>
  <x:si>
    <x:t xml:space="preserve">OFF_SUP_R50_B100_S08</x:t>
  </x:si>
  <x:si>
    <x:t xml:space="preserve">OFF_SUP_R50_B100_S09</x:t>
  </x:si>
  <x:si>
    <x:t xml:space="preserve">OFF_SUP_R50_B100_S10</x:t>
  </x:si>
  <x:si>
    <x:t xml:space="preserve">OFF_SUP_SWIN_B100_S01</x:t>
  </x:si>
  <x:si>
    <x:t xml:space="preserve">OFF_SUP_SWIN_B100_S02</x:t>
  </x:si>
  <x:si>
    <x:t xml:space="preserve">OFF_SUP_SWIN_B100_S03</x:t>
  </x:si>
  <x:si>
    <x:t xml:space="preserve">OFF_SUP_SWIN_B100_S04</x:t>
  </x:si>
  <x:si>
    <x:t xml:space="preserve">OFF_SUP_SWIN_B100_S05</x:t>
  </x:si>
  <x:si>
    <x:t xml:space="preserve">OFF_SUP_SWIN_B100_S06</x:t>
  </x:si>
  <x:si>
    <x:t xml:space="preserve">OFF_SUP_SWIN_B100_S07</x:t>
  </x:si>
  <x:si>
    <x:t xml:space="preserve">OFF_SUP_SWIN_B100_S08</x:t>
  </x:si>
  <x:si>
    <x:t xml:space="preserve">OFF_SUP_SWIN_B100_S09</x:t>
  </x:si>
  <x:si>
    <x:t xml:space="preserve">OFF_SUP_SWIN_B100_S10</x:t>
  </x:si>
  <x:si>
    <x:t xml:space="preserve">LOCKED REFERENCES &amp; SCIENTIFIC CONSTANTS</x:t>
  </x:si>
  <x:si>
    <x:t xml:space="preserve">File</x:t>
  </x:si>
  <x:si>
    <x:t xml:space="preserve">Role</x:t>
  </x:si>
  <x:si>
    <x:t xml:space="preserve">SHA-256</x:t>
  </x:si>
  <x:si>
    <x:t xml:space="preserve">State</x:t>
  </x:si>
  <x:si>
    <x:t xml:space="preserve">Rule</x:t>
  </x:si>
  <x:si>
    <x:t xml:space="preserve">Priority 1</x:t>
  </x:si>
  <x:si>
    <x:t xml:space="preserve">sn-article.tex</x:t>
  </x:si>
  <x:si>
    <x:t xml:space="preserve">Scientific source of truth</x:t>
  </x:si>
  <x:si>
    <x:t xml:space="preserve">LOCKED</x:t>
  </x:si>
  <x:si>
    <x:t xml:space="preserve">Methodology wins</x:t>
  </x:si>
  <x:si>
    <x:t xml:space="preserve">Priority 2</x:t>
  </x:si>
  <x:si>
    <x:t xml:space="preserve">Implementation contract</x:t>
  </x:si>
  <x:si>
    <x:t xml:space="preserve">No scientific drift</x:t>
  </x:si>
  <x:si>
    <x:t xml:space="preserve">Priority 3</x:t>
  </x:si>
  <x:si>
    <x:t xml:space="preserve">Artifact/evidence contract</x:t>
  </x:si>
  <x:si>
    <x:t xml:space="preserve">Artifact contract v1.1.0</x:t>
  </x:si>
  <x:si>
    <x:t xml:space="preserve">Locked Item</x:t>
  </x:si>
  <x:si>
    <x:t xml:space="preserve">Value</x:t>
  </x:si>
  <x:si>
    <x:t xml:space="preserve">Unit/Role</x:t>
  </x:si>
  <x:si>
    <x:t xml:space="preserve">Dataset images</x:t>
  </x:si>
  <x:si>
    <x:t xml:space="preserve">images</x:t>
  </x:si>
  <x:si>
    <x:t xml:space="preserve">Controlled working scope</x:t>
  </x:si>
  <x:si>
    <x:t xml:space="preserve">Train / Val / Test</x:t>
  </x:si>
  <x:si>
    <x:t xml:space="preserve">3426 / 734 / 734</x:t>
  </x:si>
  <x:si>
    <x:t xml:space="preserve">Fixed membership</x:t>
  </x:si>
  <x:si>
    <x:t xml:space="preserve">No Finding train/val/test</x:t>
  </x:si>
  <x:si>
    <x:t xml:space="preserve">350 / 75 / 75</x:t>
  </x:si>
  <x:si>
    <x:t xml:space="preserve">Zero-GT; not class 15</x:t>
  </x:si>
  <x:si>
    <x:t xml:space="preserve">Detection classes</x:t>
  </x:si>
  <x:si>
    <x:t xml:space="preserve">classes</x:t>
  </x:si>
  <x:si>
    <x:t xml:space="preserve">Abnormality classes</x:t>
  </x:si>
  <x:si>
    <x:t xml:space="preserve">partition_seed</x:t>
  </x:si>
  <x:si>
    <x:t xml:space="preserve">integer</x:t>
  </x:si>
  <x:si>
    <x:t xml:space="preserve">No seed search</x:t>
  </x:si>
  <x:si>
    <x:t xml:space="preserve">Training seeds</x:t>
  </x:si>
  <x:si>
    <x:t xml:space="preserve">seeds</x:t>
  </x:si>
  <x:si>
    <x:t xml:space="preserve">Same ordered list SUP/SSL</x:t>
  </x:si>
  <x:si>
    <x:t xml:space="preserve">Official main/reference runs</x:t>
  </x:si>
  <x:si>
    <x:t xml:space="preserve">runs</x:t>
  </x:si>
  <x:si>
    <x:t xml:space="preserve">80 SUP low-label + 20 SUP100 + 80 SSL</x:t>
  </x:si>
  <x:si>
    <x:t xml:space="preserve">Validation interval</x:t>
  </x:si>
  <x:si>
    <x:t xml:space="preserve">actual optimizer updates</x:t>
  </x:si>
  <x:si>
    <x:t xml:space="preserve">All official training</x:t>
  </x:si>
  <x:si>
    <x:t xml:space="preserve">Standard updates</x:t>
  </x:si>
  <x:si>
    <x:t xml:space="preserve">updates</x:t>
  </x:si>
  <x:si>
    <x:t xml:space="preserve">5/10/20%</x:t>
  </x:si>
  <x:si>
    <x:t xml:space="preserve">1% updates</x:t>
  </x:si>
  <x:si>
    <x:t xml:space="preserve">Proportional schedule</x:t>
  </x:si>
  <x:si>
    <x:t xml:space="preserve">100%-SUP updates</x:t>
  </x:si>
  <x:si>
    <x:t xml:space="preserve">Reference path</x:t>
  </x:si>
  <x:si>
    <x:t xml:space="preserve">SSL EMA momentum</x:t>
  </x:si>
  <x:si>
    <x:t xml:space="preserve">MeanTeacherHook momentum</x:t>
  </x:si>
  <x:si>
    <x:t xml:space="preserve">Teacher=.999 old+.001 Student</x:t>
  </x:si>
  <x:si>
    <x:t xml:space="preserve">SSL L:U</x:t>
  </x:si>
  <x:si>
    <x:t xml:space="preserve">1:1</x:t>
  </x:si>
  <x:si>
    <x:t xml:space="preserve">ratio</x:t>
  </x:si>
  <x:si>
    <x:t xml:space="preserve">B_L_eff=4; B_U_eff=4</x:t>
  </x:si>
  <x:si>
    <x:t xml:space="preserve">SSL unsup weight</x:t>
  </x:si>
  <x:si>
    <x:t xml:space="preserve">lambda_u</x:t>
  </x:si>
  <x:si>
    <x:t xml:space="preserve">No ramp/burn-in</x:t>
  </x:si>
  <x:si>
    <x:t xml:space="preserve">PL-mAP@[.50:.95]</x:t>
  </x:si>
  <x:si>
    <x:t xml:space="preserve">validation</x:t>
  </x:si>
  <x:si>
    <x:t xml:space="preserve">LAST EMA Teacher</x:t>
  </x:si>
  <x:si>
    <x:t xml:space="preserve">Workbook Usage</x:t>
  </x:si>
  <x:si>
    <x:t xml:space="preserve">Scientific methodology</x:t>
  </x:si>
  <x:si>
    <x:t xml:space="preserve">1</x:t>
  </x:si>
  <x:si>
    <x:t xml:space="preserve">Scientific behavior, evaluation, statistics, ablation, locked values</x:t>
  </x:si>
  <x:si>
    <x:t xml:space="preserve">Canonical scientific source</x:t>
  </x:si>
  <x:si>
    <x:t xml:space="preserve">2</x:t>
  </x:si>
  <x:si>
    <x:t xml:space="preserve">Execution requirements, preflight closure, prohibited behaviors, official matrix</x:t>
  </x:si>
  <x:si>
    <x:t xml:space="preserve">Operational seed list included</x:t>
  </x:si>
  <x:si>
    <x:t xml:space="preserve">3</x:t>
  </x:si>
  <x:si>
    <x:t xml:space="preserve">Evidence paths, manifests, backup, final-test gate, provenance</x:t>
  </x:si>
  <x:si>
    <x:t xml:space="preserve">v1.1.0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</x:si>
</x:sst>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20"/>
      <x:name val="Carlito"/>
    </x:font>
    <x:font>
      <x:b/>
      <x:sz val="11"/>
      <x:name val="Carlito"/>
    </x:font>
    <x:font>
      <x:b/>
      <x:sz val="16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3F6F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1" fillId="2" borderId="0" xfId="0" applyFont="1" applyFill="1"/>
    <x:xf numFmtId="0" fontId="1" fillId="2" borderId="0" xfId="0" applyFont="1" applyFill="1" applyAlignment="1">
      <x:alignment wrapText="1"/>
    </x:xf>
    <x:xf numFmtId="0" fontId="1" fillId="2" borderId="0" xfId="0" applyFont="1" applyFill="1" applyAlignment="1">
      <x:alignment horizontal="center" wrapText="1"/>
    </x:xf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9" fontId="0" fillId="0" borderId="0" xfId="0" applyNumberFormat="1" applyAlignment="1">
      <x:alignment wrapText="1"/>
    </x:xf>
    <x:xf numFmtId="0" fontId="4" fillId="5" borderId="0" xfId="0" applyFont="1" applyFill="1" applyAlignment="1">
      <x:alignment wrapText="1"/>
    </x:xf>
    <x:xf numFmtId="0" fontId="4" fillId="0" borderId="0" xfId="0" applyFont="1" applyAlignment="1">
      <x:alignment wrapText="1"/>
    </x:xf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4" fillId="5" borderId="0" xfId="0" applyFont="1" applyFill="1" applyAlignment="1">
      <x:alignment wrapText="1"/>
    </x:xf>
    <x:xf numFmtId="0" fontId="2" fillId="3" borderId="0" xfId="0" applyFont="1" applyFill="1" applyAlignment="1">
      <x:alignment horizontal="center" vertical="center" wrapText="1"/>
    </x:xf>
    <x:xf numFmtId="0" fontId="1" fillId="2" borderId="0" xfId="0" applyFont="1" applyFill="1" applyAlignment="1">
      <x:alignment horizontal="center" wrapText="1"/>
    </x:xf>
    <x:xf numFmtId="9" fontId="3" fillId="4" borderId="0" xfId="0" applyNumberFormat="1" applyFont="1" applyFill="1" applyAlignment="1">
      <x:alignment horizontal="center" vertical="center" wrapText="1"/>
    </x:xf>
    <x:xf numFmtId="1" fontId="3" fillId="4" borderId="0" xfId="0" applyNumberFormat="1" applyFont="1" applyFill="1" applyAlignment="1">
      <x:alignment horizontal="center" vertical="center" wrapText="1"/>
    </x:xf>
    <x:xf numFmtId="49" fontId="3" fillId="4" borderId="0" xfId="0" applyNumberFormat="1" applyFont="1" applyFill="1" applyAlignment="1">
      <x:alignment horizontal="center" vertical="center" wrapText="1"/>
    </x:xf>
    <x:xf numFmtId="0" fontId="5" fillId="3" borderId="0" xfId="0" applyFont="1" applyFill="1" applyAlignment="1">
      <x:alignment horizontal="center" vertical="center"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 applyAlignment="1">
      <x:alignment wrapText="1"/>
    </x:xf>
    <x:xf numFmtId="9" fontId="0" fillId="0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9" fontId="3" fillId="4" borderId="1" xfId="0" applyNumberFormat="1" applyFont="1" applyFill="1" applyBorder="1" applyAlignment="1">
      <x:alignment horizontal="center" vertical="center" wrapText="1"/>
    </x:xf>
    <x:xf numFmtId="1" fontId="3" fillId="4" borderId="1" xfId="0" applyNumberFormat="1" applyFont="1" applyFill="1" applyBorder="1" applyAlignment="1">
      <x:alignment horizontal="center" vertical="center" wrapText="1"/>
    </x:xf>
    <x:xf numFmtId="49" fontId="3" fillId="4" borderId="1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8"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DEBF7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E699"/>
        </x:patternFill>
      </x:fill>
    </x:dxf>
    <x:dxf>
      <x:font>
        <x:b/>
      </x:font>
      <x:fill>
        <x:patternFill>
          <x:bgColor rgb="FFF8CBAD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c27b5c8dae45da" /><Relationship Type="http://schemas.openxmlformats.org/officeDocument/2006/relationships/theme" Target="/xl/theme/theme1.xml" Id="Ra78a6d52166640dc" /><Relationship Type="http://schemas.openxmlformats.org/officeDocument/2006/relationships/sharedStrings" Target="/xl/sharedStrings.xml" Id="R714da5f1e83940f3" /><Relationship Type="http://schemas.openxmlformats.org/officeDocument/2006/relationships/worksheet" Target="/xl/worksheets/sheet1.xml" Id="R85b76e6da4a9461d" /><Relationship Type="http://schemas.openxmlformats.org/officeDocument/2006/relationships/worksheet" Target="/xl/worksheets/sheet2.xml" Id="R66dec4ab94534a6b" /><Relationship Type="http://schemas.openxmlformats.org/officeDocument/2006/relationships/worksheet" Target="/xl/worksheets/sheet3.xml" Id="R50d50946cd324afa" /><Relationship Type="http://schemas.openxmlformats.org/officeDocument/2006/relationships/worksheet" Target="/xl/worksheets/sheet4.xml" Id="Re326853993f24a9e" /><Relationship Type="http://schemas.openxmlformats.org/officeDocument/2006/relationships/worksheet" Target="/xl/worksheets/sheet5.xml" Id="R45743e94bbbd4cec" /><Relationship Type="http://schemas.openxmlformats.org/officeDocument/2006/relationships/worksheet" Target="/xl/worksheets/sheet6.xml" Id="Rda63a0e296d44774" /><Relationship Type="http://schemas.openxmlformats.org/officeDocument/2006/relationships/worksheet" Target="/xl/worksheets/sheet7.xml" Id="Rc80b9855dee34d6c" /><Relationship Type="http://schemas.openxmlformats.org/officeDocument/2006/relationships/worksheet" Target="/xl/worksheets/sheet8.xml" Id="Reae743f8ec7b41ca" /><Relationship Type="http://schemas.openxmlformats.org/officeDocument/2006/relationships/worksheet" Target="/xl/worksheets/sheet9.xml" Id="R99f19e38c82948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3064eee3674a1c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Stage Progress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Name</c:v>
          </c:tx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Dashboard!$B$14:$B$23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Status</c:v>
          </c:tx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Dashboard!$C$14:$C$23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v>Progress</c:v>
          </c:tx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Dashboard!$D$14:$D$23</c:f>
              <c:numCache>
                <c:formatCode>0%</c:formatCode>
                <c:ptCount val="10"/>
                <c:pt idx="0">
                  <c:v>0.6428571428571429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19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3064eee3674a1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tailedTasksTable" displayName="DetailedTasksTable" ref="A1:P161" totalsRowShown="0">
  <x:tableColumns count="16">
    <x:tableColumn id="1" name="Stage"/>
    <x:tableColumn id="2" name="Task ID"/>
    <x:tableColumn id="3" name="Category"/>
    <x:tableColumn id="4" name="Task / Action"/>
    <x:tableColumn id="5" name="Requirement / Locked Rule"/>
    <x:tableColumn id="6" name="Primary Source"/>
    <x:tableColumn id="7" name="Priority"/>
    <x:tableColumn id="8" name="Status"/>
    <x:tableColumn id="9" name="Evidence / Artifact Path"/>
    <x:tableColumn id="10" name="Expected Result / Gate"/>
    <x:tableColumn id="11" name="Owner"/>
    <x:tableColumn id="12" name="Start Date"/>
    <x:tableColumn id="13" name="Due Date"/>
    <x:tableColumn id="14" name="Completed Date"/>
    <x:tableColumn id="15" name="Blocker / Dependency"/>
    <x:tableColumn id="16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geStatusTable" displayName="StageStatusTable" ref="A1:P11" totalsRowShown="0">
  <x:tableColumns count="16">
    <x:tableColumn id="1" name="Stage"/>
    <x:tableColumn id="2" name="Name"/>
    <x:tableColumn id="3" name="Stage Status"/>
    <x:tableColumn id="4" name="Progress %"/>
    <x:tableColumn id="5" name="PASS"/>
    <x:tableColumn id="6" name="Total Tasks"/>
    <x:tableColumn id="7" name="FAIL"/>
    <x:tableColumn id="8" name="BLOCKED"/>
    <x:tableColumn id="9" name="IN PROGRESS"/>
    <x:tableColumn id="10" name="Purpose"/>
    <x:tableColumn id="11" name="Gate to Next Stage"/>
    <x:tableColumn id="12" name="Dependency"/>
    <x:tableColumn id="13" name="Start Date"/>
    <x:tableColumn id="14" name="End Date"/>
    <x:tableColumn id="15" name="Owner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RegisterTable" displayName="EvidenceRegisterTable" ref="A1:L120" totalsRowShown="0">
  <x:tableColumns count="12">
    <x:tableColumn id="1" name="Evidence ID"/>
    <x:tableColumn id="2" name="Stage"/>
    <x:tableColumn id="3" name="Artifact / Evidence"/>
    <x:tableColumn id="4" name="Type"/>
    <x:tableColumn id="5" name="Required?"/>
    <x:tableColumn id="6" name="Status"/>
    <x:tableColumn id="7" name="Expected Path"/>
    <x:tableColumn id="8" name="Observed Path"/>
    <x:tableColumn id="9" name="SHA-256 / Identity"/>
    <x:tableColumn id="10" name="Verification"/>
    <x:tableColumn id="11" name="Source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RegisterTable" displayName="RiskRegisterTable" ref="A1:M100" totalsRowShown="0">
  <x:tableColumns count="13">
    <x:tableColumn id="1" name="Risk ID"/>
    <x:tableColumn id="2" name="Stage"/>
    <x:tableColumn id="3" name="Date Raised"/>
    <x:tableColumn id="4" name="Category"/>
    <x:tableColumn id="5" name="Description"/>
    <x:tableColumn id="6" name="Severity"/>
    <x:tableColumn id="7" name="Probability"/>
    <x:tableColumn id="8" name="Status"/>
    <x:tableColumn id="9" name="Owner"/>
    <x:tableColumn id="10" name="Mitigation / Next Action"/>
    <x:tableColumn id="11" name="Evidence / Link"/>
    <x:tableColumn id="12" name="Resolved Date"/>
    <x:tableColumn id="13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fficialMatrixTable" displayName="OfficialMatrixTable" ref="A1:Q181" totalsRowShown="0">
  <x:tableColumns count="17">
    <x:tableColumn id="1" name="Run ID"/>
    <x:tableColumn id="2" name="Condition Role"/>
    <x:tableColumn id="3" name="Method"/>
    <x:tableColumn id="4" name="Architecture"/>
    <x:tableColumn id="5" name="Budget"/>
    <x:tableColumn id="6" name="Seed Index"/>
    <x:tableColumn id="7" name="Training Seed"/>
    <x:tableColumn id="8" name="Expected"/>
    <x:tableColumn id="9" name="Training Status"/>
    <x:tableColumn id="10" name="Attempt Used"/>
    <x:tableColumn id="11" name="BEST Checkpoint"/>
    <x:tableColumn id="12" name="LAST Checkpoint"/>
    <x:tableColumn id="13" name="Q_pseudo Status"/>
    <x:tableColumn id="14" name="Backup Verified"/>
    <x:tableColumn id="15" name="Eligible Final Test"/>
    <x:tableColumn id="16" name="Final Eval Status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48e258b25574e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e07ab869709450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04d20706c52457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5e859d6579044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56a749c0dd3450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7b1c5d77233246b2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6" width="10" customWidth="1"/>
    <x:col min="7" max="7" width="3" customWidth="1"/>
    <x:col min="8" max="8" width="22" customWidth="1"/>
    <x:col min="9" max="9" width="3" customWidth="1"/>
    <x:col min="10" max="12" width="18" customWidth="1"/>
    <x:col min="5" max="5" width="18" hidden="0" customWidth="1"/>
    <x:col min="6" max="6" width="18" hidden="0" customWidth="1"/>
  </x:cols>
  <x:sheetData>
    <x:row r="1">
      <x:c r="A1" s="13" t="s">
        <x:v>0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</x:row>
    <x:row r="2">
      <x:c r="A2" s="13"/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</x:row>
    <x:row r="4">
      <x:c r="A4" s="14" t="s">
        <x:v>1</x:v>
      </x:c>
      <x:c r="B4" s="14"/>
      <x:c r="C4" s="5"/>
      <x:c r="D4" s="14" t="s">
        <x:v>2</x:v>
      </x:c>
      <x:c r="E4" s="14"/>
      <x:c r="F4" s="5"/>
      <x:c r="G4" s="14" t="s">
        <x:v>3</x:v>
      </x:c>
      <x:c r="H4" s="14"/>
      <x:c r="I4" s="5"/>
      <x:c r="J4" s="14" t="s">
        <x:v>4</x:v>
      </x:c>
      <x:c r="K4" s="14"/>
      <x:c r="L4" s="14"/>
    </x:row>
    <x:row r="5">
      <x:c r="A5" s="15" t="n">
        <x:f>COUNTIF(Detailed_Tasks!$H:$H,"PASS")/(COUNTA(Detailed_Tasks!$B:$B)-1)</x:f>
        <x:v>0.0625</x:v>
      </x:c>
      <x:c r="B5" s="15"/>
      <x:c r="C5" s="5"/>
      <x:c r="D5" s="16" t="n">
        <x:f>COUNTIF(Detailed_Tasks!$H:$H,"PASS")</x:f>
        <x:v>10</x:v>
      </x:c>
      <x:c r="E5" s="16"/>
      <x:c r="F5" s="5"/>
      <x:c r="G5" s="16" t="n">
        <x:f>COUNTIF(Detailed_Tasks!$H:$H,"FAIL")+COUNTIF(Detailed_Tasks!$H:$H,"BLOCKED")</x:f>
        <x:v>0</x:v>
      </x:c>
      <x:c r="H5" s="16"/>
      <x:c r="I5" s="5"/>
      <x:c r="J5" s="17" t="str">
        <x:f>IF(Stage_Status!C10="CLOSED / PASS","YES","NO")</x:f>
        <x:v>NO</x:v>
      </x:c>
      <x:c r="K5" s="17"/>
      <x:c r="L5" s="17"/>
    </x:row>
    <x:row r="6">
      <x:c r="A6" s="15"/>
      <x:c r="B6" s="15"/>
      <x:c r="C6" s="5"/>
      <x:c r="D6" s="16"/>
      <x:c r="E6" s="16"/>
      <x:c r="F6" s="5"/>
      <x:c r="G6" s="16"/>
      <x:c r="H6" s="16"/>
      <x:c r="I6" s="5"/>
      <x:c r="J6" s="17"/>
      <x:c r="K6" s="17"/>
      <x:c r="L6" s="17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</x:row>
    <x:row r="8">
      <x:c r="A8" s="10" t="s">
        <x:v>5</x:v>
      </x:c>
      <x:c r="B8" s="10"/>
      <x:c r="C8" s="10"/>
      <x:c r="D8" s="10"/>
      <x:c r="E8" s="10"/>
      <x:c r="F8" s="10"/>
      <x:c r="G8" s="10"/>
      <x:c r="H8" s="10"/>
      <x:c r="I8" s="10"/>
      <x:c r="J8" s="10"/>
      <x:c r="K8" s="10"/>
      <x:c r="L8" s="10"/>
    </x:row>
    <x:row r="9" ht="27.600000381469727">
      <x:c r="A9" s="8" t="s">
        <x:v>6</x:v>
      </x:c>
      <x:c r="B9" s="8" t="s">
        <x:v>7</x:v>
      </x:c>
      <x:c r="C9" s="8" t="s">
        <x:v>8</x:v>
      </x:c>
      <x:c r="D9" s="5"/>
      <x:c r="E9" s="5"/>
      <x:c r="F9" s="5"/>
      <x:c r="G9" s="5"/>
      <x:c r="H9" s="5"/>
      <x:c r="I9" s="5"/>
      <x:c r="J9" s="5"/>
      <x:c r="K9" s="5"/>
      <x:c r="L9" s="5"/>
    </x:row>
    <x:row r="10">
      <x:c r="A10" s="5" t="str">
        <x:f>INDEX(Stage_Status!$A$2:$A$11,MATCH(TRUE,Stage_Status!$C$2:$C$11&lt;&gt;"CLOSED / PASS",0))</x:f>
        <x:v>S0</x:v>
      </x:c>
      <x:c r="B10" s="5" t="str">
        <x:f>INDEX(Stage_Status!$C$2:$C$11,MATCH(A10,Stage_Status!$A$2:$A$11,0))</x:f>
        <x:v>IN_PROGRESS</x:v>
      </x:c>
      <x:c r="C10" s="11" t="str">
        <x:f>INDEX(Stage_Status!$K$2:$K$11,MATCH(A10,Stage_Status!$A$2:$A$11,0))</x:f>
        <x:v>S0 governance artifacts valid + baseline commit/tag created</x:v>
      </x:c>
      <x:c r="D10" s="11"/>
      <x:c r="E10" s="11"/>
      <x:c r="F10" s="11"/>
      <x:c r="G10" s="11"/>
      <x:c r="H10" s="11"/>
      <x:c r="I10" s="11"/>
      <x:c r="J10" s="11"/>
      <x:c r="K10" s="11"/>
      <x:c r="L10" s="11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</x:row>
    <x:row r="12">
      <x:c r="A12" s="10" t="s">
        <x:v>9</x:v>
      </x:c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</x:row>
    <x:row r="13">
      <x:c r="A13" s="8" t="s">
        <x:v>10</x:v>
      </x:c>
      <x:c r="B13" s="8" t="s">
        <x:v>11</x:v>
      </x:c>
      <x:c r="C13" s="8" t="s">
        <x:v>12</x:v>
      </x:c>
      <x:c r="D13" s="8" t="s">
        <x:v>13</x:v>
      </x:c>
      <x:c r="E13" s="8" t="s">
        <x:v>14</x:v>
      </x:c>
      <x:c r="F13" s="8" t="s">
        <x:v>15</x:v>
      </x:c>
      <x:c r="G13" s="5"/>
      <x:c r="H13" s="12" t="s">
        <x:v>16</x:v>
      </x:c>
      <x:c r="I13" s="12"/>
      <x:c r="J13" s="12"/>
      <x:c r="K13" s="12"/>
      <x:c r="L13" s="12"/>
    </x:row>
    <x:row r="14">
      <x:c r="A14" s="5" t="str">
        <x:f>Stage_Status!A2</x:f>
        <x:v>S0</x:v>
      </x:c>
      <x:c r="B14" s="5" t="str">
        <x:f>Stage_Status!B2</x:f>
        <x:v>Source / Protocol Lock Verification</x:v>
      </x:c>
      <x:c r="C14" s="5" t="str">
        <x:f>Stage_Status!C2</x:f>
        <x:v>IN_PROGRESS</x:v>
      </x:c>
      <x:c r="D14" s="7" t="n">
        <x:f>Stage_Status!D2</x:f>
        <x:v>0.7142857142857143</x:v>
      </x:c>
      <x:c r="E14" s="5" t="n">
        <x:f>Stage_Status!E2</x:f>
        <x:v>10</x:v>
      </x:c>
      <x:c r="F14" s="5" t="n">
        <x:f>Stage_Status!F2</x:f>
        <x:v>14</x:v>
      </x:c>
      <x:c r="G14" s="5"/>
      <x:c r="H14" s="9" t="s">
        <x:v>17</x:v>
      </x:c>
      <x:c r="I14" s="5"/>
      <x:c r="J14" s="5" t="n">
        <x:f>COUNTIFS(Detailed_Tasks!$A:$A,"S7",Detailed_Tasks!$H:$H,"PASS")</x:f>
        <x:v>0</x:v>
      </x:c>
      <x:c r="K14" s="5"/>
      <x:c r="L14" s="5"/>
    </x:row>
    <x:row r="15" ht="27.600000381469727">
      <x:c r="A15" s="5" t="str">
        <x:f>Stage_Status!A3</x:f>
        <x:v>S1</x:v>
      </x:c>
      <x:c r="B15" s="5" t="str">
        <x:f>Stage_Status!B3</x:f>
        <x:v>Vast Runtime + Data Ingress + Storage/Backup</x:v>
      </x:c>
      <x:c r="C15" s="5" t="str">
        <x:f>Stage_Status!C3</x:f>
        <x:v>NOT_OPEN</x:v>
      </x:c>
      <x:c r="D15" s="7" t="n">
        <x:f>Stage_Status!D3</x:f>
        <x:v>0</x:v>
      </x:c>
      <x:c r="E15" s="5" t="n">
        <x:f>Stage_Status!E3</x:f>
        <x:v>0</x:v>
      </x:c>
      <x:c r="F15" s="5" t="n">
        <x:f>Stage_Status!F3</x:f>
        <x:v>16</x:v>
      </x:c>
      <x:c r="G15" s="5"/>
      <x:c r="H15" s="9" t="s">
        <x:v>18</x:v>
      </x:c>
      <x:c r="I15" s="5"/>
      <x:c r="J15" s="5" t="n">
        <x:f>COUNTIF(Detailed_Tasks!$A:$A,"S7")</x:f>
        <x:v>27</x:v>
      </x:c>
      <x:c r="K15" s="5"/>
      <x:c r="L15" s="5"/>
    </x:row>
    <x:row r="16">
      <x:c r="A16" s="5" t="str">
        <x:f>Stage_Status!A4</x:f>
        <x:v>S2</x:v>
      </x:c>
      <x:c r="B16" s="5" t="str">
        <x:f>Stage_Status!B4</x:f>
        <x:v>Shared Infrastructure</x:v>
      </x:c>
      <x:c r="C16" s="5" t="str">
        <x:f>Stage_Status!C4</x:f>
        <x:v>NOT_OPEN</x:v>
      </x:c>
      <x:c r="D16" s="7" t="n">
        <x:f>Stage_Status!D4</x:f>
        <x:v>0</x:v>
      </x:c>
      <x:c r="E16" s="5" t="n">
        <x:f>Stage_Status!E4</x:f>
        <x:v>0</x:v>
      </x:c>
      <x:c r="F16" s="5" t="n">
        <x:f>Stage_Status!F4</x:f>
        <x:v>16</x:v>
      </x:c>
      <x:c r="G16" s="5"/>
      <x:c r="H16" s="9" t="s">
        <x:v>19</x:v>
      </x:c>
      <x:c r="I16" s="5"/>
      <x:c r="J16" s="5" t="n">
        <x:f>COUNTIFS(Detailed_Tasks!$A:$A,"S7",Detailed_Tasks!$H:$H,"FAIL")+COUNTIFS(Detailed_Tasks!$A:$A,"S7",Detailed_Tasks!$H:$H,"BLOCKED")</x:f>
        <x:v>0</x:v>
      </x:c>
      <x:c r="K16" s="5"/>
      <x:c r="L16" s="5"/>
    </x:row>
    <x:row r="17">
      <x:c r="A17" s="5" t="str">
        <x:f>Stage_Status!A5</x:f>
        <x:v>S3</x:v>
      </x:c>
      <x:c r="B17" s="5" t="str">
        <x:f>Stage_Status!B5</x:f>
        <x:v>Supervised Baseline</x:v>
      </x:c>
      <x:c r="C17" s="5" t="str">
        <x:f>Stage_Status!C5</x:f>
        <x:v>NOT_OPEN</x:v>
      </x:c>
      <x:c r="D17" s="7" t="n">
        <x:f>Stage_Status!D5</x:f>
        <x:v>0</x:v>
      </x:c>
      <x:c r="E17" s="5" t="n">
        <x:f>Stage_Status!E5</x:f>
        <x:v>0</x:v>
      </x:c>
      <x:c r="F17" s="5" t="n">
        <x:f>Stage_Status!F5</x:f>
        <x:v>14</x:v>
      </x:c>
      <x:c r="G17" s="5"/>
      <x:c r="H17" s="9" t="s">
        <x:v>20</x:v>
      </x:c>
      <x:c r="I17" s="5"/>
      <x:c r="J17" s="5" t="str">
        <x:f>Stage_Status!C10</x:f>
        <x:v>NOT_OPEN</x:v>
      </x:c>
      <x:c r="K17" s="5"/>
      <x:c r="L17" s="5"/>
    </x:row>
    <x:row r="18" ht="27.600000381469727">
      <x:c r="A18" s="5" t="str">
        <x:f>Stage_Status!A6</x:f>
        <x:v>S4</x:v>
      </x:c>
      <x:c r="B18" s="5" t="str">
        <x:f>Stage_Status!B6</x:f>
        <x:v>SSL Teacher–Student / EMA / Pseudo-label</x:v>
      </x:c>
      <x:c r="C18" s="5" t="str">
        <x:f>Stage_Status!C6</x:f>
        <x:v>NOT_OPEN</x:v>
      </x:c>
      <x:c r="D18" s="7" t="n">
        <x:f>Stage_Status!D6</x:f>
        <x:v>0</x:v>
      </x:c>
      <x:c r="E18" s="5" t="n">
        <x:f>Stage_Status!E6</x:f>
        <x:v>0</x:v>
      </x:c>
      <x:c r="F18" s="5" t="n">
        <x:f>Stage_Status!F6</x:f>
        <x:v>20</x:v>
      </x:c>
      <x:c r="G18" s="5"/>
      <x:c r="H18" s="9" t="s">
        <x:v>21</x:v>
      </x:c>
      <x:c r="I18" s="5"/>
      <x:c r="J18" s="5" t="str">
        <x:f>Stage_Status!C11</x:f>
        <x:v>NOT_AUTHORIZED</x:v>
      </x:c>
      <x:c r="K18" s="5"/>
      <x:c r="L18" s="5"/>
    </x:row>
    <x:row r="19">
      <x:c r="A19" s="5" t="str">
        <x:f>Stage_Status!A7</x:f>
        <x:v>S5</x:v>
      </x:c>
      <x:c r="B19" s="5" t="str">
        <x:f>Stage_Status!B7</x:f>
        <x:v>Evaluation + Q_pseudo</x:v>
      </x:c>
      <x:c r="C19" s="5" t="str">
        <x:f>Stage_Status!C7</x:f>
        <x:v>NOT_OPEN</x:v>
      </x:c>
      <x:c r="D19" s="7" t="n">
        <x:f>Stage_Status!D7</x:f>
        <x:v>0</x:v>
      </x:c>
      <x:c r="E19" s="5" t="n">
        <x:f>Stage_Status!E7</x:f>
        <x:v>0</x:v>
      </x:c>
      <x:c r="F19" s="5" t="n">
        <x:f>Stage_Status!F7</x:f>
        <x:v>10</x:v>
      </x:c>
      <x:c r="G19" s="5"/>
      <x:c r="H19" s="5"/>
      <x:c r="I19" s="5"/>
      <x:c r="J19" s="5"/>
      <x:c r="K19" s="5"/>
      <x:c r="L19" s="5"/>
    </x:row>
    <x:row r="20">
      <x:c r="A20" s="5" t="str">
        <x:f>Stage_Status!A8</x:f>
        <x:v>S6</x:v>
      </x:c>
      <x:c r="B20" s="5" t="str">
        <x:f>Stage_Status!B8</x:f>
        <x:v>Statistical Fixtures</x:v>
      </x:c>
      <x:c r="C20" s="5" t="str">
        <x:f>Stage_Status!C8</x:f>
        <x:v>NOT_OPEN</x:v>
      </x:c>
      <x:c r="D20" s="7" t="n">
        <x:f>Stage_Status!D8</x:f>
        <x:v>0</x:v>
      </x:c>
      <x:c r="E20" s="5" t="n">
        <x:f>Stage_Status!E8</x:f>
        <x:v>0</x:v>
      </x:c>
      <x:c r="F20" s="5" t="n">
        <x:f>Stage_Status!F8</x:f>
        <x:v>16</x:v>
      </x:c>
      <x:c r="G20" s="5"/>
      <x:c r="H20" s="5"/>
      <x:c r="I20" s="5"/>
      <x:c r="J20" s="5"/>
      <x:c r="K20" s="5"/>
      <x:c r="L20" s="5"/>
    </x:row>
    <x:row r="21">
      <x:c r="A21" s="5" t="str">
        <x:f>Stage_Status!A9</x:f>
        <x:v>S7</x:v>
      </x:c>
      <x:c r="B21" s="5" t="str">
        <x:f>Stage_Status!B9</x:f>
        <x:v>Global Preflight</x:v>
      </x:c>
      <x:c r="C21" s="5" t="str">
        <x:f>Stage_Status!C9</x:f>
        <x:v>NOT_OPEN</x:v>
      </x:c>
      <x:c r="D21" s="7" t="n">
        <x:f>Stage_Status!D9</x:f>
        <x:v>0</x:v>
      </x:c>
      <x:c r="E21" s="5" t="n">
        <x:f>Stage_Status!E9</x:f>
        <x:v>0</x:v>
      </x:c>
      <x:c r="F21" s="5" t="n">
        <x:f>Stage_Status!F9</x:f>
        <x:v>27</x:v>
      </x:c>
      <x:c r="G21" s="5"/>
      <x:c r="H21" s="5"/>
      <x:c r="I21" s="5"/>
      <x:c r="J21" s="5"/>
      <x:c r="K21" s="5"/>
      <x:c r="L21" s="5"/>
    </x:row>
    <x:row r="22">
      <x:c r="A22" s="5" t="str">
        <x:f>Stage_Status!A10</x:f>
        <x:v>S8</x:v>
      </x:c>
      <x:c r="B22" s="5" t="str">
        <x:f>Stage_Status!B10</x:f>
        <x:v>Freeze + Researcher Authorization</x:v>
      </x:c>
      <x:c r="C22" s="5" t="str">
        <x:f>Stage_Status!C10</x:f>
        <x:v>NOT_OPEN</x:v>
      </x:c>
      <x:c r="D22" s="7" t="n">
        <x:f>Stage_Status!D10</x:f>
        <x:v>0</x:v>
      </x:c>
      <x:c r="E22" s="5" t="n">
        <x:f>Stage_Status!E10</x:f>
        <x:v>0</x:v>
      </x:c>
      <x:c r="F22" s="5" t="n">
        <x:f>Stage_Status!F10</x:f>
        <x:v>11</x:v>
      </x:c>
      <x:c r="G22" s="5"/>
      <x:c r="H22" s="5"/>
      <x:c r="I22" s="5"/>
      <x:c r="J22" s="5"/>
      <x:c r="K22" s="5"/>
      <x:c r="L22" s="5"/>
    </x:row>
    <x:row r="23">
      <x:c r="A23" s="5" t="str">
        <x:f>Stage_Status!A11</x:f>
        <x:v>S9</x:v>
      </x:c>
      <x:c r="B23" s="5" t="str">
        <x:f>Stage_Status!B11</x:f>
        <x:v>Official Training</x:v>
      </x:c>
      <x:c r="C23" s="5" t="str">
        <x:f>Stage_Status!C11</x:f>
        <x:v>NOT_AUTHORIZED</x:v>
      </x:c>
      <x:c r="D23" s="7" t="n">
        <x:f>Stage_Status!D11</x:f>
        <x:v>0</x:v>
      </x:c>
      <x:c r="E23" s="5" t="n">
        <x:f>Stage_Status!E11</x:f>
        <x:v>0</x:v>
      </x:c>
      <x:c r="F23" s="5" t="n">
        <x:f>Stage_Status!F11</x:f>
        <x:v>16</x:v>
      </x:c>
      <x:c r="G23" s="5"/>
      <x:c r="H23" s="5"/>
      <x:c r="I23" s="5"/>
      <x:c r="J23" s="5"/>
      <x:c r="K23" s="5"/>
      <x:c r="L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</x:row>
    <x:row r="25">
      <x:c r="A25" s="35" t="str">
        <x:v>S0 CURRENT EVIDENCE</x:v>
      </x:c>
      <x:c r="B25" s="5" t="str"/>
      <x:c r="C25" s="5" t="str"/>
      <x:c r="D25" s="5" t="str"/>
      <x:c r="E25" s="5" t="str"/>
      <x:c r="F25" s="5" t="str"/>
      <x:c r="G25" s="5"/>
      <x:c r="H25" s="5"/>
      <x:c r="I25" s="5"/>
      <x:c r="J25" s="5"/>
      <x:c r="K25" s="5"/>
      <x:c r="L25" s="5"/>
    </x:row>
    <x:row r="26">
      <x:c r="A26" s="38" t="str">
        <x:v>Git branch</x:v>
      </x:c>
      <x:c r="B26" s="38" t="str">
        <x:v>implementation/gate2</x:v>
      </x:c>
      <x:c r="C26" s="38" t="str">
        <x:v>Observed HEAD</x:v>
      </x:c>
      <x:c r="D26" s="38" t="str">
        <x:v>beb4e83</x:v>
      </x:c>
      <x:c r="E26" s="38" t="str">
        <x:v>Baseline commit?</x:v>
      </x:c>
      <x:c r="F26" s="38" t="str">
        <x:v>NO</x:v>
      </x:c>
      <x:c r="G26" s="5"/>
      <x:c r="H26" s="5"/>
      <x:c r="I26" s="5"/>
      <x:c r="J26" s="5"/>
      <x:c r="K26" s="5"/>
      <x:c r="L26" s="5"/>
    </x:row>
    <x:row r="27">
      <x:c r="A27" s="38" t="str">
        <x:v>Governance manifests</x:v>
      </x:c>
      <x:c r="B27" s="38" t="str">
        <x:v>CREATED</x:v>
      </x:c>
      <x:c r="C27" s="38" t="str">
        <x:v>Schema verification</x:v>
      </x:c>
      <x:c r="D27" s="38" t="str">
        <x:v>PENDING</x:v>
      </x:c>
      <x:c r="E27" s="38" t="str">
        <x:v>S0 closed?</x:v>
      </x:c>
      <x:c r="F27" s="38" t="str">
        <x:v>NO</x:v>
      </x:c>
      <x:c r="G27" s="5"/>
      <x:c r="H27" s="5"/>
      <x:c r="I27" s="5"/>
      <x:c r="J27" s="5"/>
      <x:c r="K27" s="5"/>
      <x:c r="L27" s="5"/>
    </x:row>
    <x:row r="28">
      <x:c r="A28" s="38"/>
      <x:c r="B28" s="38"/>
      <x:c r="C28" s="38"/>
      <x:c r="D28" s="38"/>
      <x:c r="E28" s="38"/>
      <x:c r="F28" s="38"/>
      <x:c r="G28" s="5"/>
      <x:c r="H28" s="5"/>
      <x:c r="I28" s="5"/>
      <x:c r="J28" s="5"/>
      <x:c r="K28" s="5"/>
      <x:c r="L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</x:row>
  </x:sheetData>
  <x:mergeCells>
    <x:mergeCell ref="A8:L8"/>
    <x:mergeCell ref="C10:L10"/>
    <x:mergeCell ref="A12:L12"/>
    <x:mergeCell ref="H13:L13"/>
    <x:mergeCell ref="A1:L2"/>
    <x:mergeCell ref="A4:B4"/>
    <x:mergeCell ref="A5:B6"/>
    <x:mergeCell ref="D4:E4"/>
    <x:mergeCell ref="D5:E6"/>
    <x:mergeCell ref="G4:H4"/>
    <x:mergeCell ref="G5:H6"/>
    <x:mergeCell ref="J4:L4"/>
    <x:mergeCell ref="J5:L6"/>
    <x:mergeCell ref="A25:F25"/>
  </x:mergeCells>
  <x:conditionalFormatting sqref="C14:C23">
    <x:cfRule type="expression" dxfId="17" priority="2">
      <x:formula>C14="CLOSED / PASS"</x:formula>
    </x:cfRule>
    <x:cfRule type="expression" dxfId="16" priority="3">
      <x:formula>C14="IN_PROGRESS"</x:formula>
    </x:cfRule>
    <x:cfRule type="expression" dxfId="15" priority="4">
      <x:formula>OR(C14="BLOCKED / FAIL",C14="NOT_AUTHORIZED")</x:formula>
    </x:cfRule>
  </x:conditionalFormatting>
  <x:conditionalFormatting sqref="D14:D23">
    <x:cfRule type="dataBar" priority="1">
      <x:dataBar>
        <x:cfvo type="min"/>
        <x:cfvo type="max"/>
        <x:color rgb="FFA02B93"/>
      </x:dataBar>
    </x:cfRule>
    <x:cfRule type="dataBar" priority="5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c48e258b25574e5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E5D2A047-4238-8741-E2B3-85669B88D1C8}">
            <x14:dataBar>
              <x14:cfvo type="min"/>
              <x14:cfvo type="max"/>
              <x14:fillColor rgb="FFA02B93"/>
              <x14:negativeFillColor auto="1"/>
              <x14:axisColor auto="1"/>
            </x14:dataBar>
          </x14:cfRule>
          <xm:sqref>D14:D23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3.800000190734863"/>
  <x:cols>
    <x:col min="1" max="4" width="24" customWidth="1"/>
  </x:cols>
  <x:sheetData>
    <x:row r="1">
      <x:c r="A1" s="1" t="s">
        <x:v>22</x:v>
      </x:c>
      <x:c r="B1" s="1" t="s">
        <x:v>7</x:v>
      </x:c>
      <x:c r="C1" s="1" t="s">
        <x:v>23</x:v>
      </x:c>
      <x:c r="D1" s="1" t="s">
        <x:v>24</x:v>
      </x:c>
    </x:row>
    <x:row r="2">
      <x:c r="A2" t="s">
        <x:v>25</x:v>
      </x:c>
      <x:c r="B2" t="s">
        <x:v>26</x:v>
      </x:c>
      <x:c r="C2" t="s">
        <x:v>27</x:v>
      </x:c>
      <x:c r="D2" t="s">
        <x:v>28</x:v>
      </x:c>
    </x:row>
    <x:row r="3">
      <x:c r="A3" t="s">
        <x:v>29</x:v>
      </x:c>
      <x:c r="B3" t="s">
        <x:v>29</x:v>
      </x:c>
      <x:c r="C3" t="s">
        <x:v>30</x:v>
      </x:c>
      <x:c r="D3" t="s">
        <x:v>31</x:v>
      </x:c>
    </x:row>
    <x:row r="4">
      <x:c r="A4" t="s">
        <x:v>14</x:v>
      </x:c>
      <x:c r="B4" t="s">
        <x:v>32</x:v>
      </x:c>
      <x:c r="C4" t="s">
        <x:v>33</x:v>
      </x:c>
      <x:c r="D4" t="s">
        <x:v>34</x:v>
      </x:c>
    </x:row>
    <x:row r="5">
      <x:c r="A5" t="s">
        <x:v>35</x:v>
      </x:c>
      <x:c r="B5" t="s">
        <x:v>36</x:v>
      </x:c>
      <x:c r="C5" t="s">
        <x:v>37</x:v>
      </x:c>
      <x:c r="D5" t="s">
        <x:v>38</x:v>
      </x:c>
    </x:row>
    <x:row r="6">
      <x:c r="A6" t="s">
        <x:v>39</x:v>
      </x:c>
      <x:c r="B6" t="s">
        <x:v>40</x:v>
      </x:c>
    </x:row>
    <x:row r="7">
      <x:c r="A7" t="s">
        <x:v>41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8" customWidth="1"/>
    <x:col min="2" max="2" width="10" customWidth="1"/>
    <x:col min="3" max="3" width="17" customWidth="1"/>
    <x:col min="4" max="4" width="34" customWidth="1"/>
    <x:col min="5" max="5" width="46" customWidth="1"/>
    <x:col min="6" max="6" width="33" customWidth="1"/>
    <x:col min="7" max="7" width="11" customWidth="1"/>
    <x:col min="8" max="8" width="16" customWidth="1"/>
    <x:col min="9" max="9" width="42" customWidth="1"/>
    <x:col min="10" max="10" width="30" customWidth="1"/>
    <x:col min="11" max="11" width="20" customWidth="1"/>
    <x:col min="12" max="13" width="13" customWidth="1"/>
    <x:col min="14" max="14" width="14" customWidth="1"/>
    <x:col min="15" max="15" width="28" customWidth="1"/>
    <x:col min="16" max="16" width="34" customWidth="1"/>
  </x:cols>
  <x:sheetData>
    <x:row r="1" ht="27.600000381469727">
      <x:c r="A1" s="4" t="s">
        <x:v>10</x:v>
      </x:c>
      <x:c r="B1" s="4" t="s">
        <x:v>42</x:v>
      </x:c>
      <x:c r="C1" s="4" t="s">
        <x:v>43</x:v>
      </x:c>
      <x:c r="D1" s="4" t="s">
        <x:v>44</x:v>
      </x:c>
      <x:c r="E1" s="4" t="s">
        <x:v>45</x:v>
      </x:c>
      <x:c r="F1" s="4" t="s">
        <x:v>46</x:v>
      </x:c>
      <x:c r="G1" s="4" t="s">
        <x:v>23</x:v>
      </x:c>
      <x:c r="H1" s="4" t="s">
        <x:v>12</x:v>
      </x:c>
      <x:c r="I1" s="4" t="s">
        <x:v>47</x:v>
      </x:c>
      <x:c r="J1" s="4" t="s">
        <x:v>48</x:v>
      </x:c>
      <x:c r="K1" s="4" t="s">
        <x:v>24</x:v>
      </x:c>
      <x:c r="L1" s="4" t="s">
        <x:v>49</x:v>
      </x:c>
      <x:c r="M1" s="4" t="s">
        <x:v>50</x:v>
      </x:c>
      <x:c r="N1" s="4" t="s">
        <x:v>51</x:v>
      </x:c>
      <x:c r="O1" s="4" t="s">
        <x:v>52</x:v>
      </x:c>
      <x:c r="P1" s="4" t="s">
        <x:v>53</x:v>
      </x:c>
    </x:row>
    <x:row r="2" ht="41.400001525878906">
      <x:c r="A2" s="5" t="s">
        <x:v>54</x:v>
      </x:c>
      <x:c r="B2" s="5" t="s">
        <x:v>55</x:v>
      </x:c>
      <x:c r="C2" s="5" t="s">
        <x:v>56</x:v>
      </x:c>
      <x:c r="D2" s="5" t="s">
        <x:v>57</x:v>
      </x:c>
      <x:c r="E2" s="5" t="s">
        <x:v>58</x:v>
      </x:c>
      <x:c r="F2" s="5" t="s">
        <x:v>59</x:v>
      </x:c>
      <x:c r="G2" s="5" t="s">
        <x:v>27</x:v>
      </x:c>
      <x:c r="H2" s="5" t="s">
        <x:v>14</x:v>
      </x:c>
      <x:c r="I2" s="5" t="s">
        <x:v>60</x:v>
      </x:c>
      <x:c r="J2" s="5" t="s">
        <x:v>61</x:v>
      </x:c>
      <x:c r="K2" s="5" t="s">
        <x:v>28</x:v>
      </x:c>
      <x:c r="L2" s="6"/>
      <x:c r="M2" s="6"/>
      <x:c r="N2" s="6"/>
      <x:c r="O2" s="5"/>
      <x:c r="P2" s="5"/>
    </x:row>
    <x:row r="3" ht="27.600000381469727">
      <x:c r="A3" s="5" t="s">
        <x:v>54</x:v>
      </x:c>
      <x:c r="B3" s="5" t="s">
        <x:v>62</x:v>
      </x:c>
      <x:c r="C3" s="5" t="s">
        <x:v>56</x:v>
      </x:c>
      <x:c r="D3" s="5" t="s">
        <x:v>63</x:v>
      </x:c>
      <x:c r="E3" s="5" t="s">
        <x:v>64</x:v>
      </x:c>
      <x:c r="F3" s="5" t="s">
        <x:v>65</x:v>
      </x:c>
      <x:c r="G3" s="5" t="s">
        <x:v>27</x:v>
      </x:c>
      <x:c r="H3" s="5" t="s">
        <x:v>14</x:v>
      </x:c>
      <x:c r="I3" s="5" t="s">
        <x:v>66</x:v>
      </x:c>
      <x:c r="J3" s="5" t="s">
        <x:v>67</x:v>
      </x:c>
      <x:c r="K3" s="5" t="s">
        <x:v>28</x:v>
      </x:c>
      <x:c r="L3" s="6"/>
      <x:c r="M3" s="6"/>
      <x:c r="N3" s="6"/>
      <x:c r="O3" s="5"/>
      <x:c r="P3" s="5"/>
    </x:row>
    <x:row r="4" ht="27.600000381469727">
      <x:c r="A4" s="5" t="s">
        <x:v>54</x:v>
      </x:c>
      <x:c r="B4" s="5" t="s">
        <x:v>68</x:v>
      </x:c>
      <x:c r="C4" s="5" t="s">
        <x:v>56</x:v>
      </x:c>
      <x:c r="D4" s="5" t="s">
        <x:v>69</x:v>
      </x:c>
      <x:c r="E4" s="5" t="s">
        <x:v>70</x:v>
      </x:c>
      <x:c r="F4" s="5" t="s">
        <x:v>65</x:v>
      </x:c>
      <x:c r="G4" s="5" t="s">
        <x:v>27</x:v>
      </x:c>
      <x:c r="H4" s="5" t="s">
        <x:v>14</x:v>
      </x:c>
      <x:c r="I4" s="5" t="s">
        <x:v>71</x:v>
      </x:c>
      <x:c r="J4" s="5" t="s">
        <x:v>67</x:v>
      </x:c>
      <x:c r="K4" s="5" t="s">
        <x:v>28</x:v>
      </x:c>
      <x:c r="L4" s="6"/>
      <x:c r="M4" s="6"/>
      <x:c r="N4" s="6"/>
      <x:c r="O4" s="5"/>
      <x:c r="P4" s="5"/>
    </x:row>
    <x:row r="5" ht="41.400001525878906">
      <x:c r="A5" s="5" t="s">
        <x:v>54</x:v>
      </x:c>
      <x:c r="B5" s="5" t="s">
        <x:v>72</x:v>
      </x:c>
      <x:c r="C5" s="5" t="s">
        <x:v>56</x:v>
      </x:c>
      <x:c r="D5" s="5" t="s">
        <x:v>73</x:v>
      </x:c>
      <x:c r="E5" s="5" t="s">
        <x:v>74</x:v>
      </x:c>
      <x:c r="F5" s="5" t="s">
        <x:v>65</x:v>
      </x:c>
      <x:c r="G5" s="5" t="s">
        <x:v>27</x:v>
      </x:c>
      <x:c r="H5" s="5" t="s">
        <x:v>14</x:v>
      </x:c>
      <x:c r="I5" s="5" t="s">
        <x:v>75</x:v>
      </x:c>
      <x:c r="J5" s="5" t="s">
        <x:v>67</x:v>
      </x:c>
      <x:c r="K5" s="5" t="s">
        <x:v>28</x:v>
      </x:c>
      <x:c r="L5" s="6"/>
      <x:c r="M5" s="6"/>
      <x:c r="N5" s="6"/>
      <x:c r="O5" s="5"/>
      <x:c r="P5" s="5"/>
    </x:row>
    <x:row r="6" ht="41.400001525878906">
      <x:c r="A6" s="5" t="s">
        <x:v>54</x:v>
      </x:c>
      <x:c r="B6" s="5" t="s">
        <x:v>76</x:v>
      </x:c>
      <x:c r="C6" s="5" t="s">
        <x:v>56</x:v>
      </x:c>
      <x:c r="D6" s="5" t="s">
        <x:v>77</x:v>
      </x:c>
      <x:c r="E6" s="5" t="s">
        <x:v>78</x:v>
      </x:c>
      <x:c r="F6" s="5" t="s">
        <x:v>65</x:v>
      </x:c>
      <x:c r="G6" s="5" t="s">
        <x:v>27</x:v>
      </x:c>
      <x:c r="H6" s="5" t="s">
        <x:v>14</x:v>
      </x:c>
      <x:c r="I6" s="5" t="s">
        <x:v>79</x:v>
      </x:c>
      <x:c r="J6" s="5" t="s">
        <x:v>80</x:v>
      </x:c>
      <x:c r="K6" s="5" t="s">
        <x:v>28</x:v>
      </x:c>
      <x:c r="L6" s="6"/>
      <x:c r="M6" s="6"/>
      <x:c r="N6" s="6"/>
      <x:c r="O6" s="5"/>
      <x:c r="P6" s="5"/>
    </x:row>
    <x:row r="7" ht="27.600000381469727">
      <x:c r="A7" s="5" t="s">
        <x:v>54</x:v>
      </x:c>
      <x:c r="B7" s="5" t="s">
        <x:v>81</x:v>
      </x:c>
      <x:c r="C7" s="5" t="s">
        <x:v>82</x:v>
      </x:c>
      <x:c r="D7" s="5" t="s">
        <x:v>83</x:v>
      </x:c>
      <x:c r="E7" s="5" t="s">
        <x:v>84</x:v>
      </x:c>
      <x:c r="F7" s="5" t="str">
        <x:v>IMPLEMENTATION_HANDOFF.md / Workbook operational tracker</x:v>
      </x:c>
      <x:c r="G7" s="5" t="s">
        <x:v>30</x:v>
      </x:c>
      <x:c r="H7" s="5" t="str">
        <x:v>PASS</x:v>
      </x:c>
      <x:c r="I7" s="5" t="str">
        <x:v>git status + git log -1 --oneline</x:v>
      </x:c>
      <x:c r="J7" s="5" t="str">
        <x:v>branch=implementation/gate2; observed HEAD=beb4e83</x:v>
      </x:c>
      <x:c r="K7" s="5" t="s">
        <x:v>28</x:v>
      </x:c>
      <x:c r="L7" s="6"/>
      <x:c r="M7" s="6"/>
      <x:c r="N7" s="6"/>
      <x:c r="O7" s="5"/>
      <x:c r="P7" s="5" t="str">
        <x:v>PASS for recording the current Git state. beb4e83 is the observed pre-baseline HEAD, not the future PRE_IMPLEMENTATION_BASELINE commit.</x:v>
      </x:c>
    </x:row>
    <x:row r="8" ht="27.600000381469727">
      <x:c r="A8" s="5" t="s">
        <x:v>54</x:v>
      </x:c>
      <x:c r="B8" s="5" t="s">
        <x:v>85</x:v>
      </x:c>
      <x:c r="C8" s="5" t="s">
        <x:v>56</x:v>
      </x:c>
      <x:c r="D8" s="5" t="s">
        <x:v>86</x:v>
      </x:c>
      <x:c r="E8" s="5" t="s">
        <x:v>87</x:v>
      </x:c>
      <x:c r="F8" s="5" t="s">
        <x:v>65</x:v>
      </x:c>
      <x:c r="G8" s="5" t="s">
        <x:v>30</x:v>
      </x:c>
      <x:c r="H8" s="5" t="str">
        <x:v>PASS</x:v>
      </x:c>
      <x:c r="I8" s="5" t="s">
        <x:v>88</x:v>
      </x:c>
      <x:c r="J8" s="5" t="s">
        <x:v>89</x:v>
      </x:c>
      <x:c r="K8" s="5" t="s">
        <x:v>28</x:v>
      </x:c>
      <x:c r="L8" s="6"/>
      <x:c r="M8" s="6"/>
      <x:c r="N8" s="6"/>
      <x:c r="O8" s="5"/>
      <x:c r="P8" s="5" t="str">
        <x:v>Creation PASS from successful artifacts/governance/s0_create_manifests.ps1 execution; canonical hashes matched. Schema/content verification is tracked separately.</x:v>
      </x:c>
    </x:row>
    <x:row r="9" ht="27.600000381469727">
      <x:c r="A9" s="5" t="s">
        <x:v>54</x:v>
      </x:c>
      <x:c r="B9" s="5" t="s">
        <x:v>90</x:v>
      </x:c>
      <x:c r="C9" s="5" t="s">
        <x:v>56</x:v>
      </x:c>
      <x:c r="D9" s="5" t="s">
        <x:v>91</x:v>
      </x:c>
      <x:c r="E9" s="5" t="s">
        <x:v>92</x:v>
      </x:c>
      <x:c r="F9" s="5" t="s">
        <x:v>65</x:v>
      </x:c>
      <x:c r="G9" s="5" t="s">
        <x:v>30</x:v>
      </x:c>
      <x:c r="H9" s="5" t="str">
        <x:v>PASS</x:v>
      </x:c>
      <x:c r="I9" s="5" t="s">
        <x:v>93</x:v>
      </x:c>
      <x:c r="J9" s="5" t="s">
        <x:v>89</x:v>
      </x:c>
      <x:c r="K9" s="5" t="s">
        <x:v>28</x:v>
      </x:c>
      <x:c r="L9" s="6"/>
      <x:c r="M9" s="6"/>
      <x:c r="N9" s="6"/>
      <x:c r="O9" s="5"/>
      <x:c r="P9" s="5" t="str">
        <x:v>Creation PASS from successful artifacts/governance/s0_create_manifests.ps1 execution; canonical hashes matched. Schema/content verification is tracked separately.</x:v>
      </x:c>
    </x:row>
    <x:row r="10" ht="27.600000381469727">
      <x:c r="A10" s="5" t="s">
        <x:v>54</x:v>
      </x:c>
      <x:c r="B10" s="5" t="s">
        <x:v>94</x:v>
      </x:c>
      <x:c r="C10" s="5" t="s">
        <x:v>56</x:v>
      </x:c>
      <x:c r="D10" s="5" t="s">
        <x:v>95</x:v>
      </x:c>
      <x:c r="E10" s="5" t="s">
        <x:v>96</x:v>
      </x:c>
      <x:c r="F10" s="5" t="s">
        <x:v>65</x:v>
      </x:c>
      <x:c r="G10" s="5" t="s">
        <x:v>30</x:v>
      </x:c>
      <x:c r="H10" s="5" t="str">
        <x:v>PASS</x:v>
      </x:c>
      <x:c r="I10" s="5" t="s">
        <x:v>97</x:v>
      </x:c>
      <x:c r="J10" s="5" t="s">
        <x:v>89</x:v>
      </x:c>
      <x:c r="K10" s="5" t="s">
        <x:v>28</x:v>
      </x:c>
      <x:c r="L10" s="6"/>
      <x:c r="M10" s="6"/>
      <x:c r="N10" s="6"/>
      <x:c r="O10" s="5"/>
      <x:c r="P10" s="5" t="str">
        <x:v>Creation PASS from successful artifacts/governance/s0_create_manifests.ps1 execution; canonical hashes matched. Schema/content verification is tracked separately.</x:v>
      </x:c>
    </x:row>
    <x:row r="11" ht="27.600000381469727">
      <x:c r="A11" s="5" t="s">
        <x:v>54</x:v>
      </x:c>
      <x:c r="B11" s="5" t="s">
        <x:v>98</x:v>
      </x:c>
      <x:c r="C11" s="5" t="s">
        <x:v>56</x:v>
      </x:c>
      <x:c r="D11" s="5" t="s">
        <x:v>99</x:v>
      </x:c>
      <x:c r="E11" s="5" t="s">
        <x:v>100</x:v>
      </x:c>
      <x:c r="F11" s="5" t="s">
        <x:v>65</x:v>
      </x:c>
      <x:c r="G11" s="5" t="s">
        <x:v>33</x:v>
      </x:c>
      <x:c r="H11" s="5" t="str">
        <x:v>PASS</x:v>
      </x:c>
      <x:c r="I11" s="5" t="s">
        <x:v>101</x:v>
      </x:c>
      <x:c r="J11" s="5" t="s">
        <x:v>102</x:v>
      </x:c>
      <x:c r="K11" s="5" t="s">
        <x:v>28</x:v>
      </x:c>
      <x:c r="L11" s="6"/>
      <x:c r="M11" s="6"/>
      <x:c r="N11" s="6"/>
      <x:c r="O11" s="5"/>
      <x:c r="P11" s="5" t="str">
        <x:v>Creation PASS from successful artifacts/governance/s0_create_manifests.ps1 execution; canonical hashes matched. Schema/content verification is tracked separately.</x:v>
      </x:c>
    </x:row>
    <x:row r="12" ht="41.400001525878906">
      <x:c r="A12" s="5" t="s">
        <x:v>54</x:v>
      </x:c>
      <x:c r="B12" s="5" t="s">
        <x:v>103</x:v>
      </x:c>
      <x:c r="C12" s="5" t="str">
        <x:v>Governance</x:v>
      </x:c>
      <x:c r="D12" s="5" t="str">
        <x:v>Verify generated governance manifests and schema</x:v>
      </x:c>
      <x:c r="E12" s="5" t="str">
        <x:v>JSON parse PASS; required fields present; canonical names/hashes/source hierarchy consistent with locked contracts.</x:v>
      </x:c>
      <x:c r="F12" s="5" t="str">
        <x:v>ARTIFACT_AND_EVIDENCE_CONTRACT.md</x:v>
      </x:c>
      <x:c r="G12" s="5" t="str">
        <x:v>CRITICAL</x:v>
      </x:c>
      <x:c r="H12" s="5" t="str">
        <x:v>NOT_STARTED</x:v>
      </x:c>
      <x:c r="I12" s="5" t="str">
        <x:v>artifacts/governance/*.json</x:v>
      </x:c>
      <x:c r="J12" s="5" t="str">
        <x:v>scientific_source_manifest.json + implementation_contract_manifest.json + artifact_contract_manifest.json + schema_version.json all validate</x:v>
      </x:c>
      <x:c r="K12" s="5" t="str">
        <x:v>Researcher</x:v>
      </x:c>
      <x:c r="L12" s="6" t="str"/>
      <x:c r="M12" s="6" t="str"/>
      <x:c r="N12" s="6" t="str"/>
      <x:c r="O12" s="5" t="str"/>
      <x:c r="P12" s="5" t="str">
        <x:v>This replaces the earlier SOURCE_PROTOCOL_LOCK_REPORT task. That report is not mandatory in the locked artifact contract.</x:v>
      </x:c>
    </x:row>
    <x:row r="13" ht="27.600000381469727">
      <x:c r="A13" s="5" t="s">
        <x:v>54</x:v>
      </x:c>
      <x:c r="B13" s="5" t="s">
        <x:v>104</x:v>
      </x:c>
      <x:c r="C13" s="5" t="s">
        <x:v>82</x:v>
      </x:c>
      <x:c r="D13" s="5" t="s">
        <x:v>105</x:v>
      </x:c>
      <x:c r="E13" s="5" t="s">
        <x:v>106</x:v>
      </x:c>
      <x:c r="F13" s="5" t="str">
        <x:v>IMPLEMENTATION_HANDOFF.md / Workbook operational tracker</x:v>
      </x:c>
      <x:c r="G13" s="5" t="s">
        <x:v>27</x:v>
      </x:c>
      <x:c r="H13" s="5" t="s">
        <x:v>25</x:v>
      </x:c>
      <x:c r="I13" s="5" t="s">
        <x:v>107</x:v>
      </x:c>
      <x:c r="J13" s="5" t="s">
        <x:v>108</x:v>
      </x:c>
      <x:c r="K13" s="5" t="s">
        <x:v>28</x:v>
      </x:c>
      <x:c r="L13" s="6"/>
      <x:c r="M13" s="6"/>
      <x:c r="N13" s="6"/>
      <x:c r="O13" s="5"/>
      <x:c r="P13" s="5"/>
    </x:row>
    <x:row r="14" ht="41.400001525878906">
      <x:c r="A14" s="5" t="s">
        <x:v>54</x:v>
      </x:c>
      <x:c r="B14" s="5" t="s">
        <x:v>109</x:v>
      </x:c>
      <x:c r="C14" s="5" t="s">
        <x:v>82</x:v>
      </x:c>
      <x:c r="D14" s="5" t="s">
        <x:v>110</x:v>
      </x:c>
      <x:c r="E14" s="5" t="s">
        <x:v>111</x:v>
      </x:c>
      <x:c r="F14" s="5" t="str">
        <x:v>IMPLEMENTATION_HANDOFF.md / Workbook operational tracker</x:v>
      </x:c>
      <x:c r="G14" s="5" t="s">
        <x:v>27</x:v>
      </x:c>
      <x:c r="H14" s="5" t="s">
        <x:v>25</x:v>
      </x:c>
      <x:c r="I14" s="5" t="s">
        <x:v>112</x:v>
      </x:c>
      <x:c r="J14" s="5" t="s">
        <x:v>113</x:v>
      </x:c>
      <x:c r="K14" s="5" t="s">
        <x:v>28</x:v>
      </x:c>
      <x:c r="L14" s="6"/>
      <x:c r="M14" s="6"/>
      <x:c r="N14" s="6"/>
      <x:c r="O14" s="5"/>
      <x:c r="P14" s="5"/>
    </x:row>
    <x:row r="15" ht="27.600000381469727">
      <x:c r="A15" s="5" t="s">
        <x:v>54</x:v>
      </x:c>
      <x:c r="B15" s="5" t="s">
        <x:v>114</x:v>
      </x:c>
      <x:c r="C15" s="5" t="s">
        <x:v>115</x:v>
      </x:c>
      <x:c r="D15" s="5" t="s">
        <x:v>116</x:v>
      </x:c>
      <x:c r="E15" s="5" t="s">
        <x:v>117</x:v>
      </x:c>
      <x:c r="F15" s="5" t="str">
        <x:v>IMPLEMENTATION_HANDOFF.md / ARTIFACT_AND_EVIDENCE_CONTRACT.md</x:v>
      </x:c>
      <x:c r="G15" s="5" t="s">
        <x:v>27</x:v>
      </x:c>
      <x:c r="H15" s="5" t="s">
        <x:v>25</x:v>
      </x:c>
      <x:c r="I15" s="5" t="str">
        <x:v>Workbook S0 closure record + Git baseline/tag + validated governance manifests</x:v>
      </x:c>
      <x:c r="J15" s="5" t="s">
        <x:v>118</x:v>
      </x:c>
      <x:c r="K15" s="5" t="s">
        <x:v>28</x:v>
      </x:c>
      <x:c r="L15" s="6"/>
      <x:c r="M15" s="6"/>
      <x:c r="N15" s="6"/>
      <x:c r="O15" s="5"/>
      <x:c r="P15" s="5"/>
    </x:row>
    <x:row r="16" ht="27.600000381469727">
      <x:c r="A16" s="5" t="s">
        <x:v>119</x:v>
      </x:c>
      <x:c r="B16" s="5" t="s">
        <x:v>120</x:v>
      </x:c>
      <x:c r="C16" s="5" t="s">
        <x:v>121</x:v>
      </x:c>
      <x:c r="D16" s="5" t="s">
        <x:v>122</x:v>
      </x:c>
      <x:c r="E16" s="5" t="s">
        <x:v>123</x:v>
      </x:c>
      <x:c r="F16" s="5" t="str">
        <x:v>IMPLEMENTATION_HANDOFF.md / Workbook operational tracker</x:v>
      </x:c>
      <x:c r="G16" s="5" t="s">
        <x:v>30</x:v>
      </x:c>
      <x:c r="H16" s="5" t="s">
        <x:v>25</x:v>
      </x:c>
      <x:c r="I16" s="5" t="s">
        <x:v>124</x:v>
      </x:c>
      <x:c r="J16" s="5" t="s">
        <x:v>125</x:v>
      </x:c>
      <x:c r="K16" s="5" t="s">
        <x:v>28</x:v>
      </x:c>
      <x:c r="L16" s="6"/>
      <x:c r="M16" s="6"/>
      <x:c r="N16" s="6"/>
      <x:c r="O16" s="5"/>
      <x:c r="P16" s="5"/>
    </x:row>
    <x:row r="17" ht="41.400001525878906">
      <x:c r="A17" s="5" t="s">
        <x:v>119</x:v>
      </x:c>
      <x:c r="B17" s="5" t="s">
        <x:v>126</x:v>
      </x:c>
      <x:c r="C17" s="5" t="s">
        <x:v>127</x:v>
      </x:c>
      <x:c r="D17" s="5" t="s">
        <x:v>128</x:v>
      </x:c>
      <x:c r="E17" s="5" t="s">
        <x:v>129</x:v>
      </x:c>
      <x:c r="F17" s="5" t="s">
        <x:v>130</x:v>
      </x:c>
      <x:c r="G17" s="5" t="s">
        <x:v>27</x:v>
      </x:c>
      <x:c r="H17" s="5" t="s">
        <x:v>25</x:v>
      </x:c>
      <x:c r="I17" s="5" t="s">
        <x:v>131</x:v>
      </x:c>
      <x:c r="J17" s="5" t="s">
        <x:v>132</x:v>
      </x:c>
      <x:c r="K17" s="5" t="s">
        <x:v>28</x:v>
      </x:c>
      <x:c r="L17" s="6"/>
      <x:c r="M17" s="6"/>
      <x:c r="N17" s="6"/>
      <x:c r="O17" s="5"/>
      <x:c r="P17" s="5"/>
    </x:row>
    <x:row r="18" ht="27.600000381469727">
      <x:c r="A18" s="5" t="s">
        <x:v>119</x:v>
      </x:c>
      <x:c r="B18" s="5" t="s">
        <x:v>133</x:v>
      </x:c>
      <x:c r="C18" s="5" t="s">
        <x:v>127</x:v>
      </x:c>
      <x:c r="D18" s="5" t="s">
        <x:v>134</x:v>
      </x:c>
      <x:c r="E18" s="5" t="s">
        <x:v>135</x:v>
      </x:c>
      <x:c r="F18" s="5" t="s">
        <x:v>65</x:v>
      </x:c>
      <x:c r="G18" s="5" t="s">
        <x:v>30</x:v>
      </x:c>
      <x:c r="H18" s="5" t="s">
        <x:v>25</x:v>
      </x:c>
      <x:c r="I18" s="5" t="s">
        <x:v>124</x:v>
      </x:c>
      <x:c r="J18" s="5" t="s">
        <x:v>136</x:v>
      </x:c>
      <x:c r="K18" s="5" t="s">
        <x:v>28</x:v>
      </x:c>
      <x:c r="L18" s="6"/>
      <x:c r="M18" s="6"/>
      <x:c r="N18" s="6"/>
      <x:c r="O18" s="5"/>
      <x:c r="P18" s="5"/>
    </x:row>
    <x:row r="19" ht="27.600000381469727">
      <x:c r="A19" s="5" t="s">
        <x:v>119</x:v>
      </x:c>
      <x:c r="B19" s="5" t="s">
        <x:v>137</x:v>
      </x:c>
      <x:c r="C19" s="5" t="s">
        <x:v>138</x:v>
      </x:c>
      <x:c r="D19" s="5" t="s">
        <x:v>139</x:v>
      </x:c>
      <x:c r="E19" s="5" t="s">
        <x:v>140</x:v>
      </x:c>
      <x:c r="F19" s="5" t="str">
        <x:v>IMPLEMENTATION_HANDOFF.md / Workbook operational tracker</x:v>
      </x:c>
      <x:c r="G19" s="5" t="s">
        <x:v>30</x:v>
      </x:c>
      <x:c r="H19" s="5" t="s">
        <x:v>25</x:v>
      </x:c>
      <x:c r="I19" s="5" t="s">
        <x:v>141</x:v>
      </x:c>
      <x:c r="J19" s="5" t="s">
        <x:v>142</x:v>
      </x:c>
      <x:c r="K19" s="5" t="s">
        <x:v>28</x:v>
      </x:c>
      <x:c r="L19" s="6"/>
      <x:c r="M19" s="6"/>
      <x:c r="N19" s="6"/>
      <x:c r="O19" s="5"/>
      <x:c r="P19" s="5"/>
    </x:row>
    <x:row r="20" ht="27.600000381469727">
      <x:c r="A20" s="5" t="s">
        <x:v>119</x:v>
      </x:c>
      <x:c r="B20" s="5" t="s">
        <x:v>143</x:v>
      </x:c>
      <x:c r="C20" s="5" t="s">
        <x:v>144</x:v>
      </x:c>
      <x:c r="D20" s="5" t="s">
        <x:v>145</x:v>
      </x:c>
      <x:c r="E20" s="5" t="s">
        <x:v>146</x:v>
      </x:c>
      <x:c r="F20" s="5" t="s">
        <x:v>65</x:v>
      </x:c>
      <x:c r="G20" s="5" t="s">
        <x:v>27</x:v>
      </x:c>
      <x:c r="H20" s="5" t="s">
        <x:v>25</x:v>
      </x:c>
      <x:c r="I20" s="5" t="s">
        <x:v>147</x:v>
      </x:c>
      <x:c r="J20" s="5" t="s">
        <x:v>148</x:v>
      </x:c>
      <x:c r="K20" s="5" t="s">
        <x:v>28</x:v>
      </x:c>
      <x:c r="L20" s="6"/>
      <x:c r="M20" s="6"/>
      <x:c r="N20" s="6"/>
      <x:c r="O20" s="5"/>
      <x:c r="P20" s="5"/>
    </x:row>
    <x:row r="21" ht="27.600000381469727">
      <x:c r="A21" s="5" t="s">
        <x:v>119</x:v>
      </x:c>
      <x:c r="B21" s="5" t="s">
        <x:v>149</x:v>
      </x:c>
      <x:c r="C21" s="5" t="s">
        <x:v>150</x:v>
      </x:c>
      <x:c r="D21" s="5" t="s">
        <x:v>151</x:v>
      </x:c>
      <x:c r="E21" s="5" t="s">
        <x:v>152</x:v>
      </x:c>
      <x:c r="F21" s="5" t="s">
        <x:v>65</x:v>
      </x:c>
      <x:c r="G21" s="5" t="s">
        <x:v>27</x:v>
      </x:c>
      <x:c r="H21" s="5" t="s">
        <x:v>25</x:v>
      </x:c>
      <x:c r="I21" s="5" t="s">
        <x:v>153</x:v>
      </x:c>
      <x:c r="J21" s="5" t="s">
        <x:v>154</x:v>
      </x:c>
      <x:c r="K21" s="5" t="s">
        <x:v>28</x:v>
      </x:c>
      <x:c r="L21" s="6"/>
      <x:c r="M21" s="6"/>
      <x:c r="N21" s="6"/>
      <x:c r="O21" s="5"/>
      <x:c r="P21" s="5"/>
    </x:row>
    <x:row r="22">
      <x:c r="A22" s="5" t="s">
        <x:v>119</x:v>
      </x:c>
      <x:c r="B22" s="5" t="s">
        <x:v>155</x:v>
      </x:c>
      <x:c r="C22" s="5" t="s">
        <x:v>150</x:v>
      </x:c>
      <x:c r="D22" s="5" t="s">
        <x:v>156</x:v>
      </x:c>
      <x:c r="E22" s="5" t="s">
        <x:v>157</x:v>
      </x:c>
      <x:c r="F22" s="5" t="s">
        <x:v>130</x:v>
      </x:c>
      <x:c r="G22" s="5" t="s">
        <x:v>27</x:v>
      </x:c>
      <x:c r="H22" s="5" t="s">
        <x:v>25</x:v>
      </x:c>
      <x:c r="I22" s="5" t="s">
        <x:v>158</x:v>
      </x:c>
      <x:c r="J22" s="5" t="s">
        <x:v>159</x:v>
      </x:c>
      <x:c r="K22" s="5" t="s">
        <x:v>28</x:v>
      </x:c>
      <x:c r="L22" s="6"/>
      <x:c r="M22" s="6"/>
      <x:c r="N22" s="6"/>
      <x:c r="O22" s="5"/>
      <x:c r="P22" s="5"/>
    </x:row>
    <x:row r="23" ht="27.600000381469727">
      <x:c r="A23" s="5" t="s">
        <x:v>119</x:v>
      </x:c>
      <x:c r="B23" s="5" t="s">
        <x:v>160</x:v>
      </x:c>
      <x:c r="C23" s="5" t="s">
        <x:v>150</x:v>
      </x:c>
      <x:c r="D23" s="5" t="s">
        <x:v>161</x:v>
      </x:c>
      <x:c r="E23" s="5" t="s">
        <x:v>162</x:v>
      </x:c>
      <x:c r="F23" s="5" t="s">
        <x:v>130</x:v>
      </x:c>
      <x:c r="G23" s="5" t="s">
        <x:v>30</x:v>
      </x:c>
      <x:c r="H23" s="5" t="s">
        <x:v>25</x:v>
      </x:c>
      <x:c r="I23" s="5" t="s">
        <x:v>158</x:v>
      </x:c>
      <x:c r="J23" s="5" t="s">
        <x:v>163</x:v>
      </x:c>
      <x:c r="K23" s="5" t="s">
        <x:v>28</x:v>
      </x:c>
      <x:c r="L23" s="6"/>
      <x:c r="M23" s="6"/>
      <x:c r="N23" s="6"/>
      <x:c r="O23" s="5"/>
      <x:c r="P23" s="5"/>
    </x:row>
    <x:row r="24">
      <x:c r="A24" s="5" t="s">
        <x:v>119</x:v>
      </x:c>
      <x:c r="B24" s="5" t="s">
        <x:v>164</x:v>
      </x:c>
      <x:c r="C24" s="5" t="s">
        <x:v>150</x:v>
      </x:c>
      <x:c r="D24" s="5" t="s">
        <x:v>165</x:v>
      </x:c>
      <x:c r="E24" s="5" t="s">
        <x:v>166</x:v>
      </x:c>
      <x:c r="F24" s="5" t="s">
        <x:v>130</x:v>
      </x:c>
      <x:c r="G24" s="5" t="s">
        <x:v>27</x:v>
      </x:c>
      <x:c r="H24" s="5" t="s">
        <x:v>25</x:v>
      </x:c>
      <x:c r="I24" s="5" t="s">
        <x:v>167</x:v>
      </x:c>
      <x:c r="J24" s="5" t="s">
        <x:v>168</x:v>
      </x:c>
      <x:c r="K24" s="5" t="s">
        <x:v>28</x:v>
      </x:c>
      <x:c r="L24" s="6"/>
      <x:c r="M24" s="6"/>
      <x:c r="N24" s="6"/>
      <x:c r="O24" s="5"/>
      <x:c r="P24" s="5"/>
    </x:row>
    <x:row r="25" ht="27.600000381469727">
      <x:c r="A25" s="5" t="s">
        <x:v>119</x:v>
      </x:c>
      <x:c r="B25" s="5" t="s">
        <x:v>169</x:v>
      </x:c>
      <x:c r="C25" s="5" t="s">
        <x:v>150</x:v>
      </x:c>
      <x:c r="D25" s="5" t="s">
        <x:v>170</x:v>
      </x:c>
      <x:c r="E25" s="5" t="s">
        <x:v>171</x:v>
      </x:c>
      <x:c r="F25" s="5" t="s">
        <x:v>130</x:v>
      </x:c>
      <x:c r="G25" s="5" t="s">
        <x:v>30</x:v>
      </x:c>
      <x:c r="H25" s="5" t="s">
        <x:v>25</x:v>
      </x:c>
      <x:c r="I25" s="5" t="s">
        <x:v>167</x:v>
      </x:c>
      <x:c r="J25" s="5" t="s">
        <x:v>172</x:v>
      </x:c>
      <x:c r="K25" s="5" t="s">
        <x:v>28</x:v>
      </x:c>
      <x:c r="L25" s="6"/>
      <x:c r="M25" s="6"/>
      <x:c r="N25" s="6"/>
      <x:c r="O25" s="5"/>
      <x:c r="P25" s="5"/>
    </x:row>
    <x:row r="26" ht="27.600000381469727">
      <x:c r="A26" s="5" t="s">
        <x:v>119</x:v>
      </x:c>
      <x:c r="B26" s="5" t="s">
        <x:v>173</x:v>
      </x:c>
      <x:c r="C26" s="5" t="s">
        <x:v>150</x:v>
      </x:c>
      <x:c r="D26" s="5" t="s">
        <x:v>174</x:v>
      </x:c>
      <x:c r="E26" s="5" t="s">
        <x:v>175</x:v>
      </x:c>
      <x:c r="F26" s="5" t="s">
        <x:v>130</x:v>
      </x:c>
      <x:c r="G26" s="5" t="s">
        <x:v>27</x:v>
      </x:c>
      <x:c r="H26" s="5" t="s">
        <x:v>25</x:v>
      </x:c>
      <x:c r="I26" s="5" t="s">
        <x:v>176</x:v>
      </x:c>
      <x:c r="J26" s="5" t="s">
        <x:v>177</x:v>
      </x:c>
      <x:c r="K26" s="5" t="s">
        <x:v>28</x:v>
      </x:c>
      <x:c r="L26" s="6"/>
      <x:c r="M26" s="6"/>
      <x:c r="N26" s="6"/>
      <x:c r="O26" s="5"/>
      <x:c r="P26" s="5"/>
    </x:row>
    <x:row r="27" ht="27.600000381469727">
      <x:c r="A27" s="5" t="s">
        <x:v>119</x:v>
      </x:c>
      <x:c r="B27" s="5" t="s">
        <x:v>178</x:v>
      </x:c>
      <x:c r="C27" s="5" t="s">
        <x:v>138</x:v>
      </x:c>
      <x:c r="D27" s="5" t="s">
        <x:v>179</x:v>
      </x:c>
      <x:c r="E27" s="5" t="s">
        <x:v>180</x:v>
      </x:c>
      <x:c r="F27" s="5" t="s">
        <x:v>65</x:v>
      </x:c>
      <x:c r="G27" s="5" t="s">
        <x:v>27</x:v>
      </x:c>
      <x:c r="H27" s="5" t="s">
        <x:v>25</x:v>
      </x:c>
      <x:c r="I27" s="5" t="s">
        <x:v>181</x:v>
      </x:c>
      <x:c r="J27" s="5" t="s">
        <x:v>182</x:v>
      </x:c>
      <x:c r="K27" s="5" t="s">
        <x:v>28</x:v>
      </x:c>
      <x:c r="L27" s="6"/>
      <x:c r="M27" s="6"/>
      <x:c r="N27" s="6"/>
      <x:c r="O27" s="5"/>
      <x:c r="P27" s="5"/>
    </x:row>
    <x:row r="28" ht="27.600000381469727">
      <x:c r="A28" s="5" t="s">
        <x:v>119</x:v>
      </x:c>
      <x:c r="B28" s="5" t="s">
        <x:v>183</x:v>
      </x:c>
      <x:c r="C28" s="5" t="s">
        <x:v>184</x:v>
      </x:c>
      <x:c r="D28" s="5" t="s">
        <x:v>185</x:v>
      </x:c>
      <x:c r="E28" s="5" t="s">
        <x:v>186</x:v>
      </x:c>
      <x:c r="F28" s="5" t="s">
        <x:v>65</x:v>
      </x:c>
      <x:c r="G28" s="5" t="s">
        <x:v>30</x:v>
      </x:c>
      <x:c r="H28" s="5" t="s">
        <x:v>25</x:v>
      </x:c>
      <x:c r="I28" s="5" t="s">
        <x:v>141</x:v>
      </x:c>
      <x:c r="J28" s="5" t="s">
        <x:v>187</x:v>
      </x:c>
      <x:c r="K28" s="5" t="s">
        <x:v>28</x:v>
      </x:c>
      <x:c r="L28" s="6"/>
      <x:c r="M28" s="6"/>
      <x:c r="N28" s="6"/>
      <x:c r="O28" s="5"/>
      <x:c r="P28" s="5"/>
    </x:row>
    <x:row r="29" ht="27.600000381469727">
      <x:c r="A29" s="5" t="s">
        <x:v>119</x:v>
      </x:c>
      <x:c r="B29" s="5" t="s">
        <x:v>188</x:v>
      </x:c>
      <x:c r="C29" s="5" t="s">
        <x:v>184</x:v>
      </x:c>
      <x:c r="D29" s="5" t="s">
        <x:v>189</x:v>
      </x:c>
      <x:c r="E29" s="5" t="s">
        <x:v>190</x:v>
      </x:c>
      <x:c r="F29" s="5" t="s">
        <x:v>65</x:v>
      </x:c>
      <x:c r="G29" s="5" t="s">
        <x:v>30</x:v>
      </x:c>
      <x:c r="H29" s="5" t="s">
        <x:v>25</x:v>
      </x:c>
      <x:c r="I29" s="5" t="s">
        <x:v>191</x:v>
      </x:c>
      <x:c r="J29" s="5" t="s">
        <x:v>192</x:v>
      </x:c>
      <x:c r="K29" s="5" t="s">
        <x:v>28</x:v>
      </x:c>
      <x:c r="L29" s="6"/>
      <x:c r="M29" s="6"/>
      <x:c r="N29" s="6"/>
      <x:c r="O29" s="5"/>
      <x:c r="P29" s="5"/>
    </x:row>
    <x:row r="30" ht="27.600000381469727">
      <x:c r="A30" s="5" t="s">
        <x:v>119</x:v>
      </x:c>
      <x:c r="B30" s="5" t="s">
        <x:v>193</x:v>
      </x:c>
      <x:c r="C30" s="5" t="s">
        <x:v>194</x:v>
      </x:c>
      <x:c r="D30" s="5" t="s">
        <x:v>195</x:v>
      </x:c>
      <x:c r="E30" s="5" t="s">
        <x:v>196</x:v>
      </x:c>
      <x:c r="F30" s="5" t="s">
        <x:v>65</x:v>
      </x:c>
      <x:c r="G30" s="5" t="s">
        <x:v>30</x:v>
      </x:c>
      <x:c r="H30" s="5" t="s">
        <x:v>25</x:v>
      </x:c>
      <x:c r="I30" s="5" t="s">
        <x:v>197</x:v>
      </x:c>
      <x:c r="J30" s="5" t="s">
        <x:v>14</x:v>
      </x:c>
      <x:c r="K30" s="5" t="s">
        <x:v>28</x:v>
      </x:c>
      <x:c r="L30" s="6"/>
      <x:c r="M30" s="6"/>
      <x:c r="N30" s="6"/>
      <x:c r="O30" s="5"/>
      <x:c r="P30" s="5"/>
    </x:row>
    <x:row r="31" ht="27.600000381469727">
      <x:c r="A31" s="5" t="s">
        <x:v>119</x:v>
      </x:c>
      <x:c r="B31" s="5" t="s">
        <x:v>198</x:v>
      </x:c>
      <x:c r="C31" s="5" t="s">
        <x:v>115</x:v>
      </x:c>
      <x:c r="D31" s="5" t="s">
        <x:v>199</x:v>
      </x:c>
      <x:c r="E31" s="5" t="s">
        <x:v>200</x:v>
      </x:c>
      <x:c r="F31" s="5" t="str">
        <x:v>IMPLEMENTATION_HANDOFF.md / Workbook operational tracker</x:v>
      </x:c>
      <x:c r="G31" s="5" t="s">
        <x:v>27</x:v>
      </x:c>
      <x:c r="H31" s="5" t="s">
        <x:v>25</x:v>
      </x:c>
      <x:c r="I31" s="5" t="s">
        <x:v>201</x:v>
      </x:c>
      <x:c r="J31" s="5" t="s">
        <x:v>202</x:v>
      </x:c>
      <x:c r="K31" s="5" t="s">
        <x:v>28</x:v>
      </x:c>
      <x:c r="L31" s="6"/>
      <x:c r="M31" s="6"/>
      <x:c r="N31" s="6"/>
      <x:c r="O31" s="5"/>
      <x:c r="P31" s="5"/>
    </x:row>
    <x:row r="32">
      <x:c r="A32" s="5" t="s">
        <x:v>203</x:v>
      </x:c>
      <x:c r="B32" s="5" t="s">
        <x:v>204</x:v>
      </x:c>
      <x:c r="C32" s="5" t="s">
        <x:v>205</x:v>
      </x:c>
      <x:c r="D32" s="5" t="s">
        <x:v>206</x:v>
      </x:c>
      <x:c r="E32" s="5" t="s">
        <x:v>207</x:v>
      </x:c>
      <x:c r="F32" s="5" t="s">
        <x:v>130</x:v>
      </x:c>
      <x:c r="G32" s="5" t="s">
        <x:v>27</x:v>
      </x:c>
      <x:c r="H32" s="5" t="s">
        <x:v>25</x:v>
      </x:c>
      <x:c r="I32" s="5" t="s">
        <x:v>208</x:v>
      </x:c>
      <x:c r="J32" s="5" t="s">
        <x:v>209</x:v>
      </x:c>
      <x:c r="K32" s="5" t="s">
        <x:v>28</x:v>
      </x:c>
      <x:c r="L32" s="6"/>
      <x:c r="M32" s="6"/>
      <x:c r="N32" s="6"/>
      <x:c r="O32" s="5"/>
      <x:c r="P32" s="5"/>
    </x:row>
    <x:row r="33" ht="27.600000381469727">
      <x:c r="A33" s="5" t="s">
        <x:v>203</x:v>
      </x:c>
      <x:c r="B33" s="5" t="s">
        <x:v>210</x:v>
      </x:c>
      <x:c r="C33" s="5" t="s">
        <x:v>205</x:v>
      </x:c>
      <x:c r="D33" s="5" t="s">
        <x:v>211</x:v>
      </x:c>
      <x:c r="E33" s="5" t="s">
        <x:v>212</x:v>
      </x:c>
      <x:c r="F33" s="5" t="s">
        <x:v>130</x:v>
      </x:c>
      <x:c r="G33" s="5" t="s">
        <x:v>30</x:v>
      </x:c>
      <x:c r="H33" s="5" t="s">
        <x:v>25</x:v>
      </x:c>
      <x:c r="I33" s="5" t="s">
        <x:v>213</x:v>
      </x:c>
      <x:c r="J33" s="5" t="s">
        <x:v>214</x:v>
      </x:c>
      <x:c r="K33" s="5" t="s">
        <x:v>28</x:v>
      </x:c>
      <x:c r="L33" s="6"/>
      <x:c r="M33" s="6"/>
      <x:c r="N33" s="6"/>
      <x:c r="O33" s="5"/>
      <x:c r="P33" s="5"/>
    </x:row>
    <x:row r="34" ht="27.600000381469727">
      <x:c r="A34" s="5" t="s">
        <x:v>203</x:v>
      </x:c>
      <x:c r="B34" s="5" t="s">
        <x:v>215</x:v>
      </x:c>
      <x:c r="C34" s="5" t="s">
        <x:v>205</x:v>
      </x:c>
      <x:c r="D34" s="5" t="s">
        <x:v>216</x:v>
      </x:c>
      <x:c r="E34" s="5" t="s">
        <x:v>217</x:v>
      </x:c>
      <x:c r="F34" s="5" t="s">
        <x:v>130</x:v>
      </x:c>
      <x:c r="G34" s="5" t="s">
        <x:v>30</x:v>
      </x:c>
      <x:c r="H34" s="5" t="s">
        <x:v>25</x:v>
      </x:c>
      <x:c r="I34" s="5" t="s">
        <x:v>181</x:v>
      </x:c>
      <x:c r="J34" s="5" t="s">
        <x:v>218</x:v>
      </x:c>
      <x:c r="K34" s="5" t="s">
        <x:v>28</x:v>
      </x:c>
      <x:c r="L34" s="6"/>
      <x:c r="M34" s="6"/>
      <x:c r="N34" s="6"/>
      <x:c r="O34" s="5"/>
      <x:c r="P34" s="5"/>
    </x:row>
    <x:row r="35">
      <x:c r="A35" s="5" t="s">
        <x:v>203</x:v>
      </x:c>
      <x:c r="B35" s="5" t="s">
        <x:v>219</x:v>
      </x:c>
      <x:c r="C35" s="5" t="s">
        <x:v>205</x:v>
      </x:c>
      <x:c r="D35" s="5" t="s">
        <x:v>220</x:v>
      </x:c>
      <x:c r="E35" s="5" t="s">
        <x:v>221</x:v>
      </x:c>
      <x:c r="F35" s="5" t="s">
        <x:v>130</x:v>
      </x:c>
      <x:c r="G35" s="5" t="s">
        <x:v>30</x:v>
      </x:c>
      <x:c r="H35" s="5" t="s">
        <x:v>25</x:v>
      </x:c>
      <x:c r="I35" s="5" t="s">
        <x:v>181</x:v>
      </x:c>
      <x:c r="J35" s="5" t="s">
        <x:v>218</x:v>
      </x:c>
      <x:c r="K35" s="5" t="s">
        <x:v>28</x:v>
      </x:c>
      <x:c r="L35" s="6"/>
      <x:c r="M35" s="6"/>
      <x:c r="N35" s="6"/>
      <x:c r="O35" s="5"/>
      <x:c r="P35" s="5"/>
    </x:row>
    <x:row r="36">
      <x:c r="A36" s="5" t="s">
        <x:v>203</x:v>
      </x:c>
      <x:c r="B36" s="5" t="s">
        <x:v>222</x:v>
      </x:c>
      <x:c r="C36" s="5" t="s">
        <x:v>205</x:v>
      </x:c>
      <x:c r="D36" s="5" t="s">
        <x:v>223</x:v>
      </x:c>
      <x:c r="E36" s="5" t="s">
        <x:v>224</x:v>
      </x:c>
      <x:c r="F36" s="5" t="s">
        <x:v>130</x:v>
      </x:c>
      <x:c r="G36" s="5" t="s">
        <x:v>27</x:v>
      </x:c>
      <x:c r="H36" s="5" t="s">
        <x:v>25</x:v>
      </x:c>
      <x:c r="I36" s="5" t="s">
        <x:v>225</x:v>
      </x:c>
      <x:c r="J36" s="5" t="s">
        <x:v>14</x:v>
      </x:c>
      <x:c r="K36" s="5" t="s">
        <x:v>28</x:v>
      </x:c>
      <x:c r="L36" s="6"/>
      <x:c r="M36" s="6"/>
      <x:c r="N36" s="6"/>
      <x:c r="O36" s="5"/>
      <x:c r="P36" s="5"/>
    </x:row>
    <x:row r="37" ht="27.600000381469727">
      <x:c r="A37" s="5" t="s">
        <x:v>203</x:v>
      </x:c>
      <x:c r="B37" s="5" t="s">
        <x:v>226</x:v>
      </x:c>
      <x:c r="C37" s="5" t="s">
        <x:v>227</x:v>
      </x:c>
      <x:c r="D37" s="5" t="s">
        <x:v>228</x:v>
      </x:c>
      <x:c r="E37" s="5" t="s">
        <x:v>229</x:v>
      </x:c>
      <x:c r="F37" s="5" t="s">
        <x:v>130</x:v>
      </x:c>
      <x:c r="G37" s="5" t="s">
        <x:v>27</x:v>
      </x:c>
      <x:c r="H37" s="5" t="s">
        <x:v>25</x:v>
      </x:c>
      <x:c r="I37" s="5" t="s">
        <x:v>230</x:v>
      </x:c>
      <x:c r="J37" s="5" t="s">
        <x:v>14</x:v>
      </x:c>
      <x:c r="K37" s="5" t="s">
        <x:v>28</x:v>
      </x:c>
      <x:c r="L37" s="6"/>
      <x:c r="M37" s="6"/>
      <x:c r="N37" s="6"/>
      <x:c r="O37" s="5"/>
      <x:c r="P37" s="5"/>
    </x:row>
    <x:row r="38" ht="27.600000381469727">
      <x:c r="A38" s="5" t="s">
        <x:v>203</x:v>
      </x:c>
      <x:c r="B38" s="5" t="s">
        <x:v>231</x:v>
      </x:c>
      <x:c r="C38" s="5" t="s">
        <x:v>227</x:v>
      </x:c>
      <x:c r="D38" s="5" t="s">
        <x:v>232</x:v>
      </x:c>
      <x:c r="E38" s="5" t="s">
        <x:v>233</x:v>
      </x:c>
      <x:c r="F38" s="5" t="s">
        <x:v>65</x:v>
      </x:c>
      <x:c r="G38" s="5" t="s">
        <x:v>30</x:v>
      </x:c>
      <x:c r="H38" s="5" t="s">
        <x:v>25</x:v>
      </x:c>
      <x:c r="I38" s="5" t="s">
        <x:v>234</x:v>
      </x:c>
      <x:c r="J38" s="5" t="s">
        <x:v>14</x:v>
      </x:c>
      <x:c r="K38" s="5" t="s">
        <x:v>28</x:v>
      </x:c>
      <x:c r="L38" s="6"/>
      <x:c r="M38" s="6"/>
      <x:c r="N38" s="6"/>
      <x:c r="O38" s="5"/>
      <x:c r="P38" s="5"/>
    </x:row>
    <x:row r="39">
      <x:c r="A39" s="5" t="s">
        <x:v>203</x:v>
      </x:c>
      <x:c r="B39" s="5" t="s">
        <x:v>235</x:v>
      </x:c>
      <x:c r="C39" s="5" t="s">
        <x:v>227</x:v>
      </x:c>
      <x:c r="D39" s="5" t="s">
        <x:v>236</x:v>
      </x:c>
      <x:c r="E39" s="5" t="s">
        <x:v>237</x:v>
      </x:c>
      <x:c r="F39" s="5" t="s">
        <x:v>130</x:v>
      </x:c>
      <x:c r="G39" s="5" t="s">
        <x:v>30</x:v>
      </x:c>
      <x:c r="H39" s="5" t="s">
        <x:v>25</x:v>
      </x:c>
      <x:c r="I39" s="5" t="s">
        <x:v>230</x:v>
      </x:c>
      <x:c r="J39" s="5" t="s">
        <x:v>14</x:v>
      </x:c>
      <x:c r="K39" s="5" t="s">
        <x:v>28</x:v>
      </x:c>
      <x:c r="L39" s="6"/>
      <x:c r="M39" s="6"/>
      <x:c r="N39" s="6"/>
      <x:c r="O39" s="5"/>
      <x:c r="P39" s="5"/>
    </x:row>
    <x:row r="40" ht="27.600000381469727">
      <x:c r="A40" s="5" t="s">
        <x:v>203</x:v>
      </x:c>
      <x:c r="B40" s="5" t="s">
        <x:v>238</x:v>
      </x:c>
      <x:c r="C40" s="5" t="s">
        <x:v>227</x:v>
      </x:c>
      <x:c r="D40" s="5" t="s">
        <x:v>239</x:v>
      </x:c>
      <x:c r="E40" s="5" t="s">
        <x:v>240</x:v>
      </x:c>
      <x:c r="F40" s="5" t="s">
        <x:v>130</x:v>
      </x:c>
      <x:c r="G40" s="5" t="s">
        <x:v>27</x:v>
      </x:c>
      <x:c r="H40" s="5" t="s">
        <x:v>25</x:v>
      </x:c>
      <x:c r="I40" s="5" t="s">
        <x:v>241</x:v>
      </x:c>
      <x:c r="J40" s="5" t="s">
        <x:v>14</x:v>
      </x:c>
      <x:c r="K40" s="5" t="s">
        <x:v>28</x:v>
      </x:c>
      <x:c r="L40" s="6"/>
      <x:c r="M40" s="6"/>
      <x:c r="N40" s="6"/>
      <x:c r="O40" s="5"/>
      <x:c r="P40" s="5"/>
    </x:row>
    <x:row r="41" ht="27.600000381469727">
      <x:c r="A41" s="5" t="s">
        <x:v>203</x:v>
      </x:c>
      <x:c r="B41" s="5" t="s">
        <x:v>242</x:v>
      </x:c>
      <x:c r="C41" s="5" t="s">
        <x:v>243</x:v>
      </x:c>
      <x:c r="D41" s="5" t="s">
        <x:v>244</x:v>
      </x:c>
      <x:c r="E41" s="5" t="s">
        <x:v>245</x:v>
      </x:c>
      <x:c r="F41" s="5" t="s">
        <x:v>130</x:v>
      </x:c>
      <x:c r="G41" s="5" t="s">
        <x:v>27</x:v>
      </x:c>
      <x:c r="H41" s="5" t="s">
        <x:v>25</x:v>
      </x:c>
      <x:c r="I41" s="5" t="s">
        <x:v>246</x:v>
      </x:c>
      <x:c r="J41" s="5" t="s">
        <x:v>14</x:v>
      </x:c>
      <x:c r="K41" s="5" t="s">
        <x:v>28</x:v>
      </x:c>
      <x:c r="L41" s="6"/>
      <x:c r="M41" s="6"/>
      <x:c r="N41" s="6"/>
      <x:c r="O41" s="5"/>
      <x:c r="P41" s="5"/>
    </x:row>
    <x:row r="42" ht="27.600000381469727">
      <x:c r="A42" s="5" t="s">
        <x:v>203</x:v>
      </x:c>
      <x:c r="B42" s="5" t="s">
        <x:v>247</x:v>
      </x:c>
      <x:c r="C42" s="5" t="s">
        <x:v>248</x:v>
      </x:c>
      <x:c r="D42" s="5" t="s">
        <x:v>249</x:v>
      </x:c>
      <x:c r="E42" s="5" t="s">
        <x:v>250</x:v>
      </x:c>
      <x:c r="F42" s="5" t="s">
        <x:v>65</x:v>
      </x:c>
      <x:c r="G42" s="5" t="s">
        <x:v>27</x:v>
      </x:c>
      <x:c r="H42" s="5" t="s">
        <x:v>25</x:v>
      </x:c>
      <x:c r="I42" s="5" t="s">
        <x:v>251</x:v>
      </x:c>
      <x:c r="J42" s="5" t="s">
        <x:v>252</x:v>
      </x:c>
      <x:c r="K42" s="5" t="s">
        <x:v>28</x:v>
      </x:c>
      <x:c r="L42" s="6"/>
      <x:c r="M42" s="6"/>
      <x:c r="N42" s="6"/>
      <x:c r="O42" s="5"/>
      <x:c r="P42" s="5"/>
    </x:row>
    <x:row r="43" ht="27.600000381469727">
      <x:c r="A43" s="5" t="s">
        <x:v>203</x:v>
      </x:c>
      <x:c r="B43" s="5" t="s">
        <x:v>253</x:v>
      </x:c>
      <x:c r="C43" s="5" t="s">
        <x:v>248</x:v>
      </x:c>
      <x:c r="D43" s="5" t="s">
        <x:v>254</x:v>
      </x:c>
      <x:c r="E43" s="5" t="s">
        <x:v>255</x:v>
      </x:c>
      <x:c r="F43" s="5" t="s">
        <x:v>65</x:v>
      </x:c>
      <x:c r="G43" s="5" t="s">
        <x:v>30</x:v>
      </x:c>
      <x:c r="H43" s="5" t="s">
        <x:v>25</x:v>
      </x:c>
      <x:c r="I43" s="5" t="s">
        <x:v>256</x:v>
      </x:c>
      <x:c r="J43" s="5" t="s">
        <x:v>14</x:v>
      </x:c>
      <x:c r="K43" s="5" t="s">
        <x:v>28</x:v>
      </x:c>
      <x:c r="L43" s="6"/>
      <x:c r="M43" s="6"/>
      <x:c r="N43" s="6"/>
      <x:c r="O43" s="5"/>
      <x:c r="P43" s="5"/>
    </x:row>
    <x:row r="44" ht="27.600000381469727">
      <x:c r="A44" s="5" t="s">
        <x:v>203</x:v>
      </x:c>
      <x:c r="B44" s="5" t="s">
        <x:v>257</x:v>
      </x:c>
      <x:c r="C44" s="5" t="s">
        <x:v>258</x:v>
      </x:c>
      <x:c r="D44" s="5" t="s">
        <x:v>259</x:v>
      </x:c>
      <x:c r="E44" s="5" t="s">
        <x:v>260</x:v>
      </x:c>
      <x:c r="F44" s="5" t="s">
        <x:v>65</x:v>
      </x:c>
      <x:c r="G44" s="5" t="s">
        <x:v>27</x:v>
      </x:c>
      <x:c r="H44" s="5" t="s">
        <x:v>25</x:v>
      </x:c>
      <x:c r="I44" s="5" t="s">
        <x:v>261</x:v>
      </x:c>
      <x:c r="J44" s="5" t="s">
        <x:v>14</x:v>
      </x:c>
      <x:c r="K44" s="5" t="s">
        <x:v>28</x:v>
      </x:c>
      <x:c r="L44" s="6"/>
      <x:c r="M44" s="6"/>
      <x:c r="N44" s="6"/>
      <x:c r="O44" s="5"/>
      <x:c r="P44" s="5"/>
    </x:row>
    <x:row r="45" ht="27.600000381469727">
      <x:c r="A45" s="5" t="s">
        <x:v>203</x:v>
      </x:c>
      <x:c r="B45" s="5" t="s">
        <x:v>262</x:v>
      </x:c>
      <x:c r="C45" s="5" t="s">
        <x:v>263</x:v>
      </x:c>
      <x:c r="D45" s="5" t="s">
        <x:v>264</x:v>
      </x:c>
      <x:c r="E45" s="5" t="s">
        <x:v>265</x:v>
      </x:c>
      <x:c r="F45" s="5" t="s">
        <x:v>65</x:v>
      </x:c>
      <x:c r="G45" s="5" t="s">
        <x:v>27</x:v>
      </x:c>
      <x:c r="H45" s="5" t="s">
        <x:v>25</x:v>
      </x:c>
      <x:c r="I45" s="5" t="s">
        <x:v>266</x:v>
      </x:c>
      <x:c r="J45" s="5" t="s">
        <x:v>14</x:v>
      </x:c>
      <x:c r="K45" s="5" t="s">
        <x:v>28</x:v>
      </x:c>
      <x:c r="L45" s="6"/>
      <x:c r="M45" s="6"/>
      <x:c r="N45" s="6"/>
      <x:c r="O45" s="5"/>
      <x:c r="P45" s="5"/>
    </x:row>
    <x:row r="46">
      <x:c r="A46" s="5" t="s">
        <x:v>203</x:v>
      </x:c>
      <x:c r="B46" s="5" t="s">
        <x:v>267</x:v>
      </x:c>
      <x:c r="C46" s="5" t="s">
        <x:v>268</x:v>
      </x:c>
      <x:c r="D46" s="5" t="s">
        <x:v>269</x:v>
      </x:c>
      <x:c r="E46" s="5" t="s">
        <x:v>270</x:v>
      </x:c>
      <x:c r="F46" s="5" t="s">
        <x:v>130</x:v>
      </x:c>
      <x:c r="G46" s="5" t="s">
        <x:v>27</x:v>
      </x:c>
      <x:c r="H46" s="5" t="s">
        <x:v>25</x:v>
      </x:c>
      <x:c r="I46" s="5" t="s">
        <x:v>271</x:v>
      </x:c>
      <x:c r="J46" s="5" t="s">
        <x:v>14</x:v>
      </x:c>
      <x:c r="K46" s="5" t="s">
        <x:v>28</x:v>
      </x:c>
      <x:c r="L46" s="6"/>
      <x:c r="M46" s="6"/>
      <x:c r="N46" s="6"/>
      <x:c r="O46" s="5"/>
      <x:c r="P46" s="5"/>
    </x:row>
    <x:row r="47" ht="27.600000381469727">
      <x:c r="A47" s="5" t="s">
        <x:v>203</x:v>
      </x:c>
      <x:c r="B47" s="5" t="s">
        <x:v>272</x:v>
      </x:c>
      <x:c r="C47" s="5" t="s">
        <x:v>115</x:v>
      </x:c>
      <x:c r="D47" s="5" t="s">
        <x:v>273</x:v>
      </x:c>
      <x:c r="E47" s="5" t="s">
        <x:v>274</x:v>
      </x:c>
      <x:c r="F47" s="5" t="str">
        <x:v>IMPLEMENTATION_HANDOFF.md / Workbook operational tracker</x:v>
      </x:c>
      <x:c r="G47" s="5" t="s">
        <x:v>27</x:v>
      </x:c>
      <x:c r="H47" s="5" t="s">
        <x:v>25</x:v>
      </x:c>
      <x:c r="I47" s="5" t="s">
        <x:v>275</x:v>
      </x:c>
      <x:c r="J47" s="5" t="s">
        <x:v>276</x:v>
      </x:c>
      <x:c r="K47" s="5" t="s">
        <x:v>28</x:v>
      </x:c>
      <x:c r="L47" s="6"/>
      <x:c r="M47" s="6"/>
      <x:c r="N47" s="6"/>
      <x:c r="O47" s="5"/>
      <x:c r="P47" s="5"/>
    </x:row>
    <x:row r="48" ht="27.600000381469727">
      <x:c r="A48" s="5" t="s">
        <x:v>277</x:v>
      </x:c>
      <x:c r="B48" s="5" t="s">
        <x:v>278</x:v>
      </x:c>
      <x:c r="C48" s="5" t="s">
        <x:v>279</x:v>
      </x:c>
      <x:c r="D48" s="5" t="s">
        <x:v>280</x:v>
      </x:c>
      <x:c r="E48" s="5" t="s">
        <x:v>281</x:v>
      </x:c>
      <x:c r="F48" s="5" t="s">
        <x:v>282</x:v>
      </x:c>
      <x:c r="G48" s="5" t="s">
        <x:v>27</x:v>
      </x:c>
      <x:c r="H48" s="5" t="s">
        <x:v>25</x:v>
      </x:c>
      <x:c r="I48" s="5" t="s">
        <x:v>283</x:v>
      </x:c>
      <x:c r="J48" s="5" t="s">
        <x:v>14</x:v>
      </x:c>
      <x:c r="K48" s="5" t="s">
        <x:v>28</x:v>
      </x:c>
      <x:c r="L48" s="6"/>
      <x:c r="M48" s="6"/>
      <x:c r="N48" s="6"/>
      <x:c r="O48" s="5"/>
      <x:c r="P48" s="5"/>
    </x:row>
    <x:row r="49" ht="27.600000381469727">
      <x:c r="A49" s="5" t="s">
        <x:v>277</x:v>
      </x:c>
      <x:c r="B49" s="5" t="s">
        <x:v>284</x:v>
      </x:c>
      <x:c r="C49" s="5" t="s">
        <x:v>285</x:v>
      </x:c>
      <x:c r="D49" s="5" t="s">
        <x:v>286</x:v>
      </x:c>
      <x:c r="E49" s="5" t="s">
        <x:v>287</x:v>
      </x:c>
      <x:c r="F49" s="5" t="s">
        <x:v>282</x:v>
      </x:c>
      <x:c r="G49" s="5" t="s">
        <x:v>27</x:v>
      </x:c>
      <x:c r="H49" s="5" t="s">
        <x:v>25</x:v>
      </x:c>
      <x:c r="I49" s="5" t="s">
        <x:v>288</x:v>
      </x:c>
      <x:c r="J49" s="5" t="s">
        <x:v>14</x:v>
      </x:c>
      <x:c r="K49" s="5" t="s">
        <x:v>28</x:v>
      </x:c>
      <x:c r="L49" s="6"/>
      <x:c r="M49" s="6"/>
      <x:c r="N49" s="6"/>
      <x:c r="O49" s="5"/>
      <x:c r="P49" s="5"/>
    </x:row>
    <x:row r="50">
      <x:c r="A50" s="5" t="s">
        <x:v>277</x:v>
      </x:c>
      <x:c r="B50" s="5" t="s">
        <x:v>289</x:v>
      </x:c>
      <x:c r="C50" s="5" t="s">
        <x:v>290</x:v>
      </x:c>
      <x:c r="D50" s="5" t="s">
        <x:v>291</x:v>
      </x:c>
      <x:c r="E50" s="5" t="s">
        <x:v>292</x:v>
      </x:c>
      <x:c r="F50" s="5" t="s">
        <x:v>130</x:v>
      </x:c>
      <x:c r="G50" s="5" t="s">
        <x:v>30</x:v>
      </x:c>
      <x:c r="H50" s="5" t="s">
        <x:v>25</x:v>
      </x:c>
      <x:c r="I50" s="5" t="s">
        <x:v>293</x:v>
      </x:c>
      <x:c r="J50" s="5" t="s">
        <x:v>218</x:v>
      </x:c>
      <x:c r="K50" s="5" t="s">
        <x:v>28</x:v>
      </x:c>
      <x:c r="L50" s="6"/>
      <x:c r="M50" s="6"/>
      <x:c r="N50" s="6"/>
      <x:c r="O50" s="5"/>
      <x:c r="P50" s="5"/>
    </x:row>
    <x:row r="51">
      <x:c r="A51" s="5" t="s">
        <x:v>277</x:v>
      </x:c>
      <x:c r="B51" s="5" t="s">
        <x:v>294</x:v>
      </x:c>
      <x:c r="C51" s="5" t="s">
        <x:v>290</x:v>
      </x:c>
      <x:c r="D51" s="5" t="s">
        <x:v>295</x:v>
      </x:c>
      <x:c r="E51" s="5" t="s">
        <x:v>296</x:v>
      </x:c>
      <x:c r="F51" s="5" t="s">
        <x:v>130</x:v>
      </x:c>
      <x:c r="G51" s="5" t="s">
        <x:v>30</x:v>
      </x:c>
      <x:c r="H51" s="5" t="s">
        <x:v>25</x:v>
      </x:c>
      <x:c r="I51" s="5" t="s">
        <x:v>293</x:v>
      </x:c>
      <x:c r="J51" s="5" t="s">
        <x:v>218</x:v>
      </x:c>
      <x:c r="K51" s="5" t="s">
        <x:v>28</x:v>
      </x:c>
      <x:c r="L51" s="6"/>
      <x:c r="M51" s="6"/>
      <x:c r="N51" s="6"/>
      <x:c r="O51" s="5"/>
      <x:c r="P51" s="5"/>
    </x:row>
    <x:row r="52">
      <x:c r="A52" s="5" t="s">
        <x:v>277</x:v>
      </x:c>
      <x:c r="B52" s="5" t="s">
        <x:v>297</x:v>
      </x:c>
      <x:c r="C52" s="5" t="s">
        <x:v>298</x:v>
      </x:c>
      <x:c r="D52" s="5" t="s">
        <x:v>299</x:v>
      </x:c>
      <x:c r="E52" s="5" t="s">
        <x:v>300</x:v>
      </x:c>
      <x:c r="F52" s="5" t="s">
        <x:v>130</x:v>
      </x:c>
      <x:c r="G52" s="5" t="s">
        <x:v>30</x:v>
      </x:c>
      <x:c r="H52" s="5" t="s">
        <x:v>25</x:v>
      </x:c>
      <x:c r="I52" s="5" t="s">
        <x:v>246</x:v>
      </x:c>
      <x:c r="J52" s="5" t="s">
        <x:v>14</x:v>
      </x:c>
      <x:c r="K52" s="5" t="s">
        <x:v>28</x:v>
      </x:c>
      <x:c r="L52" s="6"/>
      <x:c r="M52" s="6"/>
      <x:c r="N52" s="6"/>
      <x:c r="O52" s="5"/>
      <x:c r="P52" s="5"/>
    </x:row>
    <x:row r="53">
      <x:c r="A53" s="5" t="s">
        <x:v>277</x:v>
      </x:c>
      <x:c r="B53" s="5" t="s">
        <x:v>301</x:v>
      </x:c>
      <x:c r="C53" s="5" t="s">
        <x:v>302</x:v>
      </x:c>
      <x:c r="D53" s="5" t="s">
        <x:v>303</x:v>
      </x:c>
      <x:c r="E53" s="5" t="s">
        <x:v>304</x:v>
      </x:c>
      <x:c r="F53" s="5" t="s">
        <x:v>130</x:v>
      </x:c>
      <x:c r="G53" s="5" t="s">
        <x:v>27</x:v>
      </x:c>
      <x:c r="H53" s="5" t="s">
        <x:v>25</x:v>
      </x:c>
      <x:c r="I53" s="5" t="s">
        <x:v>305</x:v>
      </x:c>
      <x:c r="J53" s="5" t="s">
        <x:v>218</x:v>
      </x:c>
      <x:c r="K53" s="5" t="s">
        <x:v>28</x:v>
      </x:c>
      <x:c r="L53" s="6"/>
      <x:c r="M53" s="6"/>
      <x:c r="N53" s="6"/>
      <x:c r="O53" s="5"/>
      <x:c r="P53" s="5"/>
    </x:row>
    <x:row r="54">
      <x:c r="A54" s="5" t="s">
        <x:v>277</x:v>
      </x:c>
      <x:c r="B54" s="5" t="s">
        <x:v>306</x:v>
      </x:c>
      <x:c r="C54" s="5" t="s">
        <x:v>307</x:v>
      </x:c>
      <x:c r="D54" s="5" t="s">
        <x:v>308</x:v>
      </x:c>
      <x:c r="E54" s="5" t="s">
        <x:v>309</x:v>
      </x:c>
      <x:c r="F54" s="5" t="s">
        <x:v>130</x:v>
      </x:c>
      <x:c r="G54" s="5" t="s">
        <x:v>27</x:v>
      </x:c>
      <x:c r="H54" s="5" t="s">
        <x:v>25</x:v>
      </x:c>
      <x:c r="I54" s="5" t="s">
        <x:v>310</x:v>
      </x:c>
      <x:c r="J54" s="5" t="s">
        <x:v>218</x:v>
      </x:c>
      <x:c r="K54" s="5" t="s">
        <x:v>28</x:v>
      </x:c>
      <x:c r="L54" s="6"/>
      <x:c r="M54" s="6"/>
      <x:c r="N54" s="6"/>
      <x:c r="O54" s="5"/>
      <x:c r="P54" s="5"/>
    </x:row>
    <x:row r="55">
      <x:c r="A55" s="5" t="s">
        <x:v>277</x:v>
      </x:c>
      <x:c r="B55" s="5" t="s">
        <x:v>311</x:v>
      </x:c>
      <x:c r="C55" s="5" t="s">
        <x:v>312</x:v>
      </x:c>
      <x:c r="D55" s="5" t="s">
        <x:v>313</x:v>
      </x:c>
      <x:c r="E55" s="5" t="s">
        <x:v>314</x:v>
      </x:c>
      <x:c r="F55" s="5" t="s">
        <x:v>130</x:v>
      </x:c>
      <x:c r="G55" s="5" t="s">
        <x:v>27</x:v>
      </x:c>
      <x:c r="H55" s="5" t="s">
        <x:v>25</x:v>
      </x:c>
      <x:c r="I55" s="5" t="s">
        <x:v>315</x:v>
      </x:c>
      <x:c r="J55" s="5" t="s">
        <x:v>14</x:v>
      </x:c>
      <x:c r="K55" s="5" t="s">
        <x:v>28</x:v>
      </x:c>
      <x:c r="L55" s="6"/>
      <x:c r="M55" s="6"/>
      <x:c r="N55" s="6"/>
      <x:c r="O55" s="5"/>
      <x:c r="P55" s="5"/>
    </x:row>
    <x:row r="56">
      <x:c r="A56" s="5" t="s">
        <x:v>277</x:v>
      </x:c>
      <x:c r="B56" s="5" t="s">
        <x:v>316</x:v>
      </x:c>
      <x:c r="C56" s="5" t="s">
        <x:v>312</x:v>
      </x:c>
      <x:c r="D56" s="5" t="s">
        <x:v>317</x:v>
      </x:c>
      <x:c r="E56" s="5" t="s">
        <x:v>318</x:v>
      </x:c>
      <x:c r="F56" s="5" t="s">
        <x:v>130</x:v>
      </x:c>
      <x:c r="G56" s="5" t="s">
        <x:v>27</x:v>
      </x:c>
      <x:c r="H56" s="5" t="s">
        <x:v>25</x:v>
      </x:c>
      <x:c r="I56" s="5" t="s">
        <x:v>319</x:v>
      </x:c>
      <x:c r="J56" s="5" t="s">
        <x:v>14</x:v>
      </x:c>
      <x:c r="K56" s="5" t="s">
        <x:v>28</x:v>
      </x:c>
      <x:c r="L56" s="6"/>
      <x:c r="M56" s="6"/>
      <x:c r="N56" s="6"/>
      <x:c r="O56" s="5"/>
      <x:c r="P56" s="5"/>
    </x:row>
    <x:row r="57" ht="27.600000381469727">
      <x:c r="A57" s="5" t="s">
        <x:v>277</x:v>
      </x:c>
      <x:c r="B57" s="5" t="s">
        <x:v>320</x:v>
      </x:c>
      <x:c r="C57" s="5" t="s">
        <x:v>312</x:v>
      </x:c>
      <x:c r="D57" s="5" t="s">
        <x:v>321</x:v>
      </x:c>
      <x:c r="E57" s="5" t="s">
        <x:v>322</x:v>
      </x:c>
      <x:c r="F57" s="5" t="s">
        <x:v>65</x:v>
      </x:c>
      <x:c r="G57" s="5" t="s">
        <x:v>27</x:v>
      </x:c>
      <x:c r="H57" s="5" t="s">
        <x:v>25</x:v>
      </x:c>
      <x:c r="I57" s="5" t="s">
        <x:v>323</x:v>
      </x:c>
      <x:c r="J57" s="5" t="s">
        <x:v>14</x:v>
      </x:c>
      <x:c r="K57" s="5" t="s">
        <x:v>28</x:v>
      </x:c>
      <x:c r="L57" s="6"/>
      <x:c r="M57" s="6"/>
      <x:c r="N57" s="6"/>
      <x:c r="O57" s="5"/>
      <x:c r="P57" s="5"/>
    </x:row>
    <x:row r="58">
      <x:c r="A58" s="5" t="s">
        <x:v>277</x:v>
      </x:c>
      <x:c r="B58" s="5" t="s">
        <x:v>324</x:v>
      </x:c>
      <x:c r="C58" s="5" t="s">
        <x:v>325</x:v>
      </x:c>
      <x:c r="D58" s="5" t="s">
        <x:v>326</x:v>
      </x:c>
      <x:c r="E58" s="5" t="s">
        <x:v>327</x:v>
      </x:c>
      <x:c r="F58" s="5" t="s">
        <x:v>130</x:v>
      </x:c>
      <x:c r="G58" s="5" t="s">
        <x:v>27</x:v>
      </x:c>
      <x:c r="H58" s="5" t="s">
        <x:v>25</x:v>
      </x:c>
      <x:c r="I58" s="5" t="s">
        <x:v>328</x:v>
      </x:c>
      <x:c r="J58" s="5" t="s">
        <x:v>218</x:v>
      </x:c>
      <x:c r="K58" s="5" t="s">
        <x:v>28</x:v>
      </x:c>
      <x:c r="L58" s="6"/>
      <x:c r="M58" s="6"/>
      <x:c r="N58" s="6"/>
      <x:c r="O58" s="5"/>
      <x:c r="P58" s="5"/>
    </x:row>
    <x:row r="59" ht="27.600000381469727">
      <x:c r="A59" s="5" t="s">
        <x:v>277</x:v>
      </x:c>
      <x:c r="B59" s="5" t="s">
        <x:v>329</x:v>
      </x:c>
      <x:c r="C59" s="5" t="s">
        <x:v>258</x:v>
      </x:c>
      <x:c r="D59" s="5" t="s">
        <x:v>330</x:v>
      </x:c>
      <x:c r="E59" s="5" t="s">
        <x:v>331</x:v>
      </x:c>
      <x:c r="F59" s="5" t="s">
        <x:v>130</x:v>
      </x:c>
      <x:c r="G59" s="5" t="s">
        <x:v>27</x:v>
      </x:c>
      <x:c r="H59" s="5" t="s">
        <x:v>25</x:v>
      </x:c>
      <x:c r="I59" s="5" t="s">
        <x:v>332</x:v>
      </x:c>
      <x:c r="J59" s="5" t="s">
        <x:v>14</x:v>
      </x:c>
      <x:c r="K59" s="5" t="s">
        <x:v>28</x:v>
      </x:c>
      <x:c r="L59" s="6"/>
      <x:c r="M59" s="6"/>
      <x:c r="N59" s="6"/>
      <x:c r="O59" s="5"/>
      <x:c r="P59" s="5"/>
    </x:row>
    <x:row r="60">
      <x:c r="A60" s="5" t="s">
        <x:v>277</x:v>
      </x:c>
      <x:c r="B60" s="5" t="s">
        <x:v>333</x:v>
      </x:c>
      <x:c r="C60" s="5" t="s">
        <x:v>334</x:v>
      </x:c>
      <x:c r="D60" s="5" t="s">
        <x:v>335</x:v>
      </x:c>
      <x:c r="E60" s="5" t="s">
        <x:v>336</x:v>
      </x:c>
      <x:c r="F60" s="5" t="s">
        <x:v>130</x:v>
      </x:c>
      <x:c r="G60" s="5" t="s">
        <x:v>30</x:v>
      </x:c>
      <x:c r="H60" s="5" t="s">
        <x:v>25</x:v>
      </x:c>
      <x:c r="I60" s="5" t="s">
        <x:v>337</x:v>
      </x:c>
      <x:c r="J60" s="5" t="s">
        <x:v>14</x:v>
      </x:c>
      <x:c r="K60" s="5" t="s">
        <x:v>28</x:v>
      </x:c>
      <x:c r="L60" s="6"/>
      <x:c r="M60" s="6"/>
      <x:c r="N60" s="6"/>
      <x:c r="O60" s="5"/>
      <x:c r="P60" s="5"/>
    </x:row>
    <x:row r="61">
      <x:c r="A61" s="5" t="s">
        <x:v>277</x:v>
      </x:c>
      <x:c r="B61" s="5" t="s">
        <x:v>338</x:v>
      </x:c>
      <x:c r="C61" s="5" t="s">
        <x:v>115</x:v>
      </x:c>
      <x:c r="D61" s="5" t="s">
        <x:v>339</x:v>
      </x:c>
      <x:c r="E61" s="5" t="s">
        <x:v>340</x:v>
      </x:c>
      <x:c r="F61" s="5" t="str">
        <x:v>IMPLEMENTATION_HANDOFF.md / Workbook operational tracker</x:v>
      </x:c>
      <x:c r="G61" s="5" t="s">
        <x:v>27</x:v>
      </x:c>
      <x:c r="H61" s="5" t="s">
        <x:v>25</x:v>
      </x:c>
      <x:c r="I61" s="5" t="s">
        <x:v>341</x:v>
      </x:c>
      <x:c r="J61" s="5" t="s">
        <x:v>342</x:v>
      </x:c>
      <x:c r="K61" s="5" t="s">
        <x:v>28</x:v>
      </x:c>
      <x:c r="L61" s="6"/>
      <x:c r="M61" s="6"/>
      <x:c r="N61" s="6"/>
      <x:c r="O61" s="5"/>
      <x:c r="P61" s="5"/>
    </x:row>
    <x:row r="62">
      <x:c r="A62" s="5" t="s">
        <x:v>343</x:v>
      </x:c>
      <x:c r="B62" s="5" t="s">
        <x:v>344</x:v>
      </x:c>
      <x:c r="C62" s="5" t="s">
        <x:v>345</x:v>
      </x:c>
      <x:c r="D62" s="5" t="s">
        <x:v>346</x:v>
      </x:c>
      <x:c r="E62" s="5" t="s">
        <x:v>347</x:v>
      </x:c>
      <x:c r="F62" s="5" t="s">
        <x:v>130</x:v>
      </x:c>
      <x:c r="G62" s="5" t="s">
        <x:v>27</x:v>
      </x:c>
      <x:c r="H62" s="5" t="s">
        <x:v>25</x:v>
      </x:c>
      <x:c r="I62" s="5" t="s">
        <x:v>348</x:v>
      </x:c>
      <x:c r="J62" s="5" t="s">
        <x:v>14</x:v>
      </x:c>
      <x:c r="K62" s="5" t="s">
        <x:v>28</x:v>
      </x:c>
      <x:c r="L62" s="6"/>
      <x:c r="M62" s="6"/>
      <x:c r="N62" s="6"/>
      <x:c r="O62" s="5"/>
      <x:c r="P62" s="5"/>
    </x:row>
    <x:row r="63" ht="27.600000381469727">
      <x:c r="A63" s="5" t="s">
        <x:v>343</x:v>
      </x:c>
      <x:c r="B63" s="5" t="s">
        <x:v>349</x:v>
      </x:c>
      <x:c r="C63" s="5" t="s">
        <x:v>350</x:v>
      </x:c>
      <x:c r="D63" s="5" t="s">
        <x:v>351</x:v>
      </x:c>
      <x:c r="E63" s="5" t="s">
        <x:v>352</x:v>
      </x:c>
      <x:c r="F63" s="5" t="s">
        <x:v>130</x:v>
      </x:c>
      <x:c r="G63" s="5" t="s">
        <x:v>27</x:v>
      </x:c>
      <x:c r="H63" s="5" t="s">
        <x:v>25</x:v>
      </x:c>
      <x:c r="I63" s="5" t="s">
        <x:v>353</x:v>
      </x:c>
      <x:c r="J63" s="5" t="s">
        <x:v>14</x:v>
      </x:c>
      <x:c r="K63" s="5" t="s">
        <x:v>28</x:v>
      </x:c>
      <x:c r="L63" s="6"/>
      <x:c r="M63" s="6"/>
      <x:c r="N63" s="6"/>
      <x:c r="O63" s="5"/>
      <x:c r="P63" s="5"/>
    </x:row>
    <x:row r="64">
      <x:c r="A64" s="5" t="s">
        <x:v>343</x:v>
      </x:c>
      <x:c r="B64" s="5" t="s">
        <x:v>354</x:v>
      </x:c>
      <x:c r="C64" s="5" t="s">
        <x:v>350</x:v>
      </x:c>
      <x:c r="D64" s="5" t="s">
        <x:v>355</x:v>
      </x:c>
      <x:c r="E64" s="5" t="s">
        <x:v>356</x:v>
      </x:c>
      <x:c r="F64" s="5" t="s">
        <x:v>130</x:v>
      </x:c>
      <x:c r="G64" s="5" t="s">
        <x:v>30</x:v>
      </x:c>
      <x:c r="H64" s="5" t="s">
        <x:v>25</x:v>
      </x:c>
      <x:c r="I64" s="5" t="s">
        <x:v>357</x:v>
      </x:c>
      <x:c r="J64" s="5" t="s">
        <x:v>218</x:v>
      </x:c>
      <x:c r="K64" s="5" t="s">
        <x:v>28</x:v>
      </x:c>
      <x:c r="L64" s="6"/>
      <x:c r="M64" s="6"/>
      <x:c r="N64" s="6"/>
      <x:c r="O64" s="5"/>
      <x:c r="P64" s="5"/>
    </x:row>
    <x:row r="65" ht="27.600000381469727">
      <x:c r="A65" s="5" t="s">
        <x:v>343</x:v>
      </x:c>
      <x:c r="B65" s="5" t="s">
        <x:v>358</x:v>
      </x:c>
      <x:c r="C65" s="5" t="s">
        <x:v>350</x:v>
      </x:c>
      <x:c r="D65" s="5" t="s">
        <x:v>359</x:v>
      </x:c>
      <x:c r="E65" s="5" t="s">
        <x:v>360</x:v>
      </x:c>
      <x:c r="F65" s="5" t="s">
        <x:v>130</x:v>
      </x:c>
      <x:c r="G65" s="5" t="s">
        <x:v>27</x:v>
      </x:c>
      <x:c r="H65" s="5" t="s">
        <x:v>25</x:v>
      </x:c>
      <x:c r="I65" s="5" t="s">
        <x:v>353</x:v>
      </x:c>
      <x:c r="J65" s="5" t="s">
        <x:v>14</x:v>
      </x:c>
      <x:c r="K65" s="5" t="s">
        <x:v>28</x:v>
      </x:c>
      <x:c r="L65" s="6"/>
      <x:c r="M65" s="6"/>
      <x:c r="N65" s="6"/>
      <x:c r="O65" s="5"/>
      <x:c r="P65" s="5"/>
    </x:row>
    <x:row r="66">
      <x:c r="A66" s="5" t="s">
        <x:v>343</x:v>
      </x:c>
      <x:c r="B66" s="5" t="s">
        <x:v>361</x:v>
      </x:c>
      <x:c r="C66" s="5" t="s">
        <x:v>362</x:v>
      </x:c>
      <x:c r="D66" s="5" t="s">
        <x:v>363</x:v>
      </x:c>
      <x:c r="E66" s="5" t="s">
        <x:v>364</x:v>
      </x:c>
      <x:c r="F66" s="5" t="s">
        <x:v>130</x:v>
      </x:c>
      <x:c r="G66" s="5" t="s">
        <x:v>27</x:v>
      </x:c>
      <x:c r="H66" s="5" t="s">
        <x:v>25</x:v>
      </x:c>
      <x:c r="I66" s="5" t="s">
        <x:v>365</x:v>
      </x:c>
      <x:c r="J66" s="5" t="s">
        <x:v>14</x:v>
      </x:c>
      <x:c r="K66" s="5" t="s">
        <x:v>28</x:v>
      </x:c>
      <x:c r="L66" s="6"/>
      <x:c r="M66" s="6"/>
      <x:c r="N66" s="6"/>
      <x:c r="O66" s="5"/>
      <x:c r="P66" s="5"/>
    </x:row>
    <x:row r="67" ht="27.600000381469727">
      <x:c r="A67" s="5" t="s">
        <x:v>343</x:v>
      </x:c>
      <x:c r="B67" s="5" t="s">
        <x:v>366</x:v>
      </x:c>
      <x:c r="C67" s="5" t="s">
        <x:v>367</x:v>
      </x:c>
      <x:c r="D67" s="5" t="s">
        <x:v>368</x:v>
      </x:c>
      <x:c r="E67" s="5" t="s">
        <x:v>369</x:v>
      </x:c>
      <x:c r="F67" s="5" t="s">
        <x:v>130</x:v>
      </x:c>
      <x:c r="G67" s="5" t="s">
        <x:v>30</x:v>
      </x:c>
      <x:c r="H67" s="5" t="s">
        <x:v>25</x:v>
      </x:c>
      <x:c r="I67" s="5" t="s">
        <x:v>370</x:v>
      </x:c>
      <x:c r="J67" s="5" t="s">
        <x:v>218</x:v>
      </x:c>
      <x:c r="K67" s="5" t="s">
        <x:v>28</x:v>
      </x:c>
      <x:c r="L67" s="6"/>
      <x:c r="M67" s="6"/>
      <x:c r="N67" s="6"/>
      <x:c r="O67" s="5"/>
      <x:c r="P67" s="5"/>
    </x:row>
    <x:row r="68">
      <x:c r="A68" s="5" t="s">
        <x:v>343</x:v>
      </x:c>
      <x:c r="B68" s="5" t="s">
        <x:v>371</x:v>
      </x:c>
      <x:c r="C68" s="5" t="s">
        <x:v>372</x:v>
      </x:c>
      <x:c r="D68" s="5" t="s">
        <x:v>373</x:v>
      </x:c>
      <x:c r="E68" s="5" t="s">
        <x:v>374</x:v>
      </x:c>
      <x:c r="F68" s="5" t="s">
        <x:v>130</x:v>
      </x:c>
      <x:c r="G68" s="5" t="s">
        <x:v>27</x:v>
      </x:c>
      <x:c r="H68" s="5" t="s">
        <x:v>25</x:v>
      </x:c>
      <x:c r="I68" s="5" t="s">
        <x:v>370</x:v>
      </x:c>
      <x:c r="J68" s="5" t="s">
        <x:v>218</x:v>
      </x:c>
      <x:c r="K68" s="5" t="s">
        <x:v>28</x:v>
      </x:c>
      <x:c r="L68" s="6"/>
      <x:c r="M68" s="6"/>
      <x:c r="N68" s="6"/>
      <x:c r="O68" s="5"/>
      <x:c r="P68" s="5"/>
    </x:row>
    <x:row r="69">
      <x:c r="A69" s="5" t="s">
        <x:v>343</x:v>
      </x:c>
      <x:c r="B69" s="5" t="s">
        <x:v>375</x:v>
      </x:c>
      <x:c r="C69" s="5" t="s">
        <x:v>376</x:v>
      </x:c>
      <x:c r="D69" s="5" t="s">
        <x:v>377</x:v>
      </x:c>
      <x:c r="E69" s="5" t="s">
        <x:v>378</x:v>
      </x:c>
      <x:c r="F69" s="5" t="s">
        <x:v>130</x:v>
      </x:c>
      <x:c r="G69" s="5" t="s">
        <x:v>27</x:v>
      </x:c>
      <x:c r="H69" s="5" t="s">
        <x:v>25</x:v>
      </x:c>
      <x:c r="I69" s="5" t="s">
        <x:v>379</x:v>
      </x:c>
      <x:c r="J69" s="5" t="s">
        <x:v>14</x:v>
      </x:c>
      <x:c r="K69" s="5" t="s">
        <x:v>28</x:v>
      </x:c>
      <x:c r="L69" s="6"/>
      <x:c r="M69" s="6"/>
      <x:c r="N69" s="6"/>
      <x:c r="O69" s="5"/>
      <x:c r="P69" s="5"/>
    </x:row>
    <x:row r="70">
      <x:c r="A70" s="5" t="s">
        <x:v>343</x:v>
      </x:c>
      <x:c r="B70" s="5" t="s">
        <x:v>380</x:v>
      </x:c>
      <x:c r="C70" s="5" t="s">
        <x:v>381</x:v>
      </x:c>
      <x:c r="D70" s="5" t="s">
        <x:v>382</x:v>
      </x:c>
      <x:c r="E70" s="5" t="s">
        <x:v>383</x:v>
      </x:c>
      <x:c r="F70" s="5" t="s">
        <x:v>130</x:v>
      </x:c>
      <x:c r="G70" s="5" t="s">
        <x:v>27</x:v>
      </x:c>
      <x:c r="H70" s="5" t="s">
        <x:v>25</x:v>
      </x:c>
      <x:c r="I70" s="5" t="s">
        <x:v>357</x:v>
      </x:c>
      <x:c r="J70" s="5" t="s">
        <x:v>218</x:v>
      </x:c>
      <x:c r="K70" s="5" t="s">
        <x:v>28</x:v>
      </x:c>
      <x:c r="L70" s="6"/>
      <x:c r="M70" s="6"/>
      <x:c r="N70" s="6"/>
      <x:c r="O70" s="5"/>
      <x:c r="P70" s="5"/>
    </x:row>
    <x:row r="71">
      <x:c r="A71" s="5" t="s">
        <x:v>343</x:v>
      </x:c>
      <x:c r="B71" s="5" t="s">
        <x:v>384</x:v>
      </x:c>
      <x:c r="C71" s="5" t="s">
        <x:v>381</x:v>
      </x:c>
      <x:c r="D71" s="5" t="s">
        <x:v>385</x:v>
      </x:c>
      <x:c r="E71" s="5" t="s">
        <x:v>386</x:v>
      </x:c>
      <x:c r="F71" s="5" t="s">
        <x:v>130</x:v>
      </x:c>
      <x:c r="G71" s="5" t="s">
        <x:v>30</x:v>
      </x:c>
      <x:c r="H71" s="5" t="s">
        <x:v>25</x:v>
      </x:c>
      <x:c r="I71" s="5" t="s">
        <x:v>357</x:v>
      </x:c>
      <x:c r="J71" s="5" t="s">
        <x:v>218</x:v>
      </x:c>
      <x:c r="K71" s="5" t="s">
        <x:v>28</x:v>
      </x:c>
      <x:c r="L71" s="6"/>
      <x:c r="M71" s="6"/>
      <x:c r="N71" s="6"/>
      <x:c r="O71" s="5"/>
      <x:c r="P71" s="5"/>
    </x:row>
    <x:row r="72" ht="27.600000381469727">
      <x:c r="A72" s="5" t="s">
        <x:v>343</x:v>
      </x:c>
      <x:c r="B72" s="5" t="s">
        <x:v>387</x:v>
      </x:c>
      <x:c r="C72" s="5" t="s">
        <x:v>388</x:v>
      </x:c>
      <x:c r="D72" s="5" t="s">
        <x:v>389</x:v>
      </x:c>
      <x:c r="E72" s="5" t="s">
        <x:v>390</x:v>
      </x:c>
      <x:c r="F72" s="5" t="s">
        <x:v>130</x:v>
      </x:c>
      <x:c r="G72" s="5" t="s">
        <x:v>27</x:v>
      </x:c>
      <x:c r="H72" s="5" t="s">
        <x:v>25</x:v>
      </x:c>
      <x:c r="I72" s="5" t="s">
        <x:v>357</x:v>
      </x:c>
      <x:c r="J72" s="5" t="s">
        <x:v>218</x:v>
      </x:c>
      <x:c r="K72" s="5" t="s">
        <x:v>28</x:v>
      </x:c>
      <x:c r="L72" s="6"/>
      <x:c r="M72" s="6"/>
      <x:c r="N72" s="6"/>
      <x:c r="O72" s="5"/>
      <x:c r="P72" s="5"/>
    </x:row>
    <x:row r="73">
      <x:c r="A73" s="5" t="s">
        <x:v>343</x:v>
      </x:c>
      <x:c r="B73" s="5" t="s">
        <x:v>391</x:v>
      </x:c>
      <x:c r="C73" s="5" t="s">
        <x:v>392</x:v>
      </x:c>
      <x:c r="D73" s="5" t="s">
        <x:v>393</x:v>
      </x:c>
      <x:c r="E73" s="5" t="s">
        <x:v>394</x:v>
      </x:c>
      <x:c r="F73" s="5" t="s">
        <x:v>130</x:v>
      </x:c>
      <x:c r="G73" s="5" t="s">
        <x:v>27</x:v>
      </x:c>
      <x:c r="H73" s="5" t="s">
        <x:v>25</x:v>
      </x:c>
      <x:c r="I73" s="5" t="s">
        <x:v>246</x:v>
      </x:c>
      <x:c r="J73" s="5" t="s">
        <x:v>218</x:v>
      </x:c>
      <x:c r="K73" s="5" t="s">
        <x:v>28</x:v>
      </x:c>
      <x:c r="L73" s="6"/>
      <x:c r="M73" s="6"/>
      <x:c r="N73" s="6"/>
      <x:c r="O73" s="5"/>
      <x:c r="P73" s="5"/>
    </x:row>
    <x:row r="74">
      <x:c r="A74" s="5" t="s">
        <x:v>343</x:v>
      </x:c>
      <x:c r="B74" s="5" t="s">
        <x:v>395</x:v>
      </x:c>
      <x:c r="C74" s="5" t="s">
        <x:v>307</x:v>
      </x:c>
      <x:c r="D74" s="5" t="s">
        <x:v>396</x:v>
      </x:c>
      <x:c r="E74" s="5" t="s">
        <x:v>397</x:v>
      </x:c>
      <x:c r="F74" s="5" t="s">
        <x:v>130</x:v>
      </x:c>
      <x:c r="G74" s="5" t="s">
        <x:v>27</x:v>
      </x:c>
      <x:c r="H74" s="5" t="s">
        <x:v>25</x:v>
      </x:c>
      <x:c r="I74" s="5" t="s">
        <x:v>310</x:v>
      </x:c>
      <x:c r="J74" s="5" t="s">
        <x:v>218</x:v>
      </x:c>
      <x:c r="K74" s="5" t="s">
        <x:v>28</x:v>
      </x:c>
      <x:c r="L74" s="6"/>
      <x:c r="M74" s="6"/>
      <x:c r="N74" s="6"/>
      <x:c r="O74" s="5"/>
      <x:c r="P74" s="5"/>
    </x:row>
    <x:row r="75">
      <x:c r="A75" s="5" t="s">
        <x:v>343</x:v>
      </x:c>
      <x:c r="B75" s="5" t="s">
        <x:v>398</x:v>
      </x:c>
      <x:c r="C75" s="5" t="s">
        <x:v>399</x:v>
      </x:c>
      <x:c r="D75" s="5" t="s">
        <x:v>400</x:v>
      </x:c>
      <x:c r="E75" s="5" t="s">
        <x:v>401</x:v>
      </x:c>
      <x:c r="F75" s="5" t="s">
        <x:v>130</x:v>
      </x:c>
      <x:c r="G75" s="5" t="s">
        <x:v>27</x:v>
      </x:c>
      <x:c r="H75" s="5" t="s">
        <x:v>25</x:v>
      </x:c>
      <x:c r="I75" s="5" t="s">
        <x:v>402</x:v>
      </x:c>
      <x:c r="J75" s="5" t="s">
        <x:v>14</x:v>
      </x:c>
      <x:c r="K75" s="5" t="s">
        <x:v>28</x:v>
      </x:c>
      <x:c r="L75" s="6"/>
      <x:c r="M75" s="6"/>
      <x:c r="N75" s="6"/>
      <x:c r="O75" s="5"/>
      <x:c r="P75" s="5"/>
    </x:row>
    <x:row r="76">
      <x:c r="A76" s="5" t="s">
        <x:v>343</x:v>
      </x:c>
      <x:c r="B76" s="5" t="s">
        <x:v>403</x:v>
      </x:c>
      <x:c r="C76" s="5" t="s">
        <x:v>404</x:v>
      </x:c>
      <x:c r="D76" s="5" t="s">
        <x:v>405</x:v>
      </x:c>
      <x:c r="E76" s="5" t="s">
        <x:v>406</x:v>
      </x:c>
      <x:c r="F76" s="5" t="s">
        <x:v>130</x:v>
      </x:c>
      <x:c r="G76" s="5" t="s">
        <x:v>30</x:v>
      </x:c>
      <x:c r="H76" s="5" t="s">
        <x:v>25</x:v>
      </x:c>
      <x:c r="I76" s="5" t="s">
        <x:v>225</x:v>
      </x:c>
      <x:c r="J76" s="5" t="s">
        <x:v>14</x:v>
      </x:c>
      <x:c r="K76" s="5" t="s">
        <x:v>28</x:v>
      </x:c>
      <x:c r="L76" s="6"/>
      <x:c r="M76" s="6"/>
      <x:c r="N76" s="6"/>
      <x:c r="O76" s="5"/>
      <x:c r="P76" s="5"/>
    </x:row>
    <x:row r="77">
      <x:c r="A77" s="5" t="s">
        <x:v>343</x:v>
      </x:c>
      <x:c r="B77" s="5" t="s">
        <x:v>407</x:v>
      </x:c>
      <x:c r="C77" s="5" t="s">
        <x:v>268</x:v>
      </x:c>
      <x:c r="D77" s="5" t="s">
        <x:v>408</x:v>
      </x:c>
      <x:c r="E77" s="5" t="s">
        <x:v>409</x:v>
      </x:c>
      <x:c r="F77" s="5" t="s">
        <x:v>130</x:v>
      </x:c>
      <x:c r="G77" s="5" t="s">
        <x:v>27</x:v>
      </x:c>
      <x:c r="H77" s="5" t="s">
        <x:v>25</x:v>
      </x:c>
      <x:c r="I77" s="5" t="s">
        <x:v>271</x:v>
      </x:c>
      <x:c r="J77" s="5" t="s">
        <x:v>14</x:v>
      </x:c>
      <x:c r="K77" s="5" t="s">
        <x:v>28</x:v>
      </x:c>
      <x:c r="L77" s="6"/>
      <x:c r="M77" s="6"/>
      <x:c r="N77" s="6"/>
      <x:c r="O77" s="5"/>
      <x:c r="P77" s="5"/>
    </x:row>
    <x:row r="78" ht="27.600000381469727">
      <x:c r="A78" s="5" t="s">
        <x:v>343</x:v>
      </x:c>
      <x:c r="B78" s="5" t="s">
        <x:v>410</x:v>
      </x:c>
      <x:c r="C78" s="5" t="s">
        <x:v>334</x:v>
      </x:c>
      <x:c r="D78" s="5" t="s">
        <x:v>411</x:v>
      </x:c>
      <x:c r="E78" s="5" t="s">
        <x:v>412</x:v>
      </x:c>
      <x:c r="F78" s="5" t="s">
        <x:v>130</x:v>
      </x:c>
      <x:c r="G78" s="5" t="s">
        <x:v>27</x:v>
      </x:c>
      <x:c r="H78" s="5" t="s">
        <x:v>25</x:v>
      </x:c>
      <x:c r="I78" s="5" t="s">
        <x:v>337</x:v>
      </x:c>
      <x:c r="J78" s="5" t="s">
        <x:v>14</x:v>
      </x:c>
      <x:c r="K78" s="5" t="s">
        <x:v>28</x:v>
      </x:c>
      <x:c r="L78" s="6"/>
      <x:c r="M78" s="6"/>
      <x:c r="N78" s="6"/>
      <x:c r="O78" s="5"/>
      <x:c r="P78" s="5"/>
    </x:row>
    <x:row r="79">
      <x:c r="A79" s="5" t="s">
        <x:v>343</x:v>
      </x:c>
      <x:c r="B79" s="5" t="s">
        <x:v>413</x:v>
      </x:c>
      <x:c r="C79" s="5" t="s">
        <x:v>414</x:v>
      </x:c>
      <x:c r="D79" s="5" t="s">
        <x:v>415</x:v>
      </x:c>
      <x:c r="E79" s="5" t="s">
        <x:v>416</x:v>
      </x:c>
      <x:c r="F79" s="5" t="s">
        <x:v>130</x:v>
      </x:c>
      <x:c r="G79" s="5" t="s">
        <x:v>27</x:v>
      </x:c>
      <x:c r="H79" s="5" t="s">
        <x:v>25</x:v>
      </x:c>
      <x:c r="I79" s="5" t="s">
        <x:v>417</x:v>
      </x:c>
      <x:c r="J79" s="5" t="s">
        <x:v>14</x:v>
      </x:c>
      <x:c r="K79" s="5" t="s">
        <x:v>28</x:v>
      </x:c>
      <x:c r="L79" s="6"/>
      <x:c r="M79" s="6"/>
      <x:c r="N79" s="6"/>
      <x:c r="O79" s="5"/>
      <x:c r="P79" s="5"/>
    </x:row>
    <x:row r="80">
      <x:c r="A80" s="5" t="s">
        <x:v>343</x:v>
      </x:c>
      <x:c r="B80" s="5" t="s">
        <x:v>418</x:v>
      </x:c>
      <x:c r="C80" s="5" t="s">
        <x:v>414</x:v>
      </x:c>
      <x:c r="D80" s="5" t="s">
        <x:v>419</x:v>
      </x:c>
      <x:c r="E80" s="5" t="s">
        <x:v>416</x:v>
      </x:c>
      <x:c r="F80" s="5" t="s">
        <x:v>130</x:v>
      </x:c>
      <x:c r="G80" s="5" t="s">
        <x:v>27</x:v>
      </x:c>
      <x:c r="H80" s="5" t="s">
        <x:v>25</x:v>
      </x:c>
      <x:c r="I80" s="5" t="s">
        <x:v>420</x:v>
      </x:c>
      <x:c r="J80" s="5" t="s">
        <x:v>14</x:v>
      </x:c>
      <x:c r="K80" s="5" t="s">
        <x:v>28</x:v>
      </x:c>
      <x:c r="L80" s="6"/>
      <x:c r="M80" s="6"/>
      <x:c r="N80" s="6"/>
      <x:c r="O80" s="5"/>
      <x:c r="P80" s="5"/>
    </x:row>
    <x:row r="81">
      <x:c r="A81" s="5" t="s">
        <x:v>343</x:v>
      </x:c>
      <x:c r="B81" s="5" t="s">
        <x:v>421</x:v>
      </x:c>
      <x:c r="C81" s="5" t="s">
        <x:v>115</x:v>
      </x:c>
      <x:c r="D81" s="5" t="s">
        <x:v>422</x:v>
      </x:c>
      <x:c r="E81" s="5" t="s">
        <x:v>423</x:v>
      </x:c>
      <x:c r="F81" s="5" t="str">
        <x:v>IMPLEMENTATION_HANDOFF.md / Workbook operational tracker</x:v>
      </x:c>
      <x:c r="G81" s="5" t="s">
        <x:v>27</x:v>
      </x:c>
      <x:c r="H81" s="5" t="s">
        <x:v>25</x:v>
      </x:c>
      <x:c r="I81" s="5" t="s">
        <x:v>424</x:v>
      </x:c>
      <x:c r="J81" s="5" t="s">
        <x:v>425</x:v>
      </x:c>
      <x:c r="K81" s="5" t="s">
        <x:v>28</x:v>
      </x:c>
      <x:c r="L81" s="6"/>
      <x:c r="M81" s="6"/>
      <x:c r="N81" s="6"/>
      <x:c r="O81" s="5"/>
      <x:c r="P81" s="5"/>
    </x:row>
    <x:row r="82" ht="27.600000381469727">
      <x:c r="A82" s="5" t="s">
        <x:v>426</x:v>
      </x:c>
      <x:c r="B82" s="5" t="s">
        <x:v>427</x:v>
      </x:c>
      <x:c r="C82" s="5" t="s">
        <x:v>428</x:v>
      </x:c>
      <x:c r="D82" s="5" t="s">
        <x:v>429</x:v>
      </x:c>
      <x:c r="E82" s="5" t="s">
        <x:v>430</x:v>
      </x:c>
      <x:c r="F82" s="5" t="s">
        <x:v>130</x:v>
      </x:c>
      <x:c r="G82" s="5" t="s">
        <x:v>27</x:v>
      </x:c>
      <x:c r="H82" s="5" t="s">
        <x:v>25</x:v>
      </x:c>
      <x:c r="I82" s="5" t="s">
        <x:v>431</x:v>
      </x:c>
      <x:c r="J82" s="5" t="s">
        <x:v>14</x:v>
      </x:c>
      <x:c r="K82" s="5" t="s">
        <x:v>28</x:v>
      </x:c>
      <x:c r="L82" s="6"/>
      <x:c r="M82" s="6"/>
      <x:c r="N82" s="6"/>
      <x:c r="O82" s="5"/>
      <x:c r="P82" s="5"/>
    </x:row>
    <x:row r="83">
      <x:c r="A83" s="5" t="s">
        <x:v>426</x:v>
      </x:c>
      <x:c r="B83" s="5" t="s">
        <x:v>432</x:v>
      </x:c>
      <x:c r="C83" s="5" t="s">
        <x:v>428</x:v>
      </x:c>
      <x:c r="D83" s="5" t="s">
        <x:v>433</x:v>
      </x:c>
      <x:c r="E83" s="5" t="s">
        <x:v>434</x:v>
      </x:c>
      <x:c r="F83" s="5" t="s">
        <x:v>130</x:v>
      </x:c>
      <x:c r="G83" s="5" t="s">
        <x:v>30</x:v>
      </x:c>
      <x:c r="H83" s="5" t="s">
        <x:v>25</x:v>
      </x:c>
      <x:c r="I83" s="5" t="s">
        <x:v>431</x:v>
      </x:c>
      <x:c r="J83" s="5" t="s">
        <x:v>14</x:v>
      </x:c>
      <x:c r="K83" s="5" t="s">
        <x:v>28</x:v>
      </x:c>
      <x:c r="L83" s="6"/>
      <x:c r="M83" s="6"/>
      <x:c r="N83" s="6"/>
      <x:c r="O83" s="5"/>
      <x:c r="P83" s="5"/>
    </x:row>
    <x:row r="84" ht="27.600000381469727">
      <x:c r="A84" s="5" t="s">
        <x:v>426</x:v>
      </x:c>
      <x:c r="B84" s="5" t="s">
        <x:v>435</x:v>
      </x:c>
      <x:c r="C84" s="5" t="s">
        <x:v>436</x:v>
      </x:c>
      <x:c r="D84" s="5" t="s">
        <x:v>437</x:v>
      </x:c>
      <x:c r="E84" s="5" t="s">
        <x:v>438</x:v>
      </x:c>
      <x:c r="F84" s="5" t="s">
        <x:v>130</x:v>
      </x:c>
      <x:c r="G84" s="5" t="s">
        <x:v>30</x:v>
      </x:c>
      <x:c r="H84" s="5" t="s">
        <x:v>25</x:v>
      </x:c>
      <x:c r="I84" s="5" t="s">
        <x:v>439</x:v>
      </x:c>
      <x:c r="J84" s="5" t="s">
        <x:v>14</x:v>
      </x:c>
      <x:c r="K84" s="5" t="s">
        <x:v>28</x:v>
      </x:c>
      <x:c r="L84" s="6"/>
      <x:c r="M84" s="6"/>
      <x:c r="N84" s="6"/>
      <x:c r="O84" s="5"/>
      <x:c r="P84" s="5"/>
    </x:row>
    <x:row r="85">
      <x:c r="A85" s="5" t="s">
        <x:v>426</x:v>
      </x:c>
      <x:c r="B85" s="5" t="s">
        <x:v>440</x:v>
      </x:c>
      <x:c r="C85" s="5" t="s">
        <x:v>436</x:v>
      </x:c>
      <x:c r="D85" s="5" t="s">
        <x:v>441</x:v>
      </x:c>
      <x:c r="E85" s="5" t="s">
        <x:v>442</x:v>
      </x:c>
      <x:c r="F85" s="5" t="s">
        <x:v>130</x:v>
      </x:c>
      <x:c r="G85" s="5" t="s">
        <x:v>30</x:v>
      </x:c>
      <x:c r="H85" s="5" t="s">
        <x:v>25</x:v>
      </x:c>
      <x:c r="I85" s="5" t="s">
        <x:v>439</x:v>
      </x:c>
      <x:c r="J85" s="5" t="s">
        <x:v>14</x:v>
      </x:c>
      <x:c r="K85" s="5" t="s">
        <x:v>28</x:v>
      </x:c>
      <x:c r="L85" s="6"/>
      <x:c r="M85" s="6"/>
      <x:c r="N85" s="6"/>
      <x:c r="O85" s="5"/>
      <x:c r="P85" s="5"/>
    </x:row>
    <x:row r="86">
      <x:c r="A86" s="5" t="s">
        <x:v>426</x:v>
      </x:c>
      <x:c r="B86" s="5" t="s">
        <x:v>443</x:v>
      </x:c>
      <x:c r="C86" s="5" t="s">
        <x:v>444</x:v>
      </x:c>
      <x:c r="D86" s="5" t="s">
        <x:v>445</x:v>
      </x:c>
      <x:c r="E86" s="5" t="s">
        <x:v>446</x:v>
      </x:c>
      <x:c r="F86" s="5" t="s">
        <x:v>130</x:v>
      </x:c>
      <x:c r="G86" s="5" t="s">
        <x:v>30</x:v>
      </x:c>
      <x:c r="H86" s="5" t="s">
        <x:v>25</x:v>
      </x:c>
      <x:c r="I86" s="5" t="s">
        <x:v>439</x:v>
      </x:c>
      <x:c r="J86" s="5" t="s">
        <x:v>14</x:v>
      </x:c>
      <x:c r="K86" s="5" t="s">
        <x:v>28</x:v>
      </x:c>
      <x:c r="L86" s="6"/>
      <x:c r="M86" s="6"/>
      <x:c r="N86" s="6"/>
      <x:c r="O86" s="5"/>
      <x:c r="P86" s="5"/>
    </x:row>
    <x:row r="87" ht="27.600000381469727">
      <x:c r="A87" s="5" t="s">
        <x:v>426</x:v>
      </x:c>
      <x:c r="B87" s="5" t="s">
        <x:v>447</x:v>
      </x:c>
      <x:c r="C87" s="5" t="s">
        <x:v>448</x:v>
      </x:c>
      <x:c r="D87" s="5" t="s">
        <x:v>449</x:v>
      </x:c>
      <x:c r="E87" s="5" t="s">
        <x:v>450</x:v>
      </x:c>
      <x:c r="F87" s="5" t="s">
        <x:v>130</x:v>
      </x:c>
      <x:c r="G87" s="5" t="s">
        <x:v>27</x:v>
      </x:c>
      <x:c r="H87" s="5" t="s">
        <x:v>25</x:v>
      </x:c>
      <x:c r="I87" s="5" t="s">
        <x:v>451</x:v>
      </x:c>
      <x:c r="J87" s="5" t="s">
        <x:v>14</x:v>
      </x:c>
      <x:c r="K87" s="5" t="s">
        <x:v>28</x:v>
      </x:c>
      <x:c r="L87" s="6"/>
      <x:c r="M87" s="6"/>
      <x:c r="N87" s="6"/>
      <x:c r="O87" s="5"/>
      <x:c r="P87" s="5"/>
    </x:row>
    <x:row r="88">
      <x:c r="A88" s="5" t="s">
        <x:v>426</x:v>
      </x:c>
      <x:c r="B88" s="5" t="s">
        <x:v>452</x:v>
      </x:c>
      <x:c r="C88" s="5" t="s">
        <x:v>448</x:v>
      </x:c>
      <x:c r="D88" s="5" t="s">
        <x:v>453</x:v>
      </x:c>
      <x:c r="E88" s="5" t="s">
        <x:v>454</x:v>
      </x:c>
      <x:c r="F88" s="5" t="s">
        <x:v>130</x:v>
      </x:c>
      <x:c r="G88" s="5" t="s">
        <x:v>27</x:v>
      </x:c>
      <x:c r="H88" s="5" t="s">
        <x:v>25</x:v>
      </x:c>
      <x:c r="I88" s="5" t="s">
        <x:v>451</x:v>
      </x:c>
      <x:c r="J88" s="5" t="s">
        <x:v>14</x:v>
      </x:c>
      <x:c r="K88" s="5" t="s">
        <x:v>28</x:v>
      </x:c>
      <x:c r="L88" s="6"/>
      <x:c r="M88" s="6"/>
      <x:c r="N88" s="6"/>
      <x:c r="O88" s="5"/>
      <x:c r="P88" s="5"/>
    </x:row>
    <x:row r="89">
      <x:c r="A89" s="5" t="s">
        <x:v>426</x:v>
      </x:c>
      <x:c r="B89" s="5" t="s">
        <x:v>455</x:v>
      </x:c>
      <x:c r="C89" s="5" t="s">
        <x:v>268</x:v>
      </x:c>
      <x:c r="D89" s="5" t="s">
        <x:v>456</x:v>
      </x:c>
      <x:c r="E89" s="5" t="s">
        <x:v>457</x:v>
      </x:c>
      <x:c r="F89" s="5" t="s">
        <x:v>130</x:v>
      </x:c>
      <x:c r="G89" s="5" t="s">
        <x:v>27</x:v>
      </x:c>
      <x:c r="H89" s="5" t="s">
        <x:v>25</x:v>
      </x:c>
      <x:c r="I89" s="5" t="s">
        <x:v>451</x:v>
      </x:c>
      <x:c r="J89" s="5" t="s">
        <x:v>14</x:v>
      </x:c>
      <x:c r="K89" s="5" t="s">
        <x:v>28</x:v>
      </x:c>
      <x:c r="L89" s="6"/>
      <x:c r="M89" s="6"/>
      <x:c r="N89" s="6"/>
      <x:c r="O89" s="5"/>
      <x:c r="P89" s="5"/>
    </x:row>
    <x:row r="90" ht="27.600000381469727">
      <x:c r="A90" s="5" t="s">
        <x:v>426</x:v>
      </x:c>
      <x:c r="B90" s="5" t="s">
        <x:v>458</x:v>
      </x:c>
      <x:c r="C90" s="5" t="s">
        <x:v>459</x:v>
      </x:c>
      <x:c r="D90" s="5" t="s">
        <x:v>460</x:v>
      </x:c>
      <x:c r="E90" s="5" t="s">
        <x:v>461</x:v>
      </x:c>
      <x:c r="F90" s="5" t="s">
        <x:v>130</x:v>
      </x:c>
      <x:c r="G90" s="5" t="s">
        <x:v>27</x:v>
      </x:c>
      <x:c r="H90" s="5" t="s">
        <x:v>25</x:v>
      </x:c>
      <x:c r="I90" s="5" t="s">
        <x:v>462</x:v>
      </x:c>
      <x:c r="J90" s="5" t="s">
        <x:v>14</x:v>
      </x:c>
      <x:c r="K90" s="5" t="s">
        <x:v>28</x:v>
      </x:c>
      <x:c r="L90" s="6"/>
      <x:c r="M90" s="6"/>
      <x:c r="N90" s="6"/>
      <x:c r="O90" s="5"/>
      <x:c r="P90" s="5"/>
    </x:row>
    <x:row r="91">
      <x:c r="A91" s="5" t="s">
        <x:v>426</x:v>
      </x:c>
      <x:c r="B91" s="5" t="s">
        <x:v>463</x:v>
      </x:c>
      <x:c r="C91" s="5" t="s">
        <x:v>115</x:v>
      </x:c>
      <x:c r="D91" s="5" t="s">
        <x:v>464</x:v>
      </x:c>
      <x:c r="E91" s="5" t="s">
        <x:v>465</x:v>
      </x:c>
      <x:c r="F91" s="5" t="str">
        <x:v>IMPLEMENTATION_HANDOFF.md / Workbook operational tracker</x:v>
      </x:c>
      <x:c r="G91" s="5" t="s">
        <x:v>27</x:v>
      </x:c>
      <x:c r="H91" s="5" t="s">
        <x:v>25</x:v>
      </x:c>
      <x:c r="I91" s="5" t="s">
        <x:v>466</x:v>
      </x:c>
      <x:c r="J91" s="5" t="s">
        <x:v>467</x:v>
      </x:c>
      <x:c r="K91" s="5" t="s">
        <x:v>28</x:v>
      </x:c>
      <x:c r="L91" s="6"/>
      <x:c r="M91" s="6"/>
      <x:c r="N91" s="6"/>
      <x:c r="O91" s="5"/>
      <x:c r="P91" s="5"/>
    </x:row>
    <x:row r="92">
      <x:c r="A92" s="5" t="s">
        <x:v>468</x:v>
      </x:c>
      <x:c r="B92" s="5" t="s">
        <x:v>469</x:v>
      </x:c>
      <x:c r="C92" s="5" t="s">
        <x:v>470</x:v>
      </x:c>
      <x:c r="D92" s="5" t="s">
        <x:v>471</x:v>
      </x:c>
      <x:c r="E92" s="5" t="s">
        <x:v>472</x:v>
      </x:c>
      <x:c r="F92" s="5" t="s">
        <x:v>130</x:v>
      </x:c>
      <x:c r="G92" s="5" t="s">
        <x:v>27</x:v>
      </x:c>
      <x:c r="H92" s="5" t="s">
        <x:v>25</x:v>
      </x:c>
      <x:c r="I92" s="5" t="s">
        <x:v>473</x:v>
      </x:c>
      <x:c r="J92" s="5" t="s">
        <x:v>14</x:v>
      </x:c>
      <x:c r="K92" s="5" t="s">
        <x:v>28</x:v>
      </x:c>
      <x:c r="L92" s="6"/>
      <x:c r="M92" s="6"/>
      <x:c r="N92" s="6"/>
      <x:c r="O92" s="5"/>
      <x:c r="P92" s="5"/>
    </x:row>
    <x:row r="93" ht="27.600000381469727">
      <x:c r="A93" s="5" t="s">
        <x:v>468</x:v>
      </x:c>
      <x:c r="B93" s="5" t="s">
        <x:v>474</x:v>
      </x:c>
      <x:c r="C93" s="5" t="s">
        <x:v>475</x:v>
      </x:c>
      <x:c r="D93" s="5" t="s">
        <x:v>476</x:v>
      </x:c>
      <x:c r="E93" s="5" t="s">
        <x:v>477</x:v>
      </x:c>
      <x:c r="F93" s="5" t="s">
        <x:v>130</x:v>
      </x:c>
      <x:c r="G93" s="5" t="s">
        <x:v>27</x:v>
      </x:c>
      <x:c r="H93" s="5" t="s">
        <x:v>25</x:v>
      </x:c>
      <x:c r="I93" s="5" t="s">
        <x:v>473</x:v>
      </x:c>
      <x:c r="J93" s="5" t="s">
        <x:v>14</x:v>
      </x:c>
      <x:c r="K93" s="5" t="s">
        <x:v>28</x:v>
      </x:c>
      <x:c r="L93" s="6"/>
      <x:c r="M93" s="6"/>
      <x:c r="N93" s="6"/>
      <x:c r="O93" s="5"/>
      <x:c r="P93" s="5"/>
    </x:row>
    <x:row r="94" ht="27.600000381469727">
      <x:c r="A94" s="5" t="s">
        <x:v>468</x:v>
      </x:c>
      <x:c r="B94" s="5" t="s">
        <x:v>478</x:v>
      </x:c>
      <x:c r="C94" s="5" t="s">
        <x:v>479</x:v>
      </x:c>
      <x:c r="D94" s="5" t="s">
        <x:v>480</x:v>
      </x:c>
      <x:c r="E94" s="5" t="s">
        <x:v>481</x:v>
      </x:c>
      <x:c r="F94" s="5" t="s">
        <x:v>130</x:v>
      </x:c>
      <x:c r="G94" s="5" t="s">
        <x:v>27</x:v>
      </x:c>
      <x:c r="H94" s="5" t="s">
        <x:v>25</x:v>
      </x:c>
      <x:c r="I94" s="5" t="s">
        <x:v>473</x:v>
      </x:c>
      <x:c r="J94" s="5" t="s">
        <x:v>14</x:v>
      </x:c>
      <x:c r="K94" s="5" t="s">
        <x:v>28</x:v>
      </x:c>
      <x:c r="L94" s="6"/>
      <x:c r="M94" s="6"/>
      <x:c r="N94" s="6"/>
      <x:c r="O94" s="5"/>
      <x:c r="P94" s="5"/>
    </x:row>
    <x:row r="95">
      <x:c r="A95" s="5" t="s">
        <x:v>468</x:v>
      </x:c>
      <x:c r="B95" s="5" t="s">
        <x:v>482</x:v>
      </x:c>
      <x:c r="C95" s="5" t="s">
        <x:v>479</x:v>
      </x:c>
      <x:c r="D95" s="5" t="s">
        <x:v>483</x:v>
      </x:c>
      <x:c r="E95" s="5" t="s">
        <x:v>484</x:v>
      </x:c>
      <x:c r="F95" s="5" t="s">
        <x:v>130</x:v>
      </x:c>
      <x:c r="G95" s="5" t="s">
        <x:v>30</x:v>
      </x:c>
      <x:c r="H95" s="5" t="s">
        <x:v>25</x:v>
      </x:c>
      <x:c r="I95" s="5" t="s">
        <x:v>473</x:v>
      </x:c>
      <x:c r="J95" s="5" t="s">
        <x:v>14</x:v>
      </x:c>
      <x:c r="K95" s="5" t="s">
        <x:v>28</x:v>
      </x:c>
      <x:c r="L95" s="6"/>
      <x:c r="M95" s="6"/>
      <x:c r="N95" s="6"/>
      <x:c r="O95" s="5"/>
      <x:c r="P95" s="5"/>
    </x:row>
    <x:row r="96">
      <x:c r="A96" s="5" t="s">
        <x:v>468</x:v>
      </x:c>
      <x:c r="B96" s="5" t="s">
        <x:v>485</x:v>
      </x:c>
      <x:c r="C96" s="5" t="s">
        <x:v>486</x:v>
      </x:c>
      <x:c r="D96" s="5" t="s">
        <x:v>487</x:v>
      </x:c>
      <x:c r="E96" s="5" t="s">
        <x:v>488</x:v>
      </x:c>
      <x:c r="F96" s="5" t="s">
        <x:v>130</x:v>
      </x:c>
      <x:c r="G96" s="5" t="s">
        <x:v>27</x:v>
      </x:c>
      <x:c r="H96" s="5" t="s">
        <x:v>25</x:v>
      </x:c>
      <x:c r="I96" s="5" t="s">
        <x:v>473</x:v>
      </x:c>
      <x:c r="J96" s="5" t="s">
        <x:v>14</x:v>
      </x:c>
      <x:c r="K96" s="5" t="s">
        <x:v>28</x:v>
      </x:c>
      <x:c r="L96" s="6"/>
      <x:c r="M96" s="6"/>
      <x:c r="N96" s="6"/>
      <x:c r="O96" s="5"/>
      <x:c r="P96" s="5"/>
    </x:row>
    <x:row r="97">
      <x:c r="A97" s="5" t="s">
        <x:v>468</x:v>
      </x:c>
      <x:c r="B97" s="5" t="s">
        <x:v>489</x:v>
      </x:c>
      <x:c r="C97" s="5" t="s">
        <x:v>490</x:v>
      </x:c>
      <x:c r="D97" s="5" t="s">
        <x:v>491</x:v>
      </x:c>
      <x:c r="E97" s="5" t="s">
        <x:v>492</x:v>
      </x:c>
      <x:c r="F97" s="5" t="s">
        <x:v>130</x:v>
      </x:c>
      <x:c r="G97" s="5" t="s">
        <x:v>30</x:v>
      </x:c>
      <x:c r="H97" s="5" t="s">
        <x:v>25</x:v>
      </x:c>
      <x:c r="I97" s="5" t="s">
        <x:v>473</x:v>
      </x:c>
      <x:c r="J97" s="5" t="s">
        <x:v>14</x:v>
      </x:c>
      <x:c r="K97" s="5" t="s">
        <x:v>28</x:v>
      </x:c>
      <x:c r="L97" s="6"/>
      <x:c r="M97" s="6"/>
      <x:c r="N97" s="6"/>
      <x:c r="O97" s="5"/>
      <x:c r="P97" s="5"/>
    </x:row>
    <x:row r="98">
      <x:c r="A98" s="5" t="s">
        <x:v>468</x:v>
      </x:c>
      <x:c r="B98" s="5" t="s">
        <x:v>493</x:v>
      </x:c>
      <x:c r="C98" s="5" t="s">
        <x:v>494</x:v>
      </x:c>
      <x:c r="D98" s="5" t="s">
        <x:v>495</x:v>
      </x:c>
      <x:c r="E98" s="5" t="s">
        <x:v>496</x:v>
      </x:c>
      <x:c r="F98" s="5" t="s">
        <x:v>130</x:v>
      </x:c>
      <x:c r="G98" s="5" t="s">
        <x:v>27</x:v>
      </x:c>
      <x:c r="H98" s="5" t="s">
        <x:v>25</x:v>
      </x:c>
      <x:c r="I98" s="5" t="s">
        <x:v>473</x:v>
      </x:c>
      <x:c r="J98" s="5" t="s">
        <x:v>14</x:v>
      </x:c>
      <x:c r="K98" s="5" t="s">
        <x:v>28</x:v>
      </x:c>
      <x:c r="L98" s="6"/>
      <x:c r="M98" s="6"/>
      <x:c r="N98" s="6"/>
      <x:c r="O98" s="5"/>
      <x:c r="P98" s="5"/>
    </x:row>
    <x:row r="99">
      <x:c r="A99" s="5" t="s">
        <x:v>468</x:v>
      </x:c>
      <x:c r="B99" s="5" t="s">
        <x:v>497</x:v>
      </x:c>
      <x:c r="C99" s="5" t="s">
        <x:v>498</x:v>
      </x:c>
      <x:c r="D99" s="5" t="s">
        <x:v>499</x:v>
      </x:c>
      <x:c r="E99" s="5" t="s">
        <x:v>500</x:v>
      </x:c>
      <x:c r="F99" s="5" t="s">
        <x:v>130</x:v>
      </x:c>
      <x:c r="G99" s="5" t="s">
        <x:v>27</x:v>
      </x:c>
      <x:c r="H99" s="5" t="s">
        <x:v>25</x:v>
      </x:c>
      <x:c r="I99" s="5" t="s">
        <x:v>473</x:v>
      </x:c>
      <x:c r="J99" s="5" t="s">
        <x:v>14</x:v>
      </x:c>
      <x:c r="K99" s="5" t="s">
        <x:v>28</x:v>
      </x:c>
      <x:c r="L99" s="6"/>
      <x:c r="M99" s="6"/>
      <x:c r="N99" s="6"/>
      <x:c r="O99" s="5"/>
      <x:c r="P99" s="5"/>
    </x:row>
    <x:row r="100">
      <x:c r="A100" s="5" t="s">
        <x:v>468</x:v>
      </x:c>
      <x:c r="B100" s="5" t="s">
        <x:v>501</x:v>
      </x:c>
      <x:c r="C100" s="5" t="s">
        <x:v>502</x:v>
      </x:c>
      <x:c r="D100" s="5" t="s">
        <x:v>503</x:v>
      </x:c>
      <x:c r="E100" s="5" t="s">
        <x:v>504</x:v>
      </x:c>
      <x:c r="F100" s="5" t="s">
        <x:v>130</x:v>
      </x:c>
      <x:c r="G100" s="5" t="s">
        <x:v>27</x:v>
      </x:c>
      <x:c r="H100" s="5" t="s">
        <x:v>25</x:v>
      </x:c>
      <x:c r="I100" s="5" t="s">
        <x:v>505</x:v>
      </x:c>
      <x:c r="J100" s="5" t="s">
        <x:v>14</x:v>
      </x:c>
      <x:c r="K100" s="5" t="s">
        <x:v>28</x:v>
      </x:c>
      <x:c r="L100" s="6"/>
      <x:c r="M100" s="6"/>
      <x:c r="N100" s="6"/>
      <x:c r="O100" s="5"/>
      <x:c r="P100" s="5"/>
    </x:row>
    <x:row r="101">
      <x:c r="A101" s="5" t="s">
        <x:v>468</x:v>
      </x:c>
      <x:c r="B101" s="5" t="s">
        <x:v>506</x:v>
      </x:c>
      <x:c r="C101" s="5" t="s">
        <x:v>502</x:v>
      </x:c>
      <x:c r="D101" s="5" t="s">
        <x:v>507</x:v>
      </x:c>
      <x:c r="E101" s="5" t="s">
        <x:v>508</x:v>
      </x:c>
      <x:c r="F101" s="5" t="s">
        <x:v>130</x:v>
      </x:c>
      <x:c r="G101" s="5" t="s">
        <x:v>27</x:v>
      </x:c>
      <x:c r="H101" s="5" t="s">
        <x:v>25</x:v>
      </x:c>
      <x:c r="I101" s="5" t="s">
        <x:v>505</x:v>
      </x:c>
      <x:c r="J101" s="5" t="s">
        <x:v>14</x:v>
      </x:c>
      <x:c r="K101" s="5" t="s">
        <x:v>28</x:v>
      </x:c>
      <x:c r="L101" s="6"/>
      <x:c r="M101" s="6"/>
      <x:c r="N101" s="6"/>
      <x:c r="O101" s="5"/>
      <x:c r="P101" s="5"/>
    </x:row>
    <x:row r="102">
      <x:c r="A102" s="5" t="s">
        <x:v>468</x:v>
      </x:c>
      <x:c r="B102" s="5" t="s">
        <x:v>509</x:v>
      </x:c>
      <x:c r="C102" s="5" t="s">
        <x:v>510</x:v>
      </x:c>
      <x:c r="D102" s="5" t="s">
        <x:v>511</x:v>
      </x:c>
      <x:c r="E102" s="5" t="s">
        <x:v>512</x:v>
      </x:c>
      <x:c r="F102" s="5" t="s">
        <x:v>130</x:v>
      </x:c>
      <x:c r="G102" s="5" t="s">
        <x:v>30</x:v>
      </x:c>
      <x:c r="H102" s="5" t="s">
        <x:v>25</x:v>
      </x:c>
      <x:c r="I102" s="5" t="s">
        <x:v>473</x:v>
      </x:c>
      <x:c r="J102" s="5" t="s">
        <x:v>14</x:v>
      </x:c>
      <x:c r="K102" s="5" t="s">
        <x:v>28</x:v>
      </x:c>
      <x:c r="L102" s="6"/>
      <x:c r="M102" s="6"/>
      <x:c r="N102" s="6"/>
      <x:c r="O102" s="5"/>
      <x:c r="P102" s="5"/>
    </x:row>
    <x:row r="103">
      <x:c r="A103" s="5" t="s">
        <x:v>468</x:v>
      </x:c>
      <x:c r="B103" s="5" t="s">
        <x:v>513</x:v>
      </x:c>
      <x:c r="C103" s="5" t="s">
        <x:v>510</x:v>
      </x:c>
      <x:c r="D103" s="5" t="s">
        <x:v>514</x:v>
      </x:c>
      <x:c r="E103" s="5" t="s">
        <x:v>515</x:v>
      </x:c>
      <x:c r="F103" s="5" t="s">
        <x:v>130</x:v>
      </x:c>
      <x:c r="G103" s="5" t="s">
        <x:v>30</x:v>
      </x:c>
      <x:c r="H103" s="5" t="s">
        <x:v>25</x:v>
      </x:c>
      <x:c r="I103" s="5" t="s">
        <x:v>473</x:v>
      </x:c>
      <x:c r="J103" s="5" t="s">
        <x:v>14</x:v>
      </x:c>
      <x:c r="K103" s="5" t="s">
        <x:v>28</x:v>
      </x:c>
      <x:c r="L103" s="6"/>
      <x:c r="M103" s="6"/>
      <x:c r="N103" s="6"/>
      <x:c r="O103" s="5"/>
      <x:c r="P103" s="5"/>
    </x:row>
    <x:row r="104">
      <x:c r="A104" s="5" t="s">
        <x:v>468</x:v>
      </x:c>
      <x:c r="B104" s="5" t="s">
        <x:v>516</x:v>
      </x:c>
      <x:c r="C104" s="5" t="s">
        <x:v>517</x:v>
      </x:c>
      <x:c r="D104" s="5" t="s">
        <x:v>518</x:v>
      </x:c>
      <x:c r="E104" s="5" t="s">
        <x:v>519</x:v>
      </x:c>
      <x:c r="F104" s="5" t="s">
        <x:v>130</x:v>
      </x:c>
      <x:c r="G104" s="5" t="s">
        <x:v>33</x:v>
      </x:c>
      <x:c r="H104" s="5" t="s">
        <x:v>25</x:v>
      </x:c>
      <x:c r="I104" s="5" t="s">
        <x:v>473</x:v>
      </x:c>
      <x:c r="J104" s="5" t="s">
        <x:v>14</x:v>
      </x:c>
      <x:c r="K104" s="5" t="s">
        <x:v>28</x:v>
      </x:c>
      <x:c r="L104" s="6"/>
      <x:c r="M104" s="6"/>
      <x:c r="N104" s="6"/>
      <x:c r="O104" s="5"/>
      <x:c r="P104" s="5"/>
    </x:row>
    <x:row r="105">
      <x:c r="A105" s="5" t="s">
        <x:v>468</x:v>
      </x:c>
      <x:c r="B105" s="5" t="s">
        <x:v>520</x:v>
      </x:c>
      <x:c r="C105" s="5" t="s">
        <x:v>517</x:v>
      </x:c>
      <x:c r="D105" s="5" t="s">
        <x:v>521</x:v>
      </x:c>
      <x:c r="E105" s="5" t="s">
        <x:v>522</x:v>
      </x:c>
      <x:c r="F105" s="5" t="s">
        <x:v>130</x:v>
      </x:c>
      <x:c r="G105" s="5" t="s">
        <x:v>30</x:v>
      </x:c>
      <x:c r="H105" s="5" t="s">
        <x:v>25</x:v>
      </x:c>
      <x:c r="I105" s="5" t="s">
        <x:v>473</x:v>
      </x:c>
      <x:c r="J105" s="5" t="s">
        <x:v>14</x:v>
      </x:c>
      <x:c r="K105" s="5" t="s">
        <x:v>28</x:v>
      </x:c>
      <x:c r="L105" s="6"/>
      <x:c r="M105" s="6"/>
      <x:c r="N105" s="6"/>
      <x:c r="O105" s="5"/>
      <x:c r="P105" s="5"/>
    </x:row>
    <x:row r="106" ht="27.600000381469727">
      <x:c r="A106" s="5" t="s">
        <x:v>468</x:v>
      </x:c>
      <x:c r="B106" s="5" t="s">
        <x:v>523</x:v>
      </x:c>
      <x:c r="C106" s="5" t="s">
        <x:v>524</x:v>
      </x:c>
      <x:c r="D106" s="5" t="s">
        <x:v>525</x:v>
      </x:c>
      <x:c r="E106" s="5" t="s">
        <x:v>526</x:v>
      </x:c>
      <x:c r="F106" s="5" t="s">
        <x:v>65</x:v>
      </x:c>
      <x:c r="G106" s="5" t="s">
        <x:v>30</x:v>
      </x:c>
      <x:c r="H106" s="5" t="s">
        <x:v>25</x:v>
      </x:c>
      <x:c r="I106" s="5" t="s">
        <x:v>527</x:v>
      </x:c>
      <x:c r="J106" s="5" t="s">
        <x:v>14</x:v>
      </x:c>
      <x:c r="K106" s="5" t="s">
        <x:v>28</x:v>
      </x:c>
      <x:c r="L106" s="6"/>
      <x:c r="M106" s="6"/>
      <x:c r="N106" s="6"/>
      <x:c r="O106" s="5"/>
      <x:c r="P106" s="5"/>
    </x:row>
    <x:row r="107">
      <x:c r="A107" s="5" t="s">
        <x:v>468</x:v>
      </x:c>
      <x:c r="B107" s="5" t="s">
        <x:v>528</x:v>
      </x:c>
      <x:c r="C107" s="5" t="s">
        <x:v>115</x:v>
      </x:c>
      <x:c r="D107" s="5" t="s">
        <x:v>529</x:v>
      </x:c>
      <x:c r="E107" s="5" t="s">
        <x:v>530</x:v>
      </x:c>
      <x:c r="F107" s="5" t="str">
        <x:v>IMPLEMENTATION_HANDOFF.md / Workbook operational tracker</x:v>
      </x:c>
      <x:c r="G107" s="5" t="s">
        <x:v>27</x:v>
      </x:c>
      <x:c r="H107" s="5" t="s">
        <x:v>25</x:v>
      </x:c>
      <x:c r="I107" s="5" t="s">
        <x:v>531</x:v>
      </x:c>
      <x:c r="J107" s="5" t="s">
        <x:v>532</x:v>
      </x:c>
      <x:c r="K107" s="5" t="s">
        <x:v>28</x:v>
      </x:c>
      <x:c r="L107" s="6"/>
      <x:c r="M107" s="6"/>
      <x:c r="N107" s="6"/>
      <x:c r="O107" s="5"/>
      <x:c r="P107" s="5"/>
    </x:row>
    <x:row r="108" ht="41.400001525878906">
      <x:c r="A108" s="5" t="s">
        <x:v>533</x:v>
      </x:c>
      <x:c r="B108" s="5" t="s">
        <x:v>534</x:v>
      </x:c>
      <x:c r="C108" s="5" t="s">
        <x:v>535</x:v>
      </x:c>
      <x:c r="D108" s="5" t="s">
        <x:v>536</x:v>
      </x:c>
      <x:c r="E108" s="5" t="s">
        <x:v>537</x:v>
      </x:c>
      <x:c r="F108" s="5" t="s">
        <x:v>538</x:v>
      </x:c>
      <x:c r="G108" s="5" t="s">
        <x:v>27</x:v>
      </x:c>
      <x:c r="H108" s="5" t="s">
        <x:v>25</x:v>
      </x:c>
      <x:c r="I108" s="5" t="s">
        <x:v>539</x:v>
      </x:c>
      <x:c r="J108" s="5" t="s">
        <x:v>14</x:v>
      </x:c>
      <x:c r="K108" s="5" t="s">
        <x:v>28</x:v>
      </x:c>
      <x:c r="L108" s="6"/>
      <x:c r="M108" s="6"/>
      <x:c r="N108" s="6"/>
      <x:c r="O108" s="5"/>
      <x:c r="P108" s="5"/>
    </x:row>
    <x:row r="109" ht="41.400001525878906">
      <x:c r="A109" s="5" t="s">
        <x:v>533</x:v>
      </x:c>
      <x:c r="B109" s="5" t="s">
        <x:v>540</x:v>
      </x:c>
      <x:c r="C109" s="5" t="s">
        <x:v>535</x:v>
      </x:c>
      <x:c r="D109" s="5" t="s">
        <x:v>541</x:v>
      </x:c>
      <x:c r="E109" s="5" t="s">
        <x:v>537</x:v>
      </x:c>
      <x:c r="F109" s="5" t="s">
        <x:v>538</x:v>
      </x:c>
      <x:c r="G109" s="5" t="s">
        <x:v>27</x:v>
      </x:c>
      <x:c r="H109" s="5" t="s">
        <x:v>25</x:v>
      </x:c>
      <x:c r="I109" s="5" t="s">
        <x:v>542</x:v>
      </x:c>
      <x:c r="J109" s="5" t="s">
        <x:v>14</x:v>
      </x:c>
      <x:c r="K109" s="5" t="s">
        <x:v>28</x:v>
      </x:c>
      <x:c r="L109" s="6"/>
      <x:c r="M109" s="6"/>
      <x:c r="N109" s="6"/>
      <x:c r="O109" s="5"/>
      <x:c r="P109" s="5"/>
    </x:row>
    <x:row r="110" ht="41.400001525878906">
      <x:c r="A110" s="5" t="s">
        <x:v>533</x:v>
      </x:c>
      <x:c r="B110" s="5" t="s">
        <x:v>543</x:v>
      </x:c>
      <x:c r="C110" s="5" t="s">
        <x:v>535</x:v>
      </x:c>
      <x:c r="D110" s="5" t="s">
        <x:v>544</x:v>
      </x:c>
      <x:c r="E110" s="5" t="s">
        <x:v>537</x:v>
      </x:c>
      <x:c r="F110" s="5" t="s">
        <x:v>538</x:v>
      </x:c>
      <x:c r="G110" s="5" t="s">
        <x:v>27</x:v>
      </x:c>
      <x:c r="H110" s="5" t="s">
        <x:v>25</x:v>
      </x:c>
      <x:c r="I110" s="5" t="s">
        <x:v>545</x:v>
      </x:c>
      <x:c r="J110" s="5" t="s">
        <x:v>14</x:v>
      </x:c>
      <x:c r="K110" s="5" t="s">
        <x:v>28</x:v>
      </x:c>
      <x:c r="L110" s="6"/>
      <x:c r="M110" s="6"/>
      <x:c r="N110" s="6"/>
      <x:c r="O110" s="5"/>
      <x:c r="P110" s="5"/>
    </x:row>
    <x:row r="111" ht="41.400001525878906">
      <x:c r="A111" s="5" t="s">
        <x:v>533</x:v>
      </x:c>
      <x:c r="B111" s="5" t="s">
        <x:v>546</x:v>
      </x:c>
      <x:c r="C111" s="5" t="s">
        <x:v>535</x:v>
      </x:c>
      <x:c r="D111" s="5" t="s">
        <x:v>547</x:v>
      </x:c>
      <x:c r="E111" s="5" t="s">
        <x:v>537</x:v>
      </x:c>
      <x:c r="F111" s="5" t="s">
        <x:v>538</x:v>
      </x:c>
      <x:c r="G111" s="5" t="s">
        <x:v>27</x:v>
      </x:c>
      <x:c r="H111" s="5" t="s">
        <x:v>25</x:v>
      </x:c>
      <x:c r="I111" s="5" t="s">
        <x:v>548</x:v>
      </x:c>
      <x:c r="J111" s="5" t="s">
        <x:v>14</x:v>
      </x:c>
      <x:c r="K111" s="5" t="s">
        <x:v>28</x:v>
      </x:c>
      <x:c r="L111" s="6"/>
      <x:c r="M111" s="6"/>
      <x:c r="N111" s="6"/>
      <x:c r="O111" s="5"/>
      <x:c r="P111" s="5"/>
    </x:row>
    <x:row r="112" ht="41.400001525878906">
      <x:c r="A112" s="5" t="s">
        <x:v>533</x:v>
      </x:c>
      <x:c r="B112" s="5" t="s">
        <x:v>549</x:v>
      </x:c>
      <x:c r="C112" s="5" t="s">
        <x:v>535</x:v>
      </x:c>
      <x:c r="D112" s="5" t="s">
        <x:v>550</x:v>
      </x:c>
      <x:c r="E112" s="5" t="s">
        <x:v>537</x:v>
      </x:c>
      <x:c r="F112" s="5" t="s">
        <x:v>538</x:v>
      </x:c>
      <x:c r="G112" s="5" t="s">
        <x:v>27</x:v>
      </x:c>
      <x:c r="H112" s="5" t="s">
        <x:v>25</x:v>
      </x:c>
      <x:c r="I112" s="5" t="s">
        <x:v>551</x:v>
      </x:c>
      <x:c r="J112" s="5" t="s">
        <x:v>14</x:v>
      </x:c>
      <x:c r="K112" s="5" t="s">
        <x:v>28</x:v>
      </x:c>
      <x:c r="L112" s="6"/>
      <x:c r="M112" s="6"/>
      <x:c r="N112" s="6"/>
      <x:c r="O112" s="5"/>
      <x:c r="P112" s="5"/>
    </x:row>
    <x:row r="113" ht="41.400001525878906">
      <x:c r="A113" s="5" t="s">
        <x:v>533</x:v>
      </x:c>
      <x:c r="B113" s="5" t="s">
        <x:v>552</x:v>
      </x:c>
      <x:c r="C113" s="5" t="s">
        <x:v>535</x:v>
      </x:c>
      <x:c r="D113" s="5" t="s">
        <x:v>553</x:v>
      </x:c>
      <x:c r="E113" s="5" t="s">
        <x:v>537</x:v>
      </x:c>
      <x:c r="F113" s="5" t="s">
        <x:v>538</x:v>
      </x:c>
      <x:c r="G113" s="5" t="s">
        <x:v>27</x:v>
      </x:c>
      <x:c r="H113" s="5" t="s">
        <x:v>25</x:v>
      </x:c>
      <x:c r="I113" s="5" t="s">
        <x:v>554</x:v>
      </x:c>
      <x:c r="J113" s="5" t="s">
        <x:v>14</x:v>
      </x:c>
      <x:c r="K113" s="5" t="s">
        <x:v>28</x:v>
      </x:c>
      <x:c r="L113" s="6"/>
      <x:c r="M113" s="6"/>
      <x:c r="N113" s="6"/>
      <x:c r="O113" s="5"/>
      <x:c r="P113" s="5"/>
    </x:row>
    <x:row r="114" ht="41.400001525878906">
      <x:c r="A114" s="5" t="s">
        <x:v>533</x:v>
      </x:c>
      <x:c r="B114" s="5" t="s">
        <x:v>555</x:v>
      </x:c>
      <x:c r="C114" s="5" t="s">
        <x:v>535</x:v>
      </x:c>
      <x:c r="D114" s="5" t="s">
        <x:v>556</x:v>
      </x:c>
      <x:c r="E114" s="5" t="s">
        <x:v>537</x:v>
      </x:c>
      <x:c r="F114" s="5" t="s">
        <x:v>538</x:v>
      </x:c>
      <x:c r="G114" s="5" t="s">
        <x:v>27</x:v>
      </x:c>
      <x:c r="H114" s="5" t="s">
        <x:v>25</x:v>
      </x:c>
      <x:c r="I114" s="5" t="s">
        <x:v>557</x:v>
      </x:c>
      <x:c r="J114" s="5" t="s">
        <x:v>14</x:v>
      </x:c>
      <x:c r="K114" s="5" t="s">
        <x:v>28</x:v>
      </x:c>
      <x:c r="L114" s="6"/>
      <x:c r="M114" s="6"/>
      <x:c r="N114" s="6"/>
      <x:c r="O114" s="5"/>
      <x:c r="P114" s="5"/>
    </x:row>
    <x:row r="115" ht="41.400001525878906">
      <x:c r="A115" s="5" t="s">
        <x:v>533</x:v>
      </x:c>
      <x:c r="B115" s="5" t="s">
        <x:v>558</x:v>
      </x:c>
      <x:c r="C115" s="5" t="s">
        <x:v>535</x:v>
      </x:c>
      <x:c r="D115" s="5" t="s">
        <x:v>559</x:v>
      </x:c>
      <x:c r="E115" s="5" t="s">
        <x:v>537</x:v>
      </x:c>
      <x:c r="F115" s="5" t="s">
        <x:v>538</x:v>
      </x:c>
      <x:c r="G115" s="5" t="s">
        <x:v>27</x:v>
      </x:c>
      <x:c r="H115" s="5" t="s">
        <x:v>25</x:v>
      </x:c>
      <x:c r="I115" s="5" t="s">
        <x:v>560</x:v>
      </x:c>
      <x:c r="J115" s="5" t="s">
        <x:v>14</x:v>
      </x:c>
      <x:c r="K115" s="5" t="s">
        <x:v>28</x:v>
      </x:c>
      <x:c r="L115" s="6"/>
      <x:c r="M115" s="6"/>
      <x:c r="N115" s="6"/>
      <x:c r="O115" s="5"/>
      <x:c r="P115" s="5"/>
    </x:row>
    <x:row r="116" ht="41.400001525878906">
      <x:c r="A116" s="5" t="s">
        <x:v>533</x:v>
      </x:c>
      <x:c r="B116" s="5" t="s">
        <x:v>561</x:v>
      </x:c>
      <x:c r="C116" s="5" t="s">
        <x:v>535</x:v>
      </x:c>
      <x:c r="D116" s="5" t="s">
        <x:v>562</x:v>
      </x:c>
      <x:c r="E116" s="5" t="s">
        <x:v>537</x:v>
      </x:c>
      <x:c r="F116" s="5" t="s">
        <x:v>538</x:v>
      </x:c>
      <x:c r="G116" s="5" t="s">
        <x:v>27</x:v>
      </x:c>
      <x:c r="H116" s="5" t="s">
        <x:v>25</x:v>
      </x:c>
      <x:c r="I116" s="5" t="s">
        <x:v>563</x:v>
      </x:c>
      <x:c r="J116" s="5" t="s">
        <x:v>14</x:v>
      </x:c>
      <x:c r="K116" s="5" t="s">
        <x:v>28</x:v>
      </x:c>
      <x:c r="L116" s="6"/>
      <x:c r="M116" s="6"/>
      <x:c r="N116" s="6"/>
      <x:c r="O116" s="5"/>
      <x:c r="P116" s="5"/>
    </x:row>
    <x:row r="117" ht="41.400001525878906">
      <x:c r="A117" s="5" t="s">
        <x:v>533</x:v>
      </x:c>
      <x:c r="B117" s="5" t="s">
        <x:v>564</x:v>
      </x:c>
      <x:c r="C117" s="5" t="s">
        <x:v>535</x:v>
      </x:c>
      <x:c r="D117" s="5" t="s">
        <x:v>565</x:v>
      </x:c>
      <x:c r="E117" s="5" t="s">
        <x:v>537</x:v>
      </x:c>
      <x:c r="F117" s="5" t="s">
        <x:v>538</x:v>
      </x:c>
      <x:c r="G117" s="5" t="s">
        <x:v>27</x:v>
      </x:c>
      <x:c r="H117" s="5" t="s">
        <x:v>25</x:v>
      </x:c>
      <x:c r="I117" s="5" t="s">
        <x:v>566</x:v>
      </x:c>
      <x:c r="J117" s="5" t="s">
        <x:v>14</x:v>
      </x:c>
      <x:c r="K117" s="5" t="s">
        <x:v>28</x:v>
      </x:c>
      <x:c r="L117" s="6"/>
      <x:c r="M117" s="6"/>
      <x:c r="N117" s="6"/>
      <x:c r="O117" s="5"/>
      <x:c r="P117" s="5"/>
    </x:row>
    <x:row r="118" ht="41.400001525878906">
      <x:c r="A118" s="5" t="s">
        <x:v>533</x:v>
      </x:c>
      <x:c r="B118" s="5" t="s">
        <x:v>567</x:v>
      </x:c>
      <x:c r="C118" s="5" t="s">
        <x:v>535</x:v>
      </x:c>
      <x:c r="D118" s="5" t="s">
        <x:v>568</x:v>
      </x:c>
      <x:c r="E118" s="5" t="s">
        <x:v>537</x:v>
      </x:c>
      <x:c r="F118" s="5" t="s">
        <x:v>538</x:v>
      </x:c>
      <x:c r="G118" s="5" t="s">
        <x:v>27</x:v>
      </x:c>
      <x:c r="H118" s="5" t="s">
        <x:v>25</x:v>
      </x:c>
      <x:c r="I118" s="5" t="s">
        <x:v>569</x:v>
      </x:c>
      <x:c r="J118" s="5" t="s">
        <x:v>14</x:v>
      </x:c>
      <x:c r="K118" s="5" t="s">
        <x:v>28</x:v>
      </x:c>
      <x:c r="L118" s="6"/>
      <x:c r="M118" s="6"/>
      <x:c r="N118" s="6"/>
      <x:c r="O118" s="5"/>
      <x:c r="P118" s="5"/>
    </x:row>
    <x:row r="119" ht="41.400001525878906">
      <x:c r="A119" s="5" t="s">
        <x:v>533</x:v>
      </x:c>
      <x:c r="B119" s="5" t="s">
        <x:v>570</x:v>
      </x:c>
      <x:c r="C119" s="5" t="s">
        <x:v>535</x:v>
      </x:c>
      <x:c r="D119" s="5" t="s">
        <x:v>571</x:v>
      </x:c>
      <x:c r="E119" s="5" t="s">
        <x:v>537</x:v>
      </x:c>
      <x:c r="F119" s="5" t="s">
        <x:v>538</x:v>
      </x:c>
      <x:c r="G119" s="5" t="s">
        <x:v>27</x:v>
      </x:c>
      <x:c r="H119" s="5" t="s">
        <x:v>25</x:v>
      </x:c>
      <x:c r="I119" s="5" t="s">
        <x:v>572</x:v>
      </x:c>
      <x:c r="J119" s="5" t="s">
        <x:v>14</x:v>
      </x:c>
      <x:c r="K119" s="5" t="s">
        <x:v>28</x:v>
      </x:c>
      <x:c r="L119" s="6"/>
      <x:c r="M119" s="6"/>
      <x:c r="N119" s="6"/>
      <x:c r="O119" s="5"/>
      <x:c r="P119" s="5"/>
    </x:row>
    <x:row r="120" ht="41.400001525878906">
      <x:c r="A120" s="5" t="s">
        <x:v>533</x:v>
      </x:c>
      <x:c r="B120" s="5" t="s">
        <x:v>573</x:v>
      </x:c>
      <x:c r="C120" s="5" t="s">
        <x:v>535</x:v>
      </x:c>
      <x:c r="D120" s="5" t="s">
        <x:v>574</x:v>
      </x:c>
      <x:c r="E120" s="5" t="s">
        <x:v>537</x:v>
      </x:c>
      <x:c r="F120" s="5" t="s">
        <x:v>538</x:v>
      </x:c>
      <x:c r="G120" s="5" t="s">
        <x:v>27</x:v>
      </x:c>
      <x:c r="H120" s="5" t="s">
        <x:v>25</x:v>
      </x:c>
      <x:c r="I120" s="5" t="s">
        <x:v>575</x:v>
      </x:c>
      <x:c r="J120" s="5" t="s">
        <x:v>14</x:v>
      </x:c>
      <x:c r="K120" s="5" t="s">
        <x:v>28</x:v>
      </x:c>
      <x:c r="L120" s="6"/>
      <x:c r="M120" s="6"/>
      <x:c r="N120" s="6"/>
      <x:c r="O120" s="5"/>
      <x:c r="P120" s="5"/>
    </x:row>
    <x:row r="121" ht="41.400001525878906">
      <x:c r="A121" s="5" t="s">
        <x:v>533</x:v>
      </x:c>
      <x:c r="B121" s="5" t="s">
        <x:v>576</x:v>
      </x:c>
      <x:c r="C121" s="5" t="s">
        <x:v>535</x:v>
      </x:c>
      <x:c r="D121" s="5" t="s">
        <x:v>577</x:v>
      </x:c>
      <x:c r="E121" s="5" t="s">
        <x:v>537</x:v>
      </x:c>
      <x:c r="F121" s="5" t="s">
        <x:v>538</x:v>
      </x:c>
      <x:c r="G121" s="5" t="s">
        <x:v>27</x:v>
      </x:c>
      <x:c r="H121" s="5" t="s">
        <x:v>25</x:v>
      </x:c>
      <x:c r="I121" s="5" t="s">
        <x:v>578</x:v>
      </x:c>
      <x:c r="J121" s="5" t="s">
        <x:v>14</x:v>
      </x:c>
      <x:c r="K121" s="5" t="s">
        <x:v>28</x:v>
      </x:c>
      <x:c r="L121" s="6"/>
      <x:c r="M121" s="6"/>
      <x:c r="N121" s="6"/>
      <x:c r="O121" s="5"/>
      <x:c r="P121" s="5"/>
    </x:row>
    <x:row r="122" ht="41.400001525878906">
      <x:c r="A122" s="5" t="s">
        <x:v>533</x:v>
      </x:c>
      <x:c r="B122" s="5" t="s">
        <x:v>579</x:v>
      </x:c>
      <x:c r="C122" s="5" t="s">
        <x:v>535</x:v>
      </x:c>
      <x:c r="D122" s="5" t="s">
        <x:v>580</x:v>
      </x:c>
      <x:c r="E122" s="5" t="s">
        <x:v>537</x:v>
      </x:c>
      <x:c r="F122" s="5" t="s">
        <x:v>538</x:v>
      </x:c>
      <x:c r="G122" s="5" t="s">
        <x:v>27</x:v>
      </x:c>
      <x:c r="H122" s="5" t="s">
        <x:v>25</x:v>
      </x:c>
      <x:c r="I122" s="5" t="s">
        <x:v>581</x:v>
      </x:c>
      <x:c r="J122" s="5" t="s">
        <x:v>14</x:v>
      </x:c>
      <x:c r="K122" s="5" t="s">
        <x:v>28</x:v>
      </x:c>
      <x:c r="L122" s="6"/>
      <x:c r="M122" s="6"/>
      <x:c r="N122" s="6"/>
      <x:c r="O122" s="5"/>
      <x:c r="P122" s="5"/>
    </x:row>
    <x:row r="123" ht="41.400001525878906">
      <x:c r="A123" s="5" t="s">
        <x:v>533</x:v>
      </x:c>
      <x:c r="B123" s="5" t="s">
        <x:v>582</x:v>
      </x:c>
      <x:c r="C123" s="5" t="s">
        <x:v>535</x:v>
      </x:c>
      <x:c r="D123" s="5" t="s">
        <x:v>583</x:v>
      </x:c>
      <x:c r="E123" s="5" t="s">
        <x:v>537</x:v>
      </x:c>
      <x:c r="F123" s="5" t="s">
        <x:v>538</x:v>
      </x:c>
      <x:c r="G123" s="5" t="s">
        <x:v>27</x:v>
      </x:c>
      <x:c r="H123" s="5" t="s">
        <x:v>25</x:v>
      </x:c>
      <x:c r="I123" s="5" t="s">
        <x:v>584</x:v>
      </x:c>
      <x:c r="J123" s="5" t="s">
        <x:v>14</x:v>
      </x:c>
      <x:c r="K123" s="5" t="s">
        <x:v>28</x:v>
      </x:c>
      <x:c r="L123" s="6"/>
      <x:c r="M123" s="6"/>
      <x:c r="N123" s="6"/>
      <x:c r="O123" s="5"/>
      <x:c r="P123" s="5"/>
    </x:row>
    <x:row r="124" ht="41.400001525878906">
      <x:c r="A124" s="5" t="s">
        <x:v>533</x:v>
      </x:c>
      <x:c r="B124" s="5" t="s">
        <x:v>585</x:v>
      </x:c>
      <x:c r="C124" s="5" t="s">
        <x:v>535</x:v>
      </x:c>
      <x:c r="D124" s="5" t="s">
        <x:v>586</x:v>
      </x:c>
      <x:c r="E124" s="5" t="s">
        <x:v>537</x:v>
      </x:c>
      <x:c r="F124" s="5" t="s">
        <x:v>538</x:v>
      </x:c>
      <x:c r="G124" s="5" t="s">
        <x:v>27</x:v>
      </x:c>
      <x:c r="H124" s="5" t="s">
        <x:v>25</x:v>
      </x:c>
      <x:c r="I124" s="5" t="s">
        <x:v>587</x:v>
      </x:c>
      <x:c r="J124" s="5" t="s">
        <x:v>14</x:v>
      </x:c>
      <x:c r="K124" s="5" t="s">
        <x:v>28</x:v>
      </x:c>
      <x:c r="L124" s="6"/>
      <x:c r="M124" s="6"/>
      <x:c r="N124" s="6"/>
      <x:c r="O124" s="5"/>
      <x:c r="P124" s="5"/>
    </x:row>
    <x:row r="125" ht="41.400001525878906">
      <x:c r="A125" s="5" t="s">
        <x:v>533</x:v>
      </x:c>
      <x:c r="B125" s="5" t="s">
        <x:v>588</x:v>
      </x:c>
      <x:c r="C125" s="5" t="s">
        <x:v>535</x:v>
      </x:c>
      <x:c r="D125" s="5" t="s">
        <x:v>589</x:v>
      </x:c>
      <x:c r="E125" s="5" t="s">
        <x:v>537</x:v>
      </x:c>
      <x:c r="F125" s="5" t="s">
        <x:v>538</x:v>
      </x:c>
      <x:c r="G125" s="5" t="s">
        <x:v>27</x:v>
      </x:c>
      <x:c r="H125" s="5" t="s">
        <x:v>25</x:v>
      </x:c>
      <x:c r="I125" s="5" t="s">
        <x:v>590</x:v>
      </x:c>
      <x:c r="J125" s="5" t="s">
        <x:v>14</x:v>
      </x:c>
      <x:c r="K125" s="5" t="s">
        <x:v>28</x:v>
      </x:c>
      <x:c r="L125" s="6"/>
      <x:c r="M125" s="6"/>
      <x:c r="N125" s="6"/>
      <x:c r="O125" s="5"/>
      <x:c r="P125" s="5"/>
    </x:row>
    <x:row r="126" ht="41.400001525878906">
      <x:c r="A126" s="5" t="s">
        <x:v>533</x:v>
      </x:c>
      <x:c r="B126" s="5" t="s">
        <x:v>591</x:v>
      </x:c>
      <x:c r="C126" s="5" t="s">
        <x:v>535</x:v>
      </x:c>
      <x:c r="D126" s="5" t="s">
        <x:v>592</x:v>
      </x:c>
      <x:c r="E126" s="5" t="s">
        <x:v>537</x:v>
      </x:c>
      <x:c r="F126" s="5" t="s">
        <x:v>538</x:v>
      </x:c>
      <x:c r="G126" s="5" t="s">
        <x:v>27</x:v>
      </x:c>
      <x:c r="H126" s="5" t="s">
        <x:v>25</x:v>
      </x:c>
      <x:c r="I126" s="5" t="s">
        <x:v>593</x:v>
      </x:c>
      <x:c r="J126" s="5" t="s">
        <x:v>14</x:v>
      </x:c>
      <x:c r="K126" s="5" t="s">
        <x:v>28</x:v>
      </x:c>
      <x:c r="L126" s="6"/>
      <x:c r="M126" s="6"/>
      <x:c r="N126" s="6"/>
      <x:c r="O126" s="5"/>
      <x:c r="P126" s="5"/>
    </x:row>
    <x:row r="127" ht="41.400001525878906">
      <x:c r="A127" s="5" t="s">
        <x:v>533</x:v>
      </x:c>
      <x:c r="B127" s="5" t="s">
        <x:v>594</x:v>
      </x:c>
      <x:c r="C127" s="5" t="s">
        <x:v>535</x:v>
      </x:c>
      <x:c r="D127" s="5" t="s">
        <x:v>595</x:v>
      </x:c>
      <x:c r="E127" s="5" t="s">
        <x:v>537</x:v>
      </x:c>
      <x:c r="F127" s="5" t="s">
        <x:v>538</x:v>
      </x:c>
      <x:c r="G127" s="5" t="s">
        <x:v>27</x:v>
      </x:c>
      <x:c r="H127" s="5" t="s">
        <x:v>25</x:v>
      </x:c>
      <x:c r="I127" s="5" t="s">
        <x:v>596</x:v>
      </x:c>
      <x:c r="J127" s="5" t="s">
        <x:v>14</x:v>
      </x:c>
      <x:c r="K127" s="5" t="s">
        <x:v>28</x:v>
      </x:c>
      <x:c r="L127" s="6"/>
      <x:c r="M127" s="6"/>
      <x:c r="N127" s="6"/>
      <x:c r="O127" s="5"/>
      <x:c r="P127" s="5"/>
    </x:row>
    <x:row r="128" ht="41.400001525878906">
      <x:c r="A128" s="5" t="s">
        <x:v>533</x:v>
      </x:c>
      <x:c r="B128" s="5" t="s">
        <x:v>597</x:v>
      </x:c>
      <x:c r="C128" s="5" t="s">
        <x:v>535</x:v>
      </x:c>
      <x:c r="D128" s="5" t="s">
        <x:v>598</x:v>
      </x:c>
      <x:c r="E128" s="5" t="s">
        <x:v>537</x:v>
      </x:c>
      <x:c r="F128" s="5" t="s">
        <x:v>538</x:v>
      </x:c>
      <x:c r="G128" s="5" t="s">
        <x:v>27</x:v>
      </x:c>
      <x:c r="H128" s="5" t="s">
        <x:v>25</x:v>
      </x:c>
      <x:c r="I128" s="5" t="s">
        <x:v>599</x:v>
      </x:c>
      <x:c r="J128" s="5" t="s">
        <x:v>14</x:v>
      </x:c>
      <x:c r="K128" s="5" t="s">
        <x:v>28</x:v>
      </x:c>
      <x:c r="L128" s="6"/>
      <x:c r="M128" s="6"/>
      <x:c r="N128" s="6"/>
      <x:c r="O128" s="5"/>
      <x:c r="P128" s="5"/>
    </x:row>
    <x:row r="129" ht="41.400001525878906">
      <x:c r="A129" s="5" t="s">
        <x:v>533</x:v>
      </x:c>
      <x:c r="B129" s="5" t="s">
        <x:v>600</x:v>
      </x:c>
      <x:c r="C129" s="5" t="s">
        <x:v>535</x:v>
      </x:c>
      <x:c r="D129" s="5" t="s">
        <x:v>601</x:v>
      </x:c>
      <x:c r="E129" s="5" t="s">
        <x:v>537</x:v>
      </x:c>
      <x:c r="F129" s="5" t="s">
        <x:v>538</x:v>
      </x:c>
      <x:c r="G129" s="5" t="s">
        <x:v>27</x:v>
      </x:c>
      <x:c r="H129" s="5" t="s">
        <x:v>25</x:v>
      </x:c>
      <x:c r="I129" s="5" t="s">
        <x:v>602</x:v>
      </x:c>
      <x:c r="J129" s="5" t="s">
        <x:v>14</x:v>
      </x:c>
      <x:c r="K129" s="5" t="s">
        <x:v>28</x:v>
      </x:c>
      <x:c r="L129" s="6"/>
      <x:c r="M129" s="6"/>
      <x:c r="N129" s="6"/>
      <x:c r="O129" s="5"/>
      <x:c r="P129" s="5"/>
    </x:row>
    <x:row r="130" ht="41.400001525878906">
      <x:c r="A130" s="5" t="s">
        <x:v>533</x:v>
      </x:c>
      <x:c r="B130" s="5" t="s">
        <x:v>603</x:v>
      </x:c>
      <x:c r="C130" s="5" t="s">
        <x:v>535</x:v>
      </x:c>
      <x:c r="D130" s="5" t="s">
        <x:v>604</x:v>
      </x:c>
      <x:c r="E130" s="5" t="s">
        <x:v>537</x:v>
      </x:c>
      <x:c r="F130" s="5" t="s">
        <x:v>538</x:v>
      </x:c>
      <x:c r="G130" s="5" t="s">
        <x:v>27</x:v>
      </x:c>
      <x:c r="H130" s="5" t="s">
        <x:v>25</x:v>
      </x:c>
      <x:c r="I130" s="5" t="s">
        <x:v>605</x:v>
      </x:c>
      <x:c r="J130" s="5" t="s">
        <x:v>14</x:v>
      </x:c>
      <x:c r="K130" s="5" t="s">
        <x:v>28</x:v>
      </x:c>
      <x:c r="L130" s="6"/>
      <x:c r="M130" s="6"/>
      <x:c r="N130" s="6"/>
      <x:c r="O130" s="5"/>
      <x:c r="P130" s="5"/>
    </x:row>
    <x:row r="131" ht="41.400001525878906">
      <x:c r="A131" s="5" t="s">
        <x:v>533</x:v>
      </x:c>
      <x:c r="B131" s="5" t="s">
        <x:v>606</x:v>
      </x:c>
      <x:c r="C131" s="5" t="s">
        <x:v>535</x:v>
      </x:c>
      <x:c r="D131" s="5" t="s">
        <x:v>607</x:v>
      </x:c>
      <x:c r="E131" s="5" t="s">
        <x:v>537</x:v>
      </x:c>
      <x:c r="F131" s="5" t="s">
        <x:v>538</x:v>
      </x:c>
      <x:c r="G131" s="5" t="s">
        <x:v>27</x:v>
      </x:c>
      <x:c r="H131" s="5" t="s">
        <x:v>25</x:v>
      </x:c>
      <x:c r="I131" s="5" t="s">
        <x:v>608</x:v>
      </x:c>
      <x:c r="J131" s="5" t="s">
        <x:v>14</x:v>
      </x:c>
      <x:c r="K131" s="5" t="s">
        <x:v>28</x:v>
      </x:c>
      <x:c r="L131" s="6"/>
      <x:c r="M131" s="6"/>
      <x:c r="N131" s="6"/>
      <x:c r="O131" s="5"/>
      <x:c r="P131" s="5"/>
    </x:row>
    <x:row r="132" ht="41.400001525878906">
      <x:c r="A132" s="5" t="s">
        <x:v>533</x:v>
      </x:c>
      <x:c r="B132" s="5" t="s">
        <x:v>609</x:v>
      </x:c>
      <x:c r="C132" s="5" t="s">
        <x:v>535</x:v>
      </x:c>
      <x:c r="D132" s="5" t="s">
        <x:v>610</x:v>
      </x:c>
      <x:c r="E132" s="5" t="s">
        <x:v>537</x:v>
      </x:c>
      <x:c r="F132" s="5" t="s">
        <x:v>538</x:v>
      </x:c>
      <x:c r="G132" s="5" t="s">
        <x:v>27</x:v>
      </x:c>
      <x:c r="H132" s="5" t="s">
        <x:v>25</x:v>
      </x:c>
      <x:c r="I132" s="5" t="s">
        <x:v>611</x:v>
      </x:c>
      <x:c r="J132" s="5" t="s">
        <x:v>14</x:v>
      </x:c>
      <x:c r="K132" s="5" t="s">
        <x:v>28</x:v>
      </x:c>
      <x:c r="L132" s="6"/>
      <x:c r="M132" s="6"/>
      <x:c r="N132" s="6"/>
      <x:c r="O132" s="5"/>
      <x:c r="P132" s="5"/>
    </x:row>
    <x:row r="133" ht="27.600000381469727">
      <x:c r="A133" s="5" t="s">
        <x:v>533</x:v>
      </x:c>
      <x:c r="B133" s="5" t="s">
        <x:v>612</x:v>
      </x:c>
      <x:c r="C133" s="5" t="s">
        <x:v>115</x:v>
      </x:c>
      <x:c r="D133" s="5" t="s">
        <x:v>613</x:v>
      </x:c>
      <x:c r="E133" s="5" t="s">
        <x:v>614</x:v>
      </x:c>
      <x:c r="F133" s="5" t="s">
        <x:v>65</x:v>
      </x:c>
      <x:c r="G133" s="5" t="s">
        <x:v>27</x:v>
      </x:c>
      <x:c r="H133" s="5" t="s">
        <x:v>25</x:v>
      </x:c>
      <x:c r="I133" s="5" t="s">
        <x:v>615</x:v>
      </x:c>
      <x:c r="J133" s="5" t="s">
        <x:v>616</x:v>
      </x:c>
      <x:c r="K133" s="5" t="s">
        <x:v>28</x:v>
      </x:c>
      <x:c r="L133" s="6"/>
      <x:c r="M133" s="6"/>
      <x:c r="N133" s="6"/>
      <x:c r="O133" s="5"/>
      <x:c r="P133" s="5"/>
    </x:row>
    <x:row r="134">
      <x:c r="A134" s="5" t="s">
        <x:v>533</x:v>
      </x:c>
      <x:c r="B134" s="5" t="s">
        <x:v>617</x:v>
      </x:c>
      <x:c r="C134" s="5" t="s">
        <x:v>115</x:v>
      </x:c>
      <x:c r="D134" s="5" t="s">
        <x:v>618</x:v>
      </x:c>
      <x:c r="E134" s="5" t="s">
        <x:v>619</x:v>
      </x:c>
      <x:c r="F134" s="5" t="str">
        <x:v>IMPLEMENTATION_HANDOFF.md / Workbook operational tracker</x:v>
      </x:c>
      <x:c r="G134" s="5" t="s">
        <x:v>27</x:v>
      </x:c>
      <x:c r="H134" s="5" t="s">
        <x:v>25</x:v>
      </x:c>
      <x:c r="I134" s="5" t="s">
        <x:v>620</x:v>
      </x:c>
      <x:c r="J134" s="5" t="s">
        <x:v>621</x:v>
      </x:c>
      <x:c r="K134" s="5" t="s">
        <x:v>28</x:v>
      </x:c>
      <x:c r="L134" s="6"/>
      <x:c r="M134" s="6"/>
      <x:c r="N134" s="6"/>
      <x:c r="O134" s="5"/>
      <x:c r="P134" s="5"/>
    </x:row>
    <x:row r="135" ht="27.600000381469727">
      <x:c r="A135" s="5" t="s">
        <x:v>622</x:v>
      </x:c>
      <x:c r="B135" s="5" t="s">
        <x:v>623</x:v>
      </x:c>
      <x:c r="C135" s="5" t="s">
        <x:v>624</x:v>
      </x:c>
      <x:c r="D135" s="5" t="s">
        <x:v>625</x:v>
      </x:c>
      <x:c r="E135" s="5" t="s">
        <x:v>626</x:v>
      </x:c>
      <x:c r="F135" s="5" t="s">
        <x:v>65</x:v>
      </x:c>
      <x:c r="G135" s="5" t="s">
        <x:v>27</x:v>
      </x:c>
      <x:c r="H135" s="5" t="s">
        <x:v>25</x:v>
      </x:c>
      <x:c r="I135" s="5" t="s">
        <x:v>627</x:v>
      </x:c>
      <x:c r="J135" s="5" t="s">
        <x:v>14</x:v>
      </x:c>
      <x:c r="K135" s="5" t="s">
        <x:v>28</x:v>
      </x:c>
      <x:c r="L135" s="6"/>
      <x:c r="M135" s="6"/>
      <x:c r="N135" s="6"/>
      <x:c r="O135" s="5"/>
      <x:c r="P135" s="5"/>
    </x:row>
    <x:row r="136" ht="27.600000381469727">
      <x:c r="A136" s="5" t="s">
        <x:v>622</x:v>
      </x:c>
      <x:c r="B136" s="5" t="s">
        <x:v>628</x:v>
      </x:c>
      <x:c r="C136" s="5" t="s">
        <x:v>624</x:v>
      </x:c>
      <x:c r="D136" s="5" t="s">
        <x:v>629</x:v>
      </x:c>
      <x:c r="E136" s="5" t="s">
        <x:v>630</x:v>
      </x:c>
      <x:c r="F136" s="5" t="s">
        <x:v>65</x:v>
      </x:c>
      <x:c r="G136" s="5" t="s">
        <x:v>27</x:v>
      </x:c>
      <x:c r="H136" s="5" t="s">
        <x:v>25</x:v>
      </x:c>
      <x:c r="I136" s="5" t="s">
        <x:v>631</x:v>
      </x:c>
      <x:c r="J136" s="5" t="s">
        <x:v>14</x:v>
      </x:c>
      <x:c r="K136" s="5" t="s">
        <x:v>28</x:v>
      </x:c>
      <x:c r="L136" s="6"/>
      <x:c r="M136" s="6"/>
      <x:c r="N136" s="6"/>
      <x:c r="O136" s="5"/>
      <x:c r="P136" s="5"/>
    </x:row>
    <x:row r="137" ht="27.600000381469727">
      <x:c r="A137" s="5" t="s">
        <x:v>622</x:v>
      </x:c>
      <x:c r="B137" s="5" t="s">
        <x:v>632</x:v>
      </x:c>
      <x:c r="C137" s="5" t="s">
        <x:v>624</x:v>
      </x:c>
      <x:c r="D137" s="5" t="s">
        <x:v>633</x:v>
      </x:c>
      <x:c r="E137" s="5" t="s">
        <x:v>634</x:v>
      </x:c>
      <x:c r="F137" s="5" t="s">
        <x:v>65</x:v>
      </x:c>
      <x:c r="G137" s="5" t="s">
        <x:v>27</x:v>
      </x:c>
      <x:c r="H137" s="5" t="s">
        <x:v>25</x:v>
      </x:c>
      <x:c r="I137" s="5" t="s">
        <x:v>627</x:v>
      </x:c>
      <x:c r="J137" s="5" t="s">
        <x:v>14</x:v>
      </x:c>
      <x:c r="K137" s="5" t="s">
        <x:v>28</x:v>
      </x:c>
      <x:c r="L137" s="6"/>
      <x:c r="M137" s="6"/>
      <x:c r="N137" s="6"/>
      <x:c r="O137" s="5"/>
      <x:c r="P137" s="5"/>
    </x:row>
    <x:row r="138" ht="27.600000381469727">
      <x:c r="A138" s="5" t="s">
        <x:v>622</x:v>
      </x:c>
      <x:c r="B138" s="5" t="s">
        <x:v>635</x:v>
      </x:c>
      <x:c r="C138" s="5" t="s">
        <x:v>624</x:v>
      </x:c>
      <x:c r="D138" s="5" t="s">
        <x:v>636</x:v>
      </x:c>
      <x:c r="E138" s="5" t="s">
        <x:v>637</x:v>
      </x:c>
      <x:c r="F138" s="5" t="s">
        <x:v>65</x:v>
      </x:c>
      <x:c r="G138" s="5" t="s">
        <x:v>27</x:v>
      </x:c>
      <x:c r="H138" s="5" t="s">
        <x:v>25</x:v>
      </x:c>
      <x:c r="I138" s="5" t="s">
        <x:v>638</x:v>
      </x:c>
      <x:c r="J138" s="5" t="s">
        <x:v>14</x:v>
      </x:c>
      <x:c r="K138" s="5" t="s">
        <x:v>28</x:v>
      </x:c>
      <x:c r="L138" s="6"/>
      <x:c r="M138" s="6"/>
      <x:c r="N138" s="6"/>
      <x:c r="O138" s="5"/>
      <x:c r="P138" s="5"/>
    </x:row>
    <x:row r="139" ht="27.600000381469727">
      <x:c r="A139" s="5" t="s">
        <x:v>622</x:v>
      </x:c>
      <x:c r="B139" s="5" t="s">
        <x:v>639</x:v>
      </x:c>
      <x:c r="C139" s="5" t="s">
        <x:v>624</x:v>
      </x:c>
      <x:c r="D139" s="5" t="s">
        <x:v>640</x:v>
      </x:c>
      <x:c r="E139" s="5" t="s">
        <x:v>641</x:v>
      </x:c>
      <x:c r="F139" s="5" t="s">
        <x:v>65</x:v>
      </x:c>
      <x:c r="G139" s="5" t="s">
        <x:v>27</x:v>
      </x:c>
      <x:c r="H139" s="5" t="s">
        <x:v>25</x:v>
      </x:c>
      <x:c r="I139" s="5" t="s">
        <x:v>642</x:v>
      </x:c>
      <x:c r="J139" s="5" t="s">
        <x:v>14</x:v>
      </x:c>
      <x:c r="K139" s="5" t="s">
        <x:v>28</x:v>
      </x:c>
      <x:c r="L139" s="6"/>
      <x:c r="M139" s="6"/>
      <x:c r="N139" s="6"/>
      <x:c r="O139" s="5"/>
      <x:c r="P139" s="5"/>
    </x:row>
    <x:row r="140" ht="27.600000381469727">
      <x:c r="A140" s="5" t="s">
        <x:v>622</x:v>
      </x:c>
      <x:c r="B140" s="5" t="s">
        <x:v>643</x:v>
      </x:c>
      <x:c r="C140" s="5" t="s">
        <x:v>624</x:v>
      </x:c>
      <x:c r="D140" s="5" t="s">
        <x:v>644</x:v>
      </x:c>
      <x:c r="E140" s="5" t="s">
        <x:v>645</x:v>
      </x:c>
      <x:c r="F140" s="5" t="s">
        <x:v>65</x:v>
      </x:c>
      <x:c r="G140" s="5" t="s">
        <x:v>27</x:v>
      </x:c>
      <x:c r="H140" s="5" t="s">
        <x:v>25</x:v>
      </x:c>
      <x:c r="I140" s="5" t="s">
        <x:v>646</x:v>
      </x:c>
      <x:c r="J140" s="5" t="s">
        <x:v>14</x:v>
      </x:c>
      <x:c r="K140" s="5" t="s">
        <x:v>28</x:v>
      </x:c>
      <x:c r="L140" s="6"/>
      <x:c r="M140" s="6"/>
      <x:c r="N140" s="6"/>
      <x:c r="O140" s="5"/>
      <x:c r="P140" s="5"/>
    </x:row>
    <x:row r="141" ht="27.600000381469727">
      <x:c r="A141" s="5" t="s">
        <x:v>622</x:v>
      </x:c>
      <x:c r="B141" s="5" t="s">
        <x:v>647</x:v>
      </x:c>
      <x:c r="C141" s="5" t="s">
        <x:v>624</x:v>
      </x:c>
      <x:c r="D141" s="5" t="s">
        <x:v>648</x:v>
      </x:c>
      <x:c r="E141" s="5" t="s">
        <x:v>649</x:v>
      </x:c>
      <x:c r="F141" s="5" t="s">
        <x:v>65</x:v>
      </x:c>
      <x:c r="G141" s="5" t="s">
        <x:v>27</x:v>
      </x:c>
      <x:c r="H141" s="5" t="s">
        <x:v>25</x:v>
      </x:c>
      <x:c r="I141" s="5" t="s">
        <x:v>650</x:v>
      </x:c>
      <x:c r="J141" s="5" t="s">
        <x:v>14</x:v>
      </x:c>
      <x:c r="K141" s="5" t="s">
        <x:v>28</x:v>
      </x:c>
      <x:c r="L141" s="6"/>
      <x:c r="M141" s="6"/>
      <x:c r="N141" s="6"/>
      <x:c r="O141" s="5"/>
      <x:c r="P141" s="5"/>
    </x:row>
    <x:row r="142" ht="27.600000381469727">
      <x:c r="A142" s="5" t="s">
        <x:v>622</x:v>
      </x:c>
      <x:c r="B142" s="5" t="s">
        <x:v>651</x:v>
      </x:c>
      <x:c r="C142" s="5" t="s">
        <x:v>268</x:v>
      </x:c>
      <x:c r="D142" s="5" t="s">
        <x:v>652</x:v>
      </x:c>
      <x:c r="E142" s="5" t="s">
        <x:v>653</x:v>
      </x:c>
      <x:c r="F142" s="5" t="s">
        <x:v>65</x:v>
      </x:c>
      <x:c r="G142" s="5" t="s">
        <x:v>27</x:v>
      </x:c>
      <x:c r="H142" s="5" t="s">
        <x:v>25</x:v>
      </x:c>
      <x:c r="I142" s="5" t="s">
        <x:v>654</x:v>
      </x:c>
      <x:c r="J142" s="5" t="s">
        <x:v>14</x:v>
      </x:c>
      <x:c r="K142" s="5" t="s">
        <x:v>28</x:v>
      </x:c>
      <x:c r="L142" s="6"/>
      <x:c r="M142" s="6"/>
      <x:c r="N142" s="6"/>
      <x:c r="O142" s="5"/>
      <x:c r="P142" s="5"/>
    </x:row>
    <x:row r="143">
      <x:c r="A143" s="5" t="s">
        <x:v>622</x:v>
      </x:c>
      <x:c r="B143" s="5" t="s">
        <x:v>655</x:v>
      </x:c>
      <x:c r="C143" s="5" t="s">
        <x:v>656</x:v>
      </x:c>
      <x:c r="D143" s="5" t="s">
        <x:v>657</x:v>
      </x:c>
      <x:c r="E143" s="5" t="s">
        <x:v>658</x:v>
      </x:c>
      <x:c r="F143" s="5" t="s">
        <x:v>130</x:v>
      </x:c>
      <x:c r="G143" s="5" t="s">
        <x:v>27</x:v>
      </x:c>
      <x:c r="H143" s="5" t="s">
        <x:v>25</x:v>
      </x:c>
      <x:c r="I143" s="5" t="s">
        <x:v>659</x:v>
      </x:c>
      <x:c r="J143" s="5" t="s">
        <x:v>660</x:v>
      </x:c>
      <x:c r="K143" s="5" t="s">
        <x:v>28</x:v>
      </x:c>
      <x:c r="L143" s="6"/>
      <x:c r="M143" s="6"/>
      <x:c r="N143" s="6"/>
      <x:c r="O143" s="5"/>
      <x:c r="P143" s="5"/>
    </x:row>
    <x:row r="144" ht="27.600000381469727">
      <x:c r="A144" s="5" t="s">
        <x:v>622</x:v>
      </x:c>
      <x:c r="B144" s="5" t="s">
        <x:v>661</x:v>
      </x:c>
      <x:c r="C144" s="5" t="s">
        <x:v>656</x:v>
      </x:c>
      <x:c r="D144" s="5" t="s">
        <x:v>662</x:v>
      </x:c>
      <x:c r="E144" s="5" t="s">
        <x:v>663</x:v>
      </x:c>
      <x:c r="F144" s="5" t="s">
        <x:v>65</x:v>
      </x:c>
      <x:c r="G144" s="5" t="s">
        <x:v>27</x:v>
      </x:c>
      <x:c r="H144" s="5" t="s">
        <x:v>25</x:v>
      </x:c>
      <x:c r="I144" s="5" t="s">
        <x:v>664</x:v>
      </x:c>
      <x:c r="J144" s="5" t="s">
        <x:v>665</x:v>
      </x:c>
      <x:c r="K144" s="5" t="s">
        <x:v>28</x:v>
      </x:c>
      <x:c r="L144" s="6"/>
      <x:c r="M144" s="6"/>
      <x:c r="N144" s="6"/>
      <x:c r="O144" s="5"/>
      <x:c r="P144" s="5"/>
    </x:row>
    <x:row r="145">
      <x:c r="A145" s="5" t="s">
        <x:v>622</x:v>
      </x:c>
      <x:c r="B145" s="5" t="s">
        <x:v>666</x:v>
      </x:c>
      <x:c r="C145" s="5" t="s">
        <x:v>115</x:v>
      </x:c>
      <x:c r="D145" s="5" t="s">
        <x:v>667</x:v>
      </x:c>
      <x:c r="E145" s="5" t="s">
        <x:v>668</x:v>
      </x:c>
      <x:c r="F145" s="5" t="str">
        <x:v>IMPLEMENTATION_HANDOFF.md / Workbook operational tracker</x:v>
      </x:c>
      <x:c r="G145" s="5" t="s">
        <x:v>27</x:v>
      </x:c>
      <x:c r="H145" s="5" t="s">
        <x:v>25</x:v>
      </x:c>
      <x:c r="I145" s="5" t="s">
        <x:v>669</x:v>
      </x:c>
      <x:c r="J145" s="5" t="s">
        <x:v>670</x:v>
      </x:c>
      <x:c r="K145" s="5" t="s">
        <x:v>28</x:v>
      </x:c>
      <x:c r="L145" s="6"/>
      <x:c r="M145" s="6"/>
      <x:c r="N145" s="6"/>
      <x:c r="O145" s="5"/>
      <x:c r="P145" s="5"/>
    </x:row>
    <x:row r="146">
      <x:c r="A146" s="5" t="s">
        <x:v>671</x:v>
      </x:c>
      <x:c r="B146" s="5" t="s">
        <x:v>672</x:v>
      </x:c>
      <x:c r="C146" s="5" t="s">
        <x:v>673</x:v>
      </x:c>
      <x:c r="D146" s="5" t="s">
        <x:v>674</x:v>
      </x:c>
      <x:c r="E146" s="5" t="s">
        <x:v>675</x:v>
      </x:c>
      <x:c r="F146" s="5" t="s">
        <x:v>130</x:v>
      </x:c>
      <x:c r="G146" s="5" t="s">
        <x:v>27</x:v>
      </x:c>
      <x:c r="H146" s="5" t="s">
        <x:v>25</x:v>
      </x:c>
      <x:c r="I146" s="5" t="s">
        <x:v>676</x:v>
      </x:c>
      <x:c r="J146" s="5" t="s">
        <x:v>677</x:v>
      </x:c>
      <x:c r="K146" s="5" t="s">
        <x:v>28</x:v>
      </x:c>
      <x:c r="L146" s="6"/>
      <x:c r="M146" s="6"/>
      <x:c r="N146" s="6"/>
      <x:c r="O146" s="5"/>
      <x:c r="P146" s="5"/>
    </x:row>
    <x:row r="147" ht="41.400001525878906">
      <x:c r="A147" s="5" t="s">
        <x:v>671</x:v>
      </x:c>
      <x:c r="B147" s="5" t="s">
        <x:v>678</x:v>
      </x:c>
      <x:c r="C147" s="5" t="s">
        <x:v>263</x:v>
      </x:c>
      <x:c r="D147" s="5" t="s">
        <x:v>679</x:v>
      </x:c>
      <x:c r="E147" s="5" t="s">
        <x:v>680</x:v>
      </x:c>
      <x:c r="F147" s="5" t="s">
        <x:v>65</x:v>
      </x:c>
      <x:c r="G147" s="5" t="s">
        <x:v>27</x:v>
      </x:c>
      <x:c r="H147" s="5" t="s">
        <x:v>25</x:v>
      </x:c>
      <x:c r="I147" s="5" t="s">
        <x:v>681</x:v>
      </x:c>
      <x:c r="J147" s="5" t="s">
        <x:v>14</x:v>
      </x:c>
      <x:c r="K147" s="5" t="s">
        <x:v>28</x:v>
      </x:c>
      <x:c r="L147" s="6"/>
      <x:c r="M147" s="6"/>
      <x:c r="N147" s="6"/>
      <x:c r="O147" s="5"/>
      <x:c r="P147" s="5"/>
    </x:row>
    <x:row r="148">
      <x:c r="A148" s="5" t="s">
        <x:v>671</x:v>
      </x:c>
      <x:c r="B148" s="5" t="s">
        <x:v>682</x:v>
      </x:c>
      <x:c r="C148" s="5" t="s">
        <x:v>683</x:v>
      </x:c>
      <x:c r="D148" s="5" t="s">
        <x:v>684</x:v>
      </x:c>
      <x:c r="E148" s="5" t="s">
        <x:v>685</x:v>
      </x:c>
      <x:c r="F148" s="5" t="s">
        <x:v>130</x:v>
      </x:c>
      <x:c r="G148" s="5" t="s">
        <x:v>27</x:v>
      </x:c>
      <x:c r="H148" s="5" t="s">
        <x:v>25</x:v>
      </x:c>
      <x:c r="I148" s="5" t="s">
        <x:v>686</x:v>
      </x:c>
      <x:c r="J148" s="5" t="s">
        <x:v>687</x:v>
      </x:c>
      <x:c r="K148" s="5" t="s">
        <x:v>28</x:v>
      </x:c>
      <x:c r="L148" s="6"/>
      <x:c r="M148" s="6"/>
      <x:c r="N148" s="6"/>
      <x:c r="O148" s="5"/>
      <x:c r="P148" s="5"/>
    </x:row>
    <x:row r="149">
      <x:c r="A149" s="5" t="s">
        <x:v>671</x:v>
      </x:c>
      <x:c r="B149" s="5" t="s">
        <x:v>688</x:v>
      </x:c>
      <x:c r="C149" s="5" t="s">
        <x:v>689</x:v>
      </x:c>
      <x:c r="D149" s="5" t="s">
        <x:v>690</x:v>
      </x:c>
      <x:c r="E149" s="5" t="s">
        <x:v>691</x:v>
      </x:c>
      <x:c r="F149" s="5" t="s">
        <x:v>130</x:v>
      </x:c>
      <x:c r="G149" s="5" t="s">
        <x:v>30</x:v>
      </x:c>
      <x:c r="H149" s="5" t="s">
        <x:v>25</x:v>
      </x:c>
      <x:c r="I149" s="5" t="s">
        <x:v>686</x:v>
      </x:c>
      <x:c r="J149" s="5" t="s">
        <x:v>692</x:v>
      </x:c>
      <x:c r="K149" s="5" t="s">
        <x:v>28</x:v>
      </x:c>
      <x:c r="L149" s="6"/>
      <x:c r="M149" s="6"/>
      <x:c r="N149" s="6"/>
      <x:c r="O149" s="5"/>
      <x:c r="P149" s="5"/>
    </x:row>
    <x:row r="150" ht="27.600000381469727">
      <x:c r="A150" s="5" t="s">
        <x:v>671</x:v>
      </x:c>
      <x:c r="B150" s="5" t="s">
        <x:v>693</x:v>
      </x:c>
      <x:c r="C150" s="5" t="s">
        <x:v>694</x:v>
      </x:c>
      <x:c r="D150" s="5" t="s">
        <x:v>695</x:v>
      </x:c>
      <x:c r="E150" s="5" t="s">
        <x:v>696</x:v>
      </x:c>
      <x:c r="F150" s="5" t="s">
        <x:v>130</x:v>
      </x:c>
      <x:c r="G150" s="5" t="s">
        <x:v>27</x:v>
      </x:c>
      <x:c r="H150" s="5" t="s">
        <x:v>25</x:v>
      </x:c>
      <x:c r="I150" s="5" t="s">
        <x:v>686</x:v>
      </x:c>
      <x:c r="J150" s="5" t="s">
        <x:v>687</x:v>
      </x:c>
      <x:c r="K150" s="5" t="s">
        <x:v>28</x:v>
      </x:c>
      <x:c r="L150" s="6"/>
      <x:c r="M150" s="6"/>
      <x:c r="N150" s="6"/>
      <x:c r="O150" s="5"/>
      <x:c r="P150" s="5"/>
    </x:row>
    <x:row r="151">
      <x:c r="A151" s="5" t="s">
        <x:v>671</x:v>
      </x:c>
      <x:c r="B151" s="5" t="s">
        <x:v>697</x:v>
      </x:c>
      <x:c r="C151" s="5" t="s">
        <x:v>698</x:v>
      </x:c>
      <x:c r="D151" s="5" t="s">
        <x:v>699</x:v>
      </x:c>
      <x:c r="E151" s="5" t="s">
        <x:v>700</x:v>
      </x:c>
      <x:c r="F151" s="5" t="s">
        <x:v>130</x:v>
      </x:c>
      <x:c r="G151" s="5" t="s">
        <x:v>27</x:v>
      </x:c>
      <x:c r="H151" s="5" t="s">
        <x:v>25</x:v>
      </x:c>
      <x:c r="I151" s="5" t="s">
        <x:v>701</x:v>
      </x:c>
      <x:c r="J151" s="5" t="s">
        <x:v>702</x:v>
      </x:c>
      <x:c r="K151" s="5" t="s">
        <x:v>28</x:v>
      </x:c>
      <x:c r="L151" s="6"/>
      <x:c r="M151" s="6"/>
      <x:c r="N151" s="6"/>
      <x:c r="O151" s="5"/>
      <x:c r="P151" s="5"/>
    </x:row>
    <x:row r="152" ht="27.600000381469727">
      <x:c r="A152" s="5" t="s">
        <x:v>671</x:v>
      </x:c>
      <x:c r="B152" s="5" t="s">
        <x:v>703</x:v>
      </x:c>
      <x:c r="C152" s="5" t="s">
        <x:v>184</x:v>
      </x:c>
      <x:c r="D152" s="5" t="s">
        <x:v>704</x:v>
      </x:c>
      <x:c r="E152" s="5" t="s">
        <x:v>705</x:v>
      </x:c>
      <x:c r="F152" s="5" t="s">
        <x:v>65</x:v>
      </x:c>
      <x:c r="G152" s="5" t="s">
        <x:v>27</x:v>
      </x:c>
      <x:c r="H152" s="5" t="s">
        <x:v>25</x:v>
      </x:c>
      <x:c r="I152" s="5" t="s">
        <x:v>191</x:v>
      </x:c>
      <x:c r="J152" s="5" t="s">
        <x:v>14</x:v>
      </x:c>
      <x:c r="K152" s="5" t="s">
        <x:v>28</x:v>
      </x:c>
      <x:c r="L152" s="6"/>
      <x:c r="M152" s="6"/>
      <x:c r="N152" s="6"/>
      <x:c r="O152" s="5"/>
      <x:c r="P152" s="5"/>
    </x:row>
    <x:row r="153" ht="27.600000381469727">
      <x:c r="A153" s="5" t="s">
        <x:v>671</x:v>
      </x:c>
      <x:c r="B153" s="5" t="s">
        <x:v>706</x:v>
      </x:c>
      <x:c r="C153" s="5" t="s">
        <x:v>258</x:v>
      </x:c>
      <x:c r="D153" s="5" t="s">
        <x:v>707</x:v>
      </x:c>
      <x:c r="E153" s="5" t="s">
        <x:v>708</x:v>
      </x:c>
      <x:c r="F153" s="5" t="s">
        <x:v>65</x:v>
      </x:c>
      <x:c r="G153" s="5" t="s">
        <x:v>27</x:v>
      </x:c>
      <x:c r="H153" s="5" t="s">
        <x:v>25</x:v>
      </x:c>
      <x:c r="I153" s="5" t="s">
        <x:v>709</x:v>
      </x:c>
      <x:c r="J153" s="5" t="s">
        <x:v>14</x:v>
      </x:c>
      <x:c r="K153" s="5" t="s">
        <x:v>28</x:v>
      </x:c>
      <x:c r="L153" s="6"/>
      <x:c r="M153" s="6"/>
      <x:c r="N153" s="6"/>
      <x:c r="O153" s="5"/>
      <x:c r="P153" s="5"/>
    </x:row>
    <x:row r="154">
      <x:c r="A154" s="5" t="s">
        <x:v>671</x:v>
      </x:c>
      <x:c r="B154" s="5" t="s">
        <x:v>710</x:v>
      </x:c>
      <x:c r="C154" s="5" t="s">
        <x:v>448</x:v>
      </x:c>
      <x:c r="D154" s="5" t="s">
        <x:v>711</x:v>
      </x:c>
      <x:c r="E154" s="5" t="s">
        <x:v>712</x:v>
      </x:c>
      <x:c r="F154" s="5" t="s">
        <x:v>130</x:v>
      </x:c>
      <x:c r="G154" s="5" t="s">
        <x:v>27</x:v>
      </x:c>
      <x:c r="H154" s="5" t="s">
        <x:v>25</x:v>
      </x:c>
      <x:c r="I154" s="5" t="s">
        <x:v>713</x:v>
      </x:c>
      <x:c r="J154" s="5" t="s">
        <x:v>714</x:v>
      </x:c>
      <x:c r="K154" s="5" t="s">
        <x:v>28</x:v>
      </x:c>
      <x:c r="L154" s="6"/>
      <x:c r="M154" s="6"/>
      <x:c r="N154" s="6"/>
      <x:c r="O154" s="5"/>
      <x:c r="P154" s="5"/>
    </x:row>
    <x:row r="155" ht="27.600000381469727">
      <x:c r="A155" s="5" t="s">
        <x:v>671</x:v>
      </x:c>
      <x:c r="B155" s="5" t="s">
        <x:v>715</x:v>
      </x:c>
      <x:c r="C155" s="5" t="s">
        <x:v>716</x:v>
      </x:c>
      <x:c r="D155" s="5" t="s">
        <x:v>717</x:v>
      </x:c>
      <x:c r="E155" s="5" t="s">
        <x:v>718</x:v>
      </x:c>
      <x:c r="F155" s="5" t="s">
        <x:v>65</x:v>
      </x:c>
      <x:c r="G155" s="5" t="s">
        <x:v>27</x:v>
      </x:c>
      <x:c r="H155" s="5" t="s">
        <x:v>25</x:v>
      </x:c>
      <x:c r="I155" s="5" t="s">
        <x:v>719</x:v>
      </x:c>
      <x:c r="J155" s="5" t="s">
        <x:v>720</x:v>
      </x:c>
      <x:c r="K155" s="5" t="s">
        <x:v>28</x:v>
      </x:c>
      <x:c r="L155" s="6"/>
      <x:c r="M155" s="6"/>
      <x:c r="N155" s="6"/>
      <x:c r="O155" s="5"/>
      <x:c r="P155" s="5"/>
    </x:row>
    <x:row r="156" ht="41.400001525878906">
      <x:c r="A156" s="5" t="s">
        <x:v>671</x:v>
      </x:c>
      <x:c r="B156" s="5" t="s">
        <x:v>721</x:v>
      </x:c>
      <x:c r="C156" s="5" t="s">
        <x:v>722</x:v>
      </x:c>
      <x:c r="D156" s="5" t="s">
        <x:v>723</x:v>
      </x:c>
      <x:c r="E156" s="5" t="s">
        <x:v>724</x:v>
      </x:c>
      <x:c r="F156" s="5" t="s">
        <x:v>59</x:v>
      </x:c>
      <x:c r="G156" s="5" t="s">
        <x:v>30</x:v>
      </x:c>
      <x:c r="H156" s="5" t="s">
        <x:v>25</x:v>
      </x:c>
      <x:c r="I156" s="5" t="s">
        <x:v>725</x:v>
      </x:c>
      <x:c r="J156" s="5" t="s">
        <x:v>726</x:v>
      </x:c>
      <x:c r="K156" s="5" t="s">
        <x:v>28</x:v>
      </x:c>
      <x:c r="L156" s="6"/>
      <x:c r="M156" s="6"/>
      <x:c r="N156" s="6"/>
      <x:c r="O156" s="5"/>
      <x:c r="P156" s="5"/>
    </x:row>
    <x:row r="157" ht="27.600000381469727">
      <x:c r="A157" s="5" t="s">
        <x:v>671</x:v>
      </x:c>
      <x:c r="B157" s="5" t="s">
        <x:v>727</x:v>
      </x:c>
      <x:c r="C157" s="5" t="s">
        <x:v>728</x:v>
      </x:c>
      <x:c r="D157" s="5" t="s">
        <x:v>729</x:v>
      </x:c>
      <x:c r="E157" s="5" t="s">
        <x:v>730</x:v>
      </x:c>
      <x:c r="F157" s="5" t="s">
        <x:v>65</x:v>
      </x:c>
      <x:c r="G157" s="5" t="s">
        <x:v>27</x:v>
      </x:c>
      <x:c r="H157" s="5" t="s">
        <x:v>25</x:v>
      </x:c>
      <x:c r="I157" s="5" t="s">
        <x:v>731</x:v>
      </x:c>
      <x:c r="J157" s="5" t="s">
        <x:v>14</x:v>
      </x:c>
      <x:c r="K157" s="5" t="s">
        <x:v>28</x:v>
      </x:c>
      <x:c r="L157" s="6"/>
      <x:c r="M157" s="6"/>
      <x:c r="N157" s="6"/>
      <x:c r="O157" s="5"/>
      <x:c r="P157" s="5"/>
    </x:row>
    <x:row r="158" ht="27.600000381469727">
      <x:c r="A158" s="5" t="s">
        <x:v>671</x:v>
      </x:c>
      <x:c r="B158" s="5" t="s">
        <x:v>732</x:v>
      </x:c>
      <x:c r="C158" s="5" t="s">
        <x:v>728</x:v>
      </x:c>
      <x:c r="D158" s="5" t="s">
        <x:v>733</x:v>
      </x:c>
      <x:c r="E158" s="5" t="s">
        <x:v>734</x:v>
      </x:c>
      <x:c r="F158" s="5" t="s">
        <x:v>65</x:v>
      </x:c>
      <x:c r="G158" s="5" t="s">
        <x:v>27</x:v>
      </x:c>
      <x:c r="H158" s="5" t="s">
        <x:v>25</x:v>
      </x:c>
      <x:c r="I158" s="5" t="s">
        <x:v>735</x:v>
      </x:c>
      <x:c r="J158" s="5" t="s">
        <x:v>736</x:v>
      </x:c>
      <x:c r="K158" s="5" t="s">
        <x:v>28</x:v>
      </x:c>
      <x:c r="L158" s="6"/>
      <x:c r="M158" s="6"/>
      <x:c r="N158" s="6"/>
      <x:c r="O158" s="5"/>
      <x:c r="P158" s="5"/>
    </x:row>
    <x:row r="159" ht="27.600000381469727">
      <x:c r="A159" s="5" t="s">
        <x:v>671</x:v>
      </x:c>
      <x:c r="B159" s="5" t="s">
        <x:v>737</x:v>
      </x:c>
      <x:c r="C159" s="5" t="s">
        <x:v>728</x:v>
      </x:c>
      <x:c r="D159" s="5" t="s">
        <x:v>738</x:v>
      </x:c>
      <x:c r="E159" s="5" t="s">
        <x:v>739</x:v>
      </x:c>
      <x:c r="F159" s="5" t="s">
        <x:v>65</x:v>
      </x:c>
      <x:c r="G159" s="5" t="s">
        <x:v>27</x:v>
      </x:c>
      <x:c r="H159" s="5" t="s">
        <x:v>25</x:v>
      </x:c>
      <x:c r="I159" s="5" t="s">
        <x:v>740</x:v>
      </x:c>
      <x:c r="J159" s="5" t="s">
        <x:v>665</x:v>
      </x:c>
      <x:c r="K159" s="5" t="s">
        <x:v>28</x:v>
      </x:c>
      <x:c r="L159" s="6"/>
      <x:c r="M159" s="6"/>
      <x:c r="N159" s="6"/>
      <x:c r="O159" s="5"/>
      <x:c r="P159" s="5"/>
    </x:row>
    <x:row r="160" ht="27.600000381469727">
      <x:c r="A160" s="5" t="s">
        <x:v>671</x:v>
      </x:c>
      <x:c r="B160" s="5" t="s">
        <x:v>741</x:v>
      </x:c>
      <x:c r="C160" s="5" t="s">
        <x:v>742</x:v>
      </x:c>
      <x:c r="D160" s="5" t="s">
        <x:v>743</x:v>
      </x:c>
      <x:c r="E160" s="5" t="s">
        <x:v>744</x:v>
      </x:c>
      <x:c r="F160" s="5" t="s">
        <x:v>65</x:v>
      </x:c>
      <x:c r="G160" s="5" t="s">
        <x:v>27</x:v>
      </x:c>
      <x:c r="H160" s="5" t="s">
        <x:v>25</x:v>
      </x:c>
      <x:c r="I160" s="5" t="s">
        <x:v>745</x:v>
      </x:c>
      <x:c r="J160" s="5" t="s">
        <x:v>720</x:v>
      </x:c>
      <x:c r="K160" s="5" t="s">
        <x:v>28</x:v>
      </x:c>
      <x:c r="L160" s="6"/>
      <x:c r="M160" s="6"/>
      <x:c r="N160" s="6"/>
      <x:c r="O160" s="5"/>
      <x:c r="P160" s="5"/>
    </x:row>
    <x:row r="161" ht="27.600000381469727">
      <x:c r="A161" s="5" t="s">
        <x:v>671</x:v>
      </x:c>
      <x:c r="B161" s="5" t="s">
        <x:v>746</x:v>
      </x:c>
      <x:c r="C161" s="5" t="s">
        <x:v>747</x:v>
      </x:c>
      <x:c r="D161" s="5" t="s">
        <x:v>748</x:v>
      </x:c>
      <x:c r="E161" s="5" t="s">
        <x:v>749</x:v>
      </x:c>
      <x:c r="F161" s="5" t="s">
        <x:v>65</x:v>
      </x:c>
      <x:c r="G161" s="5" t="s">
        <x:v>30</x:v>
      </x:c>
      <x:c r="H161" s="5" t="s">
        <x:v>25</x:v>
      </x:c>
      <x:c r="I161" s="5" t="s">
        <x:v>750</x:v>
      </x:c>
      <x:c r="J161" s="5" t="s">
        <x:v>751</x:v>
      </x:c>
      <x:c r="K161" s="5" t="s">
        <x:v>28</x:v>
      </x:c>
      <x:c r="L161" s="6"/>
      <x:c r="M161" s="6"/>
      <x:c r="N161" s="6"/>
      <x:c r="O161" s="5"/>
      <x:c r="P161" s="5"/>
    </x:row>
  </x:sheetData>
  <x:conditionalFormatting sqref="G2:G161">
    <x:cfRule type="expression" dxfId="14" priority="7">
      <x:formula>G2="CRITICAL"</x:formula>
    </x:cfRule>
    <x:cfRule type="expression" dxfId="13" priority="8">
      <x:formula>G2="HIGH"</x:formula>
    </x:cfRule>
  </x:conditionalFormatting>
  <x:conditionalFormatting sqref="H2:H161">
    <x:cfRule type="expression" dxfId="12" priority="1">
      <x:formula>H2="PASS"</x:formula>
    </x:cfRule>
    <x:cfRule type="expression" dxfId="11" priority="2">
      <x:formula>H2="FAIL"</x:formula>
    </x:cfRule>
    <x:cfRule type="expression" dxfId="10" priority="3">
      <x:formula>H2="BLOCKED"</x:formula>
    </x:cfRule>
    <x:cfRule type="expression" dxfId="9" priority="4">
      <x:formula>H2="IN_PROGRESS"</x:formula>
    </x:cfRule>
    <x:cfRule type="expression" dxfId="8" priority="5">
      <x:formula>H2="NOT_STARTED"</x:formula>
    </x:cfRule>
    <x:cfRule type="expression" dxfId="7" priority="6">
      <x:formula>H2="NOT_APPLICABLE"</x:formula>
    </x:cfRule>
  </x:conditionalFormatting>
  <x:dataValidations count="3">
    <x:dataValidation type="list" sqref="H2:H161">
      <x:formula1>"NOT_STARTED,IN_PROGRESS,PASS,FAIL,BLOCKED,NOT_APPLICABLE"</x:formula1>
    </x:dataValidation>
    <x:dataValidation type="list" sqref="G2:G161">
      <x:formula1>"CRITICAL,HIGH,MEDIUM,LOW"</x:formula1>
    </x:dataValidation>
    <x:dataValidation type="list" sqref="K2:K161">
      <x:formula1>"Researcher,ChatGPT Support,Engineer Support,Researcher + Support"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07ab8697094506"/>
  </x:tableParts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8" customWidth="1"/>
    <x:col min="2" max="2" width="42" customWidth="1"/>
    <x:col min="3" max="3" width="18" customWidth="1"/>
    <x:col min="4" max="4" width="12" customWidth="1"/>
    <x:col min="5" max="5" width="9" customWidth="1"/>
    <x:col min="6" max="6" width="10" customWidth="1"/>
    <x:col min="7" max="7" width="9" customWidth="1"/>
    <x:col min="8" max="8" width="10" customWidth="1"/>
    <x:col min="9" max="9" width="12" customWidth="1"/>
    <x:col min="10" max="10" width="46" customWidth="1"/>
    <x:col min="11" max="11" width="40" customWidth="1"/>
    <x:col min="12" max="12" width="22" customWidth="1"/>
    <x:col min="13" max="14" width="13" customWidth="1"/>
    <x:col min="15" max="15" width="18" customWidth="1"/>
    <x:col min="16" max="16" width="30" customWidth="1"/>
  </x:cols>
  <x:sheetData>
    <x:row r="1" ht="27.600000381469727">
      <x:c r="A1" s="3" t="s">
        <x:v>10</x:v>
      </x:c>
      <x:c r="B1" s="3" t="s">
        <x:v>11</x:v>
      </x:c>
      <x:c r="C1" s="3" t="s">
        <x:v>7</x:v>
      </x:c>
      <x:c r="D1" s="3" t="s">
        <x:v>752</x:v>
      </x:c>
      <x:c r="E1" s="3" t="s">
        <x:v>14</x:v>
      </x:c>
      <x:c r="F1" s="3" t="s">
        <x:v>753</x:v>
      </x:c>
      <x:c r="G1" s="3" t="s">
        <x:v>35</x:v>
      </x:c>
      <x:c r="H1" s="3" t="s">
        <x:v>39</x:v>
      </x:c>
      <x:c r="I1" s="3" t="s">
        <x:v>754</x:v>
      </x:c>
      <x:c r="J1" s="3" t="s">
        <x:v>755</x:v>
      </x:c>
      <x:c r="K1" s="3" t="s">
        <x:v>756</x:v>
      </x:c>
      <x:c r="L1" s="3" t="s">
        <x:v>757</x:v>
      </x:c>
      <x:c r="M1" s="3" t="s">
        <x:v>49</x:v>
      </x:c>
      <x:c r="N1" s="3" t="s">
        <x:v>758</x:v>
      </x:c>
      <x:c r="O1" s="3" t="s">
        <x:v>24</x:v>
      </x:c>
      <x:c r="P1" s="3" t="s">
        <x:v>53</x:v>
      </x:c>
    </x:row>
    <x:row r="2" ht="27.600000381469727">
      <x:c r="A2" s="5" t="s">
        <x:v>54</x:v>
      </x:c>
      <x:c r="B2" s="5" t="s">
        <x:v>759</x:v>
      </x:c>
      <x:c r="C2" s="5" t="s">
        <x:v>29</x:v>
      </x:c>
      <x:c r="D2" s="7" t="n">
        <x:f t="shared" ref="D2:D11" si="0">IF(F2=0,0,E2/F2)</x:f>
        <x:v>0.7142857142857143</x:v>
      </x:c>
      <x:c r="E2" s="5" t="n">
        <x:f>COUNTIFS(Detailed_Tasks!$A:$A,A2,Detailed_Tasks!$H:$H,"PASS")</x:f>
        <x:v>10</x:v>
      </x:c>
      <x:c r="F2" s="5" t="n">
        <x:f>COUNTIF(Detailed_Tasks!$A:$A,A2)</x:f>
        <x:v>14</x:v>
      </x:c>
      <x:c r="G2" s="5" t="n">
        <x:f>COUNTIFS(Detailed_Tasks!$A:$A,A2,Detailed_Tasks!$H:$H,"FAIL")</x:f>
        <x:v>0</x:v>
      </x:c>
      <x:c r="H2" s="5" t="n">
        <x:f>COUNTIFS(Detailed_Tasks!$A:$A,A2,Detailed_Tasks!$H:$H,"BLOCKED")</x:f>
        <x:v>0</x:v>
      </x:c>
      <x:c r="I2" s="5" t="n">
        <x:f>COUNTIFS(Detailed_Tasks!$A:$A,A2,Detailed_Tasks!$H:$H,"IN_PROGRESS")</x:f>
        <x:v>0</x:v>
      </x:c>
      <x:c r="J2" s="5" t="s">
        <x:v>760</x:v>
      </x:c>
      <x:c r="K2" s="5" t="s">
        <x:v>761</x:v>
      </x:c>
      <x:c r="L2" s="5" t="s">
        <x:v>762</x:v>
      </x:c>
      <x:c r="M2" s="5"/>
      <x:c r="N2" s="5"/>
      <x:c r="O2" s="5" t="s">
        <x:v>28</x:v>
      </x:c>
      <x:c r="P2" s="5" t="str">
        <x:v>Current Git record PASS: branch=implementation/gate2; observed HEAD=beb4e83. Governance manifest creation PASS. Manifest schema/content verification, baseline commit/tag and S0 closure remain pending.</x:v>
      </x:c>
    </x:row>
    <x:row r="3" ht="41.400001525878906">
      <x:c r="A3" s="5" t="s">
        <x:v>119</x:v>
      </x:c>
      <x:c r="B3" s="5" t="s">
        <x:v>763</x:v>
      </x:c>
      <x:c r="C3" s="5" t="s">
        <x:v>26</x:v>
      </x:c>
      <x:c r="D3" s="7">
        <x:f t="shared" si="0"/>
        <x:v>0</x:v>
      </x:c>
      <x:c r="E3" s="5" t="n">
        <x:f>COUNTIFS(Detailed_Tasks!$A:$A,A3,Detailed_Tasks!$H:$H,"PASS")</x:f>
        <x:v>0</x:v>
      </x:c>
      <x:c r="F3" s="5" t="n">
        <x:f>COUNTIF(Detailed_Tasks!$A:$A,A3)</x:f>
        <x:v>16</x:v>
      </x:c>
      <x:c r="G3" s="5" t="n">
        <x:f>COUNTIFS(Detailed_Tasks!$A:$A,A3,Detailed_Tasks!$H:$H,"FAIL")</x:f>
        <x:v>0</x:v>
      </x:c>
      <x:c r="H3" s="5" t="n">
        <x:f>COUNTIFS(Detailed_Tasks!$A:$A,A3,Detailed_Tasks!$H:$H,"BLOCKED")</x:f>
        <x:v>0</x:v>
      </x:c>
      <x:c r="I3" s="5" t="n">
        <x:f>COUNTIFS(Detailed_Tasks!$A:$A,A3,Detailed_Tasks!$H:$H,"IN_PROGRESS")</x:f>
        <x:v>0</x:v>
      </x:c>
      <x:c r="J3" s="5" t="s">
        <x:v>764</x:v>
      </x:c>
      <x:c r="K3" s="5" t="s">
        <x:v>765</x:v>
      </x:c>
      <x:c r="L3" s="5" t="s">
        <x:v>118</x:v>
      </x:c>
      <x:c r="M3" s="5"/>
      <x:c r="N3" s="5"/>
      <x:c r="O3" s="5" t="s">
        <x:v>28</x:v>
      </x:c>
      <x:c r="P3" s="5"/>
    </x:row>
    <x:row r="4" ht="41.400001525878906">
      <x:c r="A4" s="5" t="s">
        <x:v>203</x:v>
      </x:c>
      <x:c r="B4" s="5" t="s">
        <x:v>766</x:v>
      </x:c>
      <x:c r="C4" s="5" t="s">
        <x:v>26</x:v>
      </x:c>
      <x:c r="D4" s="7">
        <x:f t="shared" si="0"/>
        <x:v>0</x:v>
      </x:c>
      <x:c r="E4" s="5" t="n">
        <x:f>COUNTIFS(Detailed_Tasks!$A:$A,A4,Detailed_Tasks!$H:$H,"PASS")</x:f>
        <x:v>0</x:v>
      </x:c>
      <x:c r="F4" s="5" t="n">
        <x:f>COUNTIF(Detailed_Tasks!$A:$A,A4)</x:f>
        <x:v>16</x:v>
      </x:c>
      <x:c r="G4" s="5" t="n">
        <x:f>COUNTIFS(Detailed_Tasks!$A:$A,A4,Detailed_Tasks!$H:$H,"FAIL")</x:f>
        <x:v>0</x:v>
      </x:c>
      <x:c r="H4" s="5" t="n">
        <x:f>COUNTIFS(Detailed_Tasks!$A:$A,A4,Detailed_Tasks!$H:$H,"BLOCKED")</x:f>
        <x:v>0</x:v>
      </x:c>
      <x:c r="I4" s="5" t="n">
        <x:f>COUNTIFS(Detailed_Tasks!$A:$A,A4,Detailed_Tasks!$H:$H,"IN_PROGRESS")</x:f>
        <x:v>0</x:v>
      </x:c>
      <x:c r="J4" s="5" t="s">
        <x:v>767</x:v>
      </x:c>
      <x:c r="K4" s="5" t="s">
        <x:v>768</x:v>
      </x:c>
      <x:c r="L4" s="5" t="s">
        <x:v>769</x:v>
      </x:c>
      <x:c r="M4" s="5"/>
      <x:c r="N4" s="5"/>
      <x:c r="O4" s="5" t="s">
        <x:v>28</x:v>
      </x:c>
      <x:c r="P4" s="5"/>
    </x:row>
    <x:row r="5" ht="27.600000381469727">
      <x:c r="A5" s="5" t="s">
        <x:v>277</x:v>
      </x:c>
      <x:c r="B5" s="5" t="s">
        <x:v>770</x:v>
      </x:c>
      <x:c r="C5" s="5" t="s">
        <x:v>26</x:v>
      </x:c>
      <x:c r="D5" s="7">
        <x:f t="shared" si="0"/>
        <x:v>0</x:v>
      </x:c>
      <x:c r="E5" s="5" t="n">
        <x:f>COUNTIFS(Detailed_Tasks!$A:$A,A5,Detailed_Tasks!$H:$H,"PASS")</x:f>
        <x:v>0</x:v>
      </x:c>
      <x:c r="F5" s="5" t="n">
        <x:f>COUNTIF(Detailed_Tasks!$A:$A,A5)</x:f>
        <x:v>14</x:v>
      </x:c>
      <x:c r="G5" s="5" t="n">
        <x:f>COUNTIFS(Detailed_Tasks!$A:$A,A5,Detailed_Tasks!$H:$H,"FAIL")</x:f>
        <x:v>0</x:v>
      </x:c>
      <x:c r="H5" s="5" t="n">
        <x:f>COUNTIFS(Detailed_Tasks!$A:$A,A5,Detailed_Tasks!$H:$H,"BLOCKED")</x:f>
        <x:v>0</x:v>
      </x:c>
      <x:c r="I5" s="5" t="n">
        <x:f>COUNTIFS(Detailed_Tasks!$A:$A,A5,Detailed_Tasks!$H:$H,"IN_PROGRESS")</x:f>
        <x:v>0</x:v>
      </x:c>
      <x:c r="J5" s="5" t="s">
        <x:v>771</x:v>
      </x:c>
      <x:c r="K5" s="5" t="s">
        <x:v>772</x:v>
      </x:c>
      <x:c r="L5" s="5" t="s">
        <x:v>773</x:v>
      </x:c>
      <x:c r="M5" s="5"/>
      <x:c r="N5" s="5"/>
      <x:c r="O5" s="5" t="s">
        <x:v>28</x:v>
      </x:c>
      <x:c r="P5" s="5"/>
    </x:row>
    <x:row r="6" ht="41.400001525878906">
      <x:c r="A6" s="5" t="s">
        <x:v>343</x:v>
      </x:c>
      <x:c r="B6" s="5" t="s">
        <x:v>774</x:v>
      </x:c>
      <x:c r="C6" s="5" t="s">
        <x:v>26</x:v>
      </x:c>
      <x:c r="D6" s="7">
        <x:f t="shared" si="0"/>
        <x:v>0</x:v>
      </x:c>
      <x:c r="E6" s="5" t="n">
        <x:f>COUNTIFS(Detailed_Tasks!$A:$A,A6,Detailed_Tasks!$H:$H,"PASS")</x:f>
        <x:v>0</x:v>
      </x:c>
      <x:c r="F6" s="5" t="n">
        <x:f>COUNTIF(Detailed_Tasks!$A:$A,A6)</x:f>
        <x:v>20</x:v>
      </x:c>
      <x:c r="G6" s="5" t="n">
        <x:f>COUNTIFS(Detailed_Tasks!$A:$A,A6,Detailed_Tasks!$H:$H,"FAIL")</x:f>
        <x:v>0</x:v>
      </x:c>
      <x:c r="H6" s="5" t="n">
        <x:f>COUNTIFS(Detailed_Tasks!$A:$A,A6,Detailed_Tasks!$H:$H,"BLOCKED")</x:f>
        <x:v>0</x:v>
      </x:c>
      <x:c r="I6" s="5" t="n">
        <x:f>COUNTIFS(Detailed_Tasks!$A:$A,A6,Detailed_Tasks!$H:$H,"IN_PROGRESS")</x:f>
        <x:v>0</x:v>
      </x:c>
      <x:c r="J6" s="5" t="s">
        <x:v>775</x:v>
      </x:c>
      <x:c r="K6" s="5" t="s">
        <x:v>776</x:v>
      </x:c>
      <x:c r="L6" s="5" t="s">
        <x:v>777</x:v>
      </x:c>
      <x:c r="M6" s="5"/>
      <x:c r="N6" s="5"/>
      <x:c r="O6" s="5" t="s">
        <x:v>28</x:v>
      </x:c>
      <x:c r="P6" s="5"/>
    </x:row>
    <x:row r="7" ht="27.600000381469727">
      <x:c r="A7" s="5" t="s">
        <x:v>426</x:v>
      </x:c>
      <x:c r="B7" s="5" t="s">
        <x:v>778</x:v>
      </x:c>
      <x:c r="C7" s="5" t="s">
        <x:v>26</x:v>
      </x:c>
      <x:c r="D7" s="7">
        <x:f t="shared" si="0"/>
        <x:v>0</x:v>
      </x:c>
      <x:c r="E7" s="5" t="n">
        <x:f>COUNTIFS(Detailed_Tasks!$A:$A,A7,Detailed_Tasks!$H:$H,"PASS")</x:f>
        <x:v>0</x:v>
      </x:c>
      <x:c r="F7" s="5" t="n">
        <x:f>COUNTIF(Detailed_Tasks!$A:$A,A7)</x:f>
        <x:v>10</x:v>
      </x:c>
      <x:c r="G7" s="5" t="n">
        <x:f>COUNTIFS(Detailed_Tasks!$A:$A,A7,Detailed_Tasks!$H:$H,"FAIL")</x:f>
        <x:v>0</x:v>
      </x:c>
      <x:c r="H7" s="5" t="n">
        <x:f>COUNTIFS(Detailed_Tasks!$A:$A,A7,Detailed_Tasks!$H:$H,"BLOCKED")</x:f>
        <x:v>0</x:v>
      </x:c>
      <x:c r="I7" s="5" t="n">
        <x:f>COUNTIFS(Detailed_Tasks!$A:$A,A7,Detailed_Tasks!$H:$H,"IN_PROGRESS")</x:f>
        <x:v>0</x:v>
      </x:c>
      <x:c r="J7" s="5" t="s">
        <x:v>779</x:v>
      </x:c>
      <x:c r="K7" s="5" t="s">
        <x:v>780</x:v>
      </x:c>
      <x:c r="L7" s="5" t="s">
        <x:v>781</x:v>
      </x:c>
      <x:c r="M7" s="5"/>
      <x:c r="N7" s="5"/>
      <x:c r="O7" s="5" t="s">
        <x:v>28</x:v>
      </x:c>
      <x:c r="P7" s="5"/>
    </x:row>
    <x:row r="8" ht="27.600000381469727">
      <x:c r="A8" s="5" t="s">
        <x:v>468</x:v>
      </x:c>
      <x:c r="B8" s="5" t="s">
        <x:v>782</x:v>
      </x:c>
      <x:c r="C8" s="5" t="s">
        <x:v>26</x:v>
      </x:c>
      <x:c r="D8" s="7">
        <x:f t="shared" si="0"/>
        <x:v>0</x:v>
      </x:c>
      <x:c r="E8" s="5" t="n">
        <x:f>COUNTIFS(Detailed_Tasks!$A:$A,A8,Detailed_Tasks!$H:$H,"PASS")</x:f>
        <x:v>0</x:v>
      </x:c>
      <x:c r="F8" s="5" t="n">
        <x:f>COUNTIF(Detailed_Tasks!$A:$A,A8)</x:f>
        <x:v>16</x:v>
      </x:c>
      <x:c r="G8" s="5" t="n">
        <x:f>COUNTIFS(Detailed_Tasks!$A:$A,A8,Detailed_Tasks!$H:$H,"FAIL")</x:f>
        <x:v>0</x:v>
      </x:c>
      <x:c r="H8" s="5" t="n">
        <x:f>COUNTIFS(Detailed_Tasks!$A:$A,A8,Detailed_Tasks!$H:$H,"BLOCKED")</x:f>
        <x:v>0</x:v>
      </x:c>
      <x:c r="I8" s="5" t="n">
        <x:f>COUNTIFS(Detailed_Tasks!$A:$A,A8,Detailed_Tasks!$H:$H,"IN_PROGRESS")</x:f>
        <x:v>0</x:v>
      </x:c>
      <x:c r="J8" s="5" t="s">
        <x:v>783</x:v>
      </x:c>
      <x:c r="K8" s="5" t="s">
        <x:v>784</x:v>
      </x:c>
      <x:c r="L8" s="5" t="s">
        <x:v>785</x:v>
      </x:c>
      <x:c r="M8" s="5"/>
      <x:c r="N8" s="5"/>
      <x:c r="O8" s="5" t="s">
        <x:v>28</x:v>
      </x:c>
      <x:c r="P8" s="5"/>
    </x:row>
    <x:row r="9" ht="27.600000381469727">
      <x:c r="A9" s="5" t="s">
        <x:v>533</x:v>
      </x:c>
      <x:c r="B9" s="5" t="s">
        <x:v>786</x:v>
      </x:c>
      <x:c r="C9" s="5" t="s">
        <x:v>26</x:v>
      </x:c>
      <x:c r="D9" s="7">
        <x:f t="shared" si="0"/>
        <x:v>0</x:v>
      </x:c>
      <x:c r="E9" s="5" t="n">
        <x:f>COUNTIFS(Detailed_Tasks!$A:$A,A9,Detailed_Tasks!$H:$H,"PASS")</x:f>
        <x:v>0</x:v>
      </x:c>
      <x:c r="F9" s="5" t="n">
        <x:f>COUNTIF(Detailed_Tasks!$A:$A,A9)</x:f>
        <x:v>27</x:v>
      </x:c>
      <x:c r="G9" s="5" t="n">
        <x:f>COUNTIFS(Detailed_Tasks!$A:$A,A9,Detailed_Tasks!$H:$H,"FAIL")</x:f>
        <x:v>0</x:v>
      </x:c>
      <x:c r="H9" s="5" t="n">
        <x:f>COUNTIFS(Detailed_Tasks!$A:$A,A9,Detailed_Tasks!$H:$H,"BLOCKED")</x:f>
        <x:v>0</x:v>
      </x:c>
      <x:c r="I9" s="5" t="n">
        <x:f>COUNTIFS(Detailed_Tasks!$A:$A,A9,Detailed_Tasks!$H:$H,"IN_PROGRESS")</x:f>
        <x:v>0</x:v>
      </x:c>
      <x:c r="J9" s="5" t="s">
        <x:v>787</x:v>
      </x:c>
      <x:c r="K9" s="5" t="s">
        <x:v>788</x:v>
      </x:c>
      <x:c r="L9" s="5" t="s">
        <x:v>789</x:v>
      </x:c>
      <x:c r="M9" s="5"/>
      <x:c r="N9" s="5"/>
      <x:c r="O9" s="5" t="s">
        <x:v>28</x:v>
      </x:c>
      <x:c r="P9" s="5"/>
    </x:row>
    <x:row r="10" ht="41.400001525878906">
      <x:c r="A10" s="5" t="s">
        <x:v>622</x:v>
      </x:c>
      <x:c r="B10" s="5" t="s">
        <x:v>790</x:v>
      </x:c>
      <x:c r="C10" s="5" t="s">
        <x:v>26</x:v>
      </x:c>
      <x:c r="D10" s="7">
        <x:f t="shared" si="0"/>
        <x:v>0</x:v>
      </x:c>
      <x:c r="E10" s="5" t="n">
        <x:f>COUNTIFS(Detailed_Tasks!$A:$A,A10,Detailed_Tasks!$H:$H,"PASS")</x:f>
        <x:v>0</x:v>
      </x:c>
      <x:c r="F10" s="5" t="n">
        <x:f>COUNTIF(Detailed_Tasks!$A:$A,A10)</x:f>
        <x:v>11</x:v>
      </x:c>
      <x:c r="G10" s="5" t="n">
        <x:f>COUNTIFS(Detailed_Tasks!$A:$A,A10,Detailed_Tasks!$H:$H,"FAIL")</x:f>
        <x:v>0</x:v>
      </x:c>
      <x:c r="H10" s="5" t="n">
        <x:f>COUNTIFS(Detailed_Tasks!$A:$A,A10,Detailed_Tasks!$H:$H,"BLOCKED")</x:f>
        <x:v>0</x:v>
      </x:c>
      <x:c r="I10" s="5" t="n">
        <x:f>COUNTIFS(Detailed_Tasks!$A:$A,A10,Detailed_Tasks!$H:$H,"IN_PROGRESS")</x:f>
        <x:v>0</x:v>
      </x:c>
      <x:c r="J10" s="5" t="s">
        <x:v>791</x:v>
      </x:c>
      <x:c r="K10" s="5" t="s">
        <x:v>792</x:v>
      </x:c>
      <x:c r="L10" s="5" t="s">
        <x:v>793</x:v>
      </x:c>
      <x:c r="M10" s="5"/>
      <x:c r="N10" s="5"/>
      <x:c r="O10" s="5" t="s">
        <x:v>28</x:v>
      </x:c>
      <x:c r="P10" s="5"/>
    </x:row>
    <x:row r="11" ht="27.600000381469727">
      <x:c r="A11" s="5" t="s">
        <x:v>671</x:v>
      </x:c>
      <x:c r="B11" s="5" t="s">
        <x:v>794</x:v>
      </x:c>
      <x:c r="C11" s="5" t="s">
        <x:v>40</x:v>
      </x:c>
      <x:c r="D11" s="7">
        <x:f t="shared" si="0"/>
        <x:v>0</x:v>
      </x:c>
      <x:c r="E11" s="5" t="n">
        <x:f>COUNTIFS(Detailed_Tasks!$A:$A,A11,Detailed_Tasks!$H:$H,"PASS")</x:f>
        <x:v>0</x:v>
      </x:c>
      <x:c r="F11" s="5" t="n">
        <x:f>COUNTIF(Detailed_Tasks!$A:$A,A11)</x:f>
        <x:v>16</x:v>
      </x:c>
      <x:c r="G11" s="5" t="n">
        <x:f>COUNTIFS(Detailed_Tasks!$A:$A,A11,Detailed_Tasks!$H:$H,"FAIL")</x:f>
        <x:v>0</x:v>
      </x:c>
      <x:c r="H11" s="5" t="n">
        <x:f>COUNTIFS(Detailed_Tasks!$A:$A,A11,Detailed_Tasks!$H:$H,"BLOCKED")</x:f>
        <x:v>0</x:v>
      </x:c>
      <x:c r="I11" s="5" t="n">
        <x:f>COUNTIFS(Detailed_Tasks!$A:$A,A11,Detailed_Tasks!$H:$H,"IN_PROGRESS")</x:f>
        <x:v>0</x:v>
      </x:c>
      <x:c r="J11" s="5" t="s">
        <x:v>795</x:v>
      </x:c>
      <x:c r="K11" s="5" t="s">
        <x:v>796</x:v>
      </x:c>
      <x:c r="L11" s="5" t="s">
        <x:v>797</x:v>
      </x:c>
      <x:c r="M11" s="5"/>
      <x:c r="N11" s="5"/>
      <x:c r="O11" s="5" t="s">
        <x:v>28</x:v>
      </x:c>
      <x:c r="P11" s="5"/>
    </x:row>
  </x:sheetData>
  <x:conditionalFormatting sqref="C2:C11">
    <x:cfRule type="expression" dxfId="6" priority="1">
      <x:formula>C2="CLOSED / PASS"</x:formula>
    </x:cfRule>
    <x:cfRule type="expression" dxfId="5" priority="2">
      <x:formula>C2="IN_PROGRESS"</x:formula>
    </x:cfRule>
    <x:cfRule type="expression" dxfId="4" priority="3">
      <x:formula>OR(C2="BLOCKED / FAIL",C2="NOT_AUTHORIZED")</x:formula>
    </x:cfRule>
  </x:conditionalFormatting>
  <x:conditionalFormatting sqref="D2:D11">
    <x:cfRule type="dataBar" priority="4">
      <x:dataBar>
        <x:cfvo type="min"/>
        <x:cfvo type="max"/>
        <x:color rgb="FFA02B93"/>
      </x:dataBar>
    </x:cfRule>
    <x:cfRule type="dataBar" priority="5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{AE176EA8-7480-B599-1270-8AD8A7972516}</x14:id>
        </x:ext>
      </x:extLst>
    </x:cfRule>
  </x:conditionalFormatting>
  <x:dataValidations count="1">
    <x:dataValidation type="list" sqref="C2:C11">
      <x:formula1>"NOT_OPEN,IN_PROGRESS,CLOSED / PASS,BLOCKED / FAIL,NOT_AUTHORIZED"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4d20706c52457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AE176EA8-7480-B599-1270-8AD8A7972516}">
            <x14:dataBar>
              <x14:cfvo type="min"/>
              <x14:cfvo type="max"/>
              <x14:fillColor rgb="FFA02B93"/>
              <x14:negativeFillColor auto="1"/>
              <x14:axisColor auto="1"/>
            </x14:dataBar>
          </x14:cfRule>
          <xm:sqref>D2:D11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11" customWidth="1"/>
    <x:col min="2" max="2" width="8" customWidth="1"/>
    <x:col min="3" max="3" width="42" customWidth="1"/>
    <x:col min="4" max="4" width="18" customWidth="1"/>
    <x:col min="5" max="5" width="11" customWidth="1"/>
    <x:col min="6" max="6" width="16" customWidth="1"/>
    <x:col min="7" max="9" width="42" customWidth="1"/>
    <x:col min="10" max="10" width="14" customWidth="1"/>
    <x:col min="11" max="11" width="34" customWidth="1"/>
    <x:col min="12" max="12" width="32" customWidth="1"/>
  </x:cols>
  <x:sheetData>
    <x:row r="1" ht="27.600000381469727">
      <x:c r="A1" s="2" t="s">
        <x:v>798</x:v>
      </x:c>
      <x:c r="B1" s="2" t="s">
        <x:v>10</x:v>
      </x:c>
      <x:c r="C1" s="2" t="s">
        <x:v>799</x:v>
      </x:c>
      <x:c r="D1" s="2" t="s">
        <x:v>800</x:v>
      </x:c>
      <x:c r="E1" s="2" t="s">
        <x:v>801</x:v>
      </x:c>
      <x:c r="F1" s="2" t="s">
        <x:v>12</x:v>
      </x:c>
      <x:c r="G1" s="2" t="s">
        <x:v>802</x:v>
      </x:c>
      <x:c r="H1" s="2" t="s">
        <x:v>803</x:v>
      </x:c>
      <x:c r="I1" s="2" t="s">
        <x:v>804</x:v>
      </x:c>
      <x:c r="J1" s="2" t="s">
        <x:v>805</x:v>
      </x:c>
      <x:c r="K1" s="2" t="s">
        <x:v>806</x:v>
      </x:c>
      <x:c r="L1" s="2" t="s">
        <x:v>53</x:v>
      </x:c>
    </x:row>
    <x:row r="2" ht="41.400001525878906">
      <x:c r="A2" s="5" t="s">
        <x:v>807</x:v>
      </x:c>
      <x:c r="B2" s="5" t="s">
        <x:v>54</x:v>
      </x:c>
      <x:c r="C2" s="5" t="s">
        <x:v>60</x:v>
      </x:c>
      <x:c r="D2" s="5" t="s">
        <x:v>808</x:v>
      </x:c>
      <x:c r="E2" s="5" t="s">
        <x:v>665</x:v>
      </x:c>
      <x:c r="F2" s="5" t="s">
        <x:v>809</x:v>
      </x:c>
      <x:c r="G2" s="5" t="s">
        <x:v>60</x:v>
      </x:c>
      <x:c r="H2" s="5"/>
      <x:c r="I2" s="5"/>
      <x:c r="J2" s="5" t="s">
        <x:v>810</x:v>
      </x:c>
      <x:c r="K2" s="5" t="s">
        <x:v>59</x:v>
      </x:c>
      <x:c r="L2" s="5"/>
    </x:row>
    <x:row r="3" ht="27.600000381469727">
      <x:c r="A3" s="5" t="s">
        <x:v>811</x:v>
      </x:c>
      <x:c r="B3" s="5" t="s">
        <x:v>54</x:v>
      </x:c>
      <x:c r="C3" s="5" t="s">
        <x:v>66</x:v>
      </x:c>
      <x:c r="D3" s="5" t="s">
        <x:v>808</x:v>
      </x:c>
      <x:c r="E3" s="5" t="s">
        <x:v>665</x:v>
      </x:c>
      <x:c r="F3" s="5" t="s">
        <x:v>809</x:v>
      </x:c>
      <x:c r="G3" s="5" t="s">
        <x:v>66</x:v>
      </x:c>
      <x:c r="H3" s="5"/>
      <x:c r="I3" s="5"/>
      <x:c r="J3" s="5" t="s">
        <x:v>810</x:v>
      </x:c>
      <x:c r="K3" s="5" t="s">
        <x:v>65</x:v>
      </x:c>
      <x:c r="L3" s="5"/>
    </x:row>
    <x:row r="4" ht="27.600000381469727">
      <x:c r="A4" s="5" t="s">
        <x:v>812</x:v>
      </x:c>
      <x:c r="B4" s="5" t="s">
        <x:v>54</x:v>
      </x:c>
      <x:c r="C4" s="5" t="s">
        <x:v>71</x:v>
      </x:c>
      <x:c r="D4" s="5" t="s">
        <x:v>808</x:v>
      </x:c>
      <x:c r="E4" s="5" t="s">
        <x:v>665</x:v>
      </x:c>
      <x:c r="F4" s="5" t="s">
        <x:v>809</x:v>
      </x:c>
      <x:c r="G4" s="5" t="s">
        <x:v>71</x:v>
      </x:c>
      <x:c r="H4" s="5"/>
      <x:c r="I4" s="5"/>
      <x:c r="J4" s="5" t="s">
        <x:v>810</x:v>
      </x:c>
      <x:c r="K4" s="5" t="s">
        <x:v>65</x:v>
      </x:c>
      <x:c r="L4" s="5"/>
    </x:row>
    <x:row r="5" ht="27.600000381469727">
      <x:c r="A5" s="5" t="s">
        <x:v>813</x:v>
      </x:c>
      <x:c r="B5" s="5" t="s">
        <x:v>54</x:v>
      </x:c>
      <x:c r="C5" s="5" t="s">
        <x:v>75</x:v>
      </x:c>
      <x:c r="D5" s="5" t="s">
        <x:v>808</x:v>
      </x:c>
      <x:c r="E5" s="5" t="s">
        <x:v>665</x:v>
      </x:c>
      <x:c r="F5" s="5" t="s">
        <x:v>809</x:v>
      </x:c>
      <x:c r="G5" s="5" t="s">
        <x:v>75</x:v>
      </x:c>
      <x:c r="H5" s="5"/>
      <x:c r="I5" s="5"/>
      <x:c r="J5" s="5" t="s">
        <x:v>810</x:v>
      </x:c>
      <x:c r="K5" s="5" t="s">
        <x:v>65</x:v>
      </x:c>
      <x:c r="L5" s="5"/>
    </x:row>
    <x:row r="6" ht="27.600000381469727">
      <x:c r="A6" s="5" t="s">
        <x:v>814</x:v>
      </x:c>
      <x:c r="B6" s="5" t="s">
        <x:v>54</x:v>
      </x:c>
      <x:c r="C6" s="5" t="s">
        <x:v>79</x:v>
      </x:c>
      <x:c r="D6" s="5" t="s">
        <x:v>808</x:v>
      </x:c>
      <x:c r="E6" s="5" t="s">
        <x:v>665</x:v>
      </x:c>
      <x:c r="F6" s="5" t="s">
        <x:v>809</x:v>
      </x:c>
      <x:c r="G6" s="5" t="s">
        <x:v>79</x:v>
      </x:c>
      <x:c r="H6" s="5"/>
      <x:c r="I6" s="5"/>
      <x:c r="J6" s="5" t="s">
        <x:v>810</x:v>
      </x:c>
      <x:c r="K6" s="5" t="s">
        <x:v>65</x:v>
      </x:c>
      <x:c r="L6" s="5"/>
    </x:row>
    <x:row r="7" ht="27.600000381469727">
      <x:c r="A7" s="5" t="s">
        <x:v>815</x:v>
      </x:c>
      <x:c r="B7" s="5" t="s">
        <x:v>54</x:v>
      </x:c>
      <x:c r="C7" s="5" t="str">
        <x:v>artifacts/governance/*.json</x:v>
      </x:c>
      <x:c r="D7" s="5" t="str">
        <x:v>Governance validation</x:v>
      </x:c>
      <x:c r="E7" s="5" t="str">
        <x:v>YES</x:v>
      </x:c>
      <x:c r="F7" s="5" t="str">
        <x:v>NOT_CREATED</x:v>
      </x:c>
      <x:c r="G7" s="5" t="str">
        <x:v>artifacts/governance/*.json</x:v>
      </x:c>
      <x:c r="H7" s="5" t="str"/>
      <x:c r="I7" s="5" t="str"/>
      <x:c r="J7" s="5" t="str">
        <x:v>PENDING</x:v>
      </x:c>
      <x:c r="K7" s="5" t="str">
        <x:v>ARTIFACT_AND_EVIDENCE_CONTRACT.md</x:v>
      </x:c>
      <x:c r="L7" s="5" t="str">
        <x:v>Validate the four generated S0 governance JSON manifests before baseline closure.</x:v>
      </x:c>
    </x:row>
    <x:row r="8" ht="27.600000381469727">
      <x:c r="A8" s="5" t="s">
        <x:v>816</x:v>
      </x:c>
      <x:c r="B8" s="5" t="s">
        <x:v>54</x:v>
      </x:c>
      <x:c r="C8" s="5" t="s">
        <x:v>88</x:v>
      </x:c>
      <x:c r="D8" s="5" t="s">
        <x:v>808</x:v>
      </x:c>
      <x:c r="E8" s="5" t="s">
        <x:v>665</x:v>
      </x:c>
      <x:c r="F8" s="5" t="s">
        <x:v>809</x:v>
      </x:c>
      <x:c r="G8" s="5" t="s">
        <x:v>88</x:v>
      </x:c>
      <x:c r="H8" s="5"/>
      <x:c r="I8" s="5"/>
      <x:c r="J8" s="5" t="s">
        <x:v>810</x:v>
      </x:c>
      <x:c r="K8" s="5" t="s">
        <x:v>65</x:v>
      </x:c>
      <x:c r="L8" s="5"/>
    </x:row>
    <x:row r="9" ht="27.600000381469727">
      <x:c r="A9" s="5" t="s">
        <x:v>817</x:v>
      </x:c>
      <x:c r="B9" s="5" t="s">
        <x:v>54</x:v>
      </x:c>
      <x:c r="C9" s="5" t="s">
        <x:v>93</x:v>
      </x:c>
      <x:c r="D9" s="5" t="s">
        <x:v>808</x:v>
      </x:c>
      <x:c r="E9" s="5" t="s">
        <x:v>665</x:v>
      </x:c>
      <x:c r="F9" s="5" t="s">
        <x:v>809</x:v>
      </x:c>
      <x:c r="G9" s="5" t="s">
        <x:v>93</x:v>
      </x:c>
      <x:c r="H9" s="5"/>
      <x:c r="I9" s="5"/>
      <x:c r="J9" s="5" t="s">
        <x:v>810</x:v>
      </x:c>
      <x:c r="K9" s="5" t="s">
        <x:v>65</x:v>
      </x:c>
      <x:c r="L9" s="5"/>
    </x:row>
    <x:row r="10" ht="27.600000381469727">
      <x:c r="A10" s="5" t="s">
        <x:v>818</x:v>
      </x:c>
      <x:c r="B10" s="5" t="s">
        <x:v>54</x:v>
      </x:c>
      <x:c r="C10" s="5" t="s">
        <x:v>97</x:v>
      </x:c>
      <x:c r="D10" s="5" t="s">
        <x:v>808</x:v>
      </x:c>
      <x:c r="E10" s="5" t="s">
        <x:v>665</x:v>
      </x:c>
      <x:c r="F10" s="5" t="s">
        <x:v>809</x:v>
      </x:c>
      <x:c r="G10" s="5" t="s">
        <x:v>97</x:v>
      </x:c>
      <x:c r="H10" s="5"/>
      <x:c r="I10" s="5"/>
      <x:c r="J10" s="5" t="s">
        <x:v>810</x:v>
      </x:c>
      <x:c r="K10" s="5" t="s">
        <x:v>65</x:v>
      </x:c>
      <x:c r="L10" s="5"/>
    </x:row>
    <x:row r="11" ht="27.600000381469727">
      <x:c r="A11" s="5" t="s">
        <x:v>819</x:v>
      </x:c>
      <x:c r="B11" s="5" t="s">
        <x:v>54</x:v>
      </x:c>
      <x:c r="C11" s="5" t="s">
        <x:v>101</x:v>
      </x:c>
      <x:c r="D11" s="5" t="s">
        <x:v>808</x:v>
      </x:c>
      <x:c r="E11" s="5" t="s">
        <x:v>665</x:v>
      </x:c>
      <x:c r="F11" s="5" t="s">
        <x:v>809</x:v>
      </x:c>
      <x:c r="G11" s="5" t="s">
        <x:v>101</x:v>
      </x:c>
      <x:c r="H11" s="5"/>
      <x:c r="I11" s="5"/>
      <x:c r="J11" s="5" t="s">
        <x:v>810</x:v>
      </x:c>
      <x:c r="K11" s="5" t="s">
        <x:v>65</x:v>
      </x:c>
      <x:c r="L11" s="5"/>
    </x:row>
    <x:row r="12" ht="27.600000381469727">
      <x:c r="A12" s="5" t="s">
        <x:v>820</x:v>
      </x:c>
      <x:c r="B12" s="5" t="s">
        <x:v>54</x:v>
      </x:c>
      <x:c r="C12" s="5" t="s">
        <x:v>107</x:v>
      </x:c>
      <x:c r="D12" s="5" t="s">
        <x:v>808</x:v>
      </x:c>
      <x:c r="E12" s="5" t="s">
        <x:v>665</x:v>
      </x:c>
      <x:c r="F12" s="5" t="s">
        <x:v>809</x:v>
      </x:c>
      <x:c r="G12" s="5" t="s">
        <x:v>107</x:v>
      </x:c>
      <x:c r="H12" s="5"/>
      <x:c r="I12" s="5"/>
      <x:c r="J12" s="5" t="s">
        <x:v>810</x:v>
      </x:c>
      <x:c r="K12" s="5" t="str">
        <x:v>IMPLEMENTATION_HANDOFF.md / Workbook operational tracker</x:v>
      </x:c>
      <x:c r="L12" s="5"/>
    </x:row>
    <x:row r="13" ht="27.600000381469727">
      <x:c r="A13" s="5" t="s">
        <x:v>821</x:v>
      </x:c>
      <x:c r="B13" s="5" t="s">
        <x:v>54</x:v>
      </x:c>
      <x:c r="C13" s="5" t="s">
        <x:v>112</x:v>
      </x:c>
      <x:c r="D13" s="5" t="s">
        <x:v>808</x:v>
      </x:c>
      <x:c r="E13" s="5" t="s">
        <x:v>665</x:v>
      </x:c>
      <x:c r="F13" s="5" t="s">
        <x:v>809</x:v>
      </x:c>
      <x:c r="G13" s="5" t="s">
        <x:v>112</x:v>
      </x:c>
      <x:c r="H13" s="5"/>
      <x:c r="I13" s="5"/>
      <x:c r="J13" s="5" t="s">
        <x:v>810</x:v>
      </x:c>
      <x:c r="K13" s="5" t="str">
        <x:v>IMPLEMENTATION_HANDOFF.md / Workbook operational tracker</x:v>
      </x:c>
      <x:c r="L13" s="5"/>
    </x:row>
    <x:row r="14" ht="27.600000381469727">
      <x:c r="A14" s="5" t="s">
        <x:v>822</x:v>
      </x:c>
      <x:c r="B14" s="5" t="s">
        <x:v>54</x:v>
      </x:c>
      <x:c r="C14" s="5" t="s">
        <x:v>823</x:v>
      </x:c>
      <x:c r="D14" s="5" t="s">
        <x:v>808</x:v>
      </x:c>
      <x:c r="E14" s="5" t="s">
        <x:v>665</x:v>
      </x:c>
      <x:c r="F14" s="5" t="s">
        <x:v>809</x:v>
      </x:c>
      <x:c r="G14" s="5" t="s">
        <x:v>823</x:v>
      </x:c>
      <x:c r="H14" s="5"/>
      <x:c r="I14" s="5"/>
      <x:c r="J14" s="5" t="s">
        <x:v>810</x:v>
      </x:c>
      <x:c r="K14" s="5" t="str">
        <x:v>IMPLEMENTATION_HANDOFF.md / Workbook operational tracker</x:v>
      </x:c>
      <x:c r="L14" s="5"/>
    </x:row>
    <x:row r="15">
      <x:c r="A15" s="5" t="s">
        <x:v>824</x:v>
      </x:c>
      <x:c r="B15" s="5" t="s">
        <x:v>119</x:v>
      </x:c>
      <x:c r="C15" s="5" t="s">
        <x:v>124</x:v>
      </x:c>
      <x:c r="D15" s="5" t="s">
        <x:v>808</x:v>
      </x:c>
      <x:c r="E15" s="5" t="s">
        <x:v>665</x:v>
      </x:c>
      <x:c r="F15" s="5" t="s">
        <x:v>809</x:v>
      </x:c>
      <x:c r="G15" s="5" t="s">
        <x:v>124</x:v>
      </x:c>
      <x:c r="H15" s="5"/>
      <x:c r="I15" s="5"/>
      <x:c r="J15" s="5" t="s">
        <x:v>810</x:v>
      </x:c>
      <x:c r="K15" s="5" t="str">
        <x:v>IMPLEMENTATION_HANDOFF.md / Workbook operational tracker</x:v>
      </x:c>
      <x:c r="L15" s="5"/>
    </x:row>
    <x:row r="16">
      <x:c r="A16" s="5" t="s">
        <x:v>825</x:v>
      </x:c>
      <x:c r="B16" s="5" t="s">
        <x:v>119</x:v>
      </x:c>
      <x:c r="C16" s="5" t="s">
        <x:v>131</x:v>
      </x:c>
      <x:c r="D16" s="5" t="s">
        <x:v>808</x:v>
      </x:c>
      <x:c r="E16" s="5" t="s">
        <x:v>665</x:v>
      </x:c>
      <x:c r="F16" s="5" t="s">
        <x:v>809</x:v>
      </x:c>
      <x:c r="G16" s="5" t="s">
        <x:v>131</x:v>
      </x:c>
      <x:c r="H16" s="5"/>
      <x:c r="I16" s="5"/>
      <x:c r="J16" s="5" t="s">
        <x:v>810</x:v>
      </x:c>
      <x:c r="K16" s="5" t="s">
        <x:v>130</x:v>
      </x:c>
      <x:c r="L16" s="5"/>
    </x:row>
    <x:row r="17">
      <x:c r="A17" s="5" t="s">
        <x:v>826</x:v>
      </x:c>
      <x:c r="B17" s="5" t="s">
        <x:v>119</x:v>
      </x:c>
      <x:c r="C17" s="5" t="s">
        <x:v>141</x:v>
      </x:c>
      <x:c r="D17" s="5" t="s">
        <x:v>808</x:v>
      </x:c>
      <x:c r="E17" s="5" t="s">
        <x:v>665</x:v>
      </x:c>
      <x:c r="F17" s="5" t="s">
        <x:v>809</x:v>
      </x:c>
      <x:c r="G17" s="5" t="s">
        <x:v>141</x:v>
      </x:c>
      <x:c r="H17" s="5"/>
      <x:c r="I17" s="5"/>
      <x:c r="J17" s="5" t="s">
        <x:v>810</x:v>
      </x:c>
      <x:c r="K17" s="5" t="str">
        <x:v>IMPLEMENTATION_HANDOFF.md / Workbook operational tracker</x:v>
      </x:c>
      <x:c r="L17" s="5"/>
    </x:row>
    <x:row r="18" ht="27.600000381469727">
      <x:c r="A18" s="5" t="s">
        <x:v>827</x:v>
      </x:c>
      <x:c r="B18" s="5" t="s">
        <x:v>119</x:v>
      </x:c>
      <x:c r="C18" s="5" t="s">
        <x:v>147</x:v>
      </x:c>
      <x:c r="D18" s="5" t="s">
        <x:v>808</x:v>
      </x:c>
      <x:c r="E18" s="5" t="s">
        <x:v>665</x:v>
      </x:c>
      <x:c r="F18" s="5" t="s">
        <x:v>809</x:v>
      </x:c>
      <x:c r="G18" s="5" t="s">
        <x:v>147</x:v>
      </x:c>
      <x:c r="H18" s="5"/>
      <x:c r="I18" s="5"/>
      <x:c r="J18" s="5" t="s">
        <x:v>810</x:v>
      </x:c>
      <x:c r="K18" s="5" t="s">
        <x:v>65</x:v>
      </x:c>
      <x:c r="L18" s="5"/>
    </x:row>
    <x:row r="19" ht="27.600000381469727">
      <x:c r="A19" s="5" t="s">
        <x:v>828</x:v>
      </x:c>
      <x:c r="B19" s="5" t="s">
        <x:v>119</x:v>
      </x:c>
      <x:c r="C19" s="5" t="s">
        <x:v>153</x:v>
      </x:c>
      <x:c r="D19" s="5" t="s">
        <x:v>808</x:v>
      </x:c>
      <x:c r="E19" s="5" t="s">
        <x:v>665</x:v>
      </x:c>
      <x:c r="F19" s="5" t="s">
        <x:v>809</x:v>
      </x:c>
      <x:c r="G19" s="5" t="s">
        <x:v>153</x:v>
      </x:c>
      <x:c r="H19" s="5"/>
      <x:c r="I19" s="5"/>
      <x:c r="J19" s="5" t="s">
        <x:v>810</x:v>
      </x:c>
      <x:c r="K19" s="5" t="s">
        <x:v>65</x:v>
      </x:c>
      <x:c r="L19" s="5"/>
    </x:row>
    <x:row r="20">
      <x:c r="A20" s="5" t="s">
        <x:v>829</x:v>
      </x:c>
      <x:c r="B20" s="5" t="s">
        <x:v>119</x:v>
      </x:c>
      <x:c r="C20" s="5" t="s">
        <x:v>158</x:v>
      </x:c>
      <x:c r="D20" s="5" t="s">
        <x:v>808</x:v>
      </x:c>
      <x:c r="E20" s="5" t="s">
        <x:v>665</x:v>
      </x:c>
      <x:c r="F20" s="5" t="s">
        <x:v>809</x:v>
      </x:c>
      <x:c r="G20" s="5" t="s">
        <x:v>158</x:v>
      </x:c>
      <x:c r="H20" s="5"/>
      <x:c r="I20" s="5"/>
      <x:c r="J20" s="5" t="s">
        <x:v>810</x:v>
      </x:c>
      <x:c r="K20" s="5" t="s">
        <x:v>130</x:v>
      </x:c>
      <x:c r="L20" s="5"/>
    </x:row>
    <x:row r="21">
      <x:c r="A21" s="5" t="s">
        <x:v>830</x:v>
      </x:c>
      <x:c r="B21" s="5" t="s">
        <x:v>119</x:v>
      </x:c>
      <x:c r="C21" s="5" t="s">
        <x:v>167</x:v>
      </x:c>
      <x:c r="D21" s="5" t="s">
        <x:v>808</x:v>
      </x:c>
      <x:c r="E21" s="5" t="s">
        <x:v>665</x:v>
      </x:c>
      <x:c r="F21" s="5" t="s">
        <x:v>809</x:v>
      </x:c>
      <x:c r="G21" s="5" t="s">
        <x:v>167</x:v>
      </x:c>
      <x:c r="H21" s="5"/>
      <x:c r="I21" s="5"/>
      <x:c r="J21" s="5" t="s">
        <x:v>810</x:v>
      </x:c>
      <x:c r="K21" s="5" t="s">
        <x:v>130</x:v>
      </x:c>
      <x:c r="L21" s="5"/>
    </x:row>
    <x:row r="22">
      <x:c r="A22" s="5" t="s">
        <x:v>831</x:v>
      </x:c>
      <x:c r="B22" s="5" t="s">
        <x:v>119</x:v>
      </x:c>
      <x:c r="C22" s="5" t="s">
        <x:v>176</x:v>
      </x:c>
      <x:c r="D22" s="5" t="s">
        <x:v>808</x:v>
      </x:c>
      <x:c r="E22" s="5" t="s">
        <x:v>665</x:v>
      </x:c>
      <x:c r="F22" s="5" t="s">
        <x:v>809</x:v>
      </x:c>
      <x:c r="G22" s="5" t="s">
        <x:v>176</x:v>
      </x:c>
      <x:c r="H22" s="5"/>
      <x:c r="I22" s="5"/>
      <x:c r="J22" s="5" t="s">
        <x:v>810</x:v>
      </x:c>
      <x:c r="K22" s="5" t="s">
        <x:v>130</x:v>
      </x:c>
      <x:c r="L22" s="5"/>
    </x:row>
    <x:row r="23" ht="27.600000381469727">
      <x:c r="A23" s="5" t="s">
        <x:v>832</x:v>
      </x:c>
      <x:c r="B23" s="5" t="s">
        <x:v>119</x:v>
      </x:c>
      <x:c r="C23" s="5" t="s">
        <x:v>181</x:v>
      </x:c>
      <x:c r="D23" s="5" t="s">
        <x:v>808</x:v>
      </x:c>
      <x:c r="E23" s="5" t="s">
        <x:v>665</x:v>
      </x:c>
      <x:c r="F23" s="5" t="s">
        <x:v>809</x:v>
      </x:c>
      <x:c r="G23" s="5" t="s">
        <x:v>181</x:v>
      </x:c>
      <x:c r="H23" s="5"/>
      <x:c r="I23" s="5"/>
      <x:c r="J23" s="5" t="s">
        <x:v>810</x:v>
      </x:c>
      <x:c r="K23" s="5" t="s">
        <x:v>65</x:v>
      </x:c>
      <x:c r="L23" s="5"/>
    </x:row>
    <x:row r="24" ht="27.600000381469727">
      <x:c r="A24" s="5" t="s">
        <x:v>833</x:v>
      </x:c>
      <x:c r="B24" s="5" t="s">
        <x:v>119</x:v>
      </x:c>
      <x:c r="C24" s="5" t="s">
        <x:v>191</x:v>
      </x:c>
      <x:c r="D24" s="5" t="s">
        <x:v>808</x:v>
      </x:c>
      <x:c r="E24" s="5" t="s">
        <x:v>665</x:v>
      </x:c>
      <x:c r="F24" s="5" t="s">
        <x:v>809</x:v>
      </x:c>
      <x:c r="G24" s="5" t="s">
        <x:v>191</x:v>
      </x:c>
      <x:c r="H24" s="5"/>
      <x:c r="I24" s="5"/>
      <x:c r="J24" s="5" t="s">
        <x:v>810</x:v>
      </x:c>
      <x:c r="K24" s="5" t="s">
        <x:v>65</x:v>
      </x:c>
      <x:c r="L24" s="5"/>
    </x:row>
    <x:row r="25" ht="27.600000381469727">
      <x:c r="A25" s="5" t="s">
        <x:v>834</x:v>
      </x:c>
      <x:c r="B25" s="5" t="s">
        <x:v>119</x:v>
      </x:c>
      <x:c r="C25" s="5" t="s">
        <x:v>197</x:v>
      </x:c>
      <x:c r="D25" s="5" t="s">
        <x:v>808</x:v>
      </x:c>
      <x:c r="E25" s="5" t="s">
        <x:v>665</x:v>
      </x:c>
      <x:c r="F25" s="5" t="s">
        <x:v>809</x:v>
      </x:c>
      <x:c r="G25" s="5" t="s">
        <x:v>197</x:v>
      </x:c>
      <x:c r="H25" s="5"/>
      <x:c r="I25" s="5"/>
      <x:c r="J25" s="5" t="s">
        <x:v>810</x:v>
      </x:c>
      <x:c r="K25" s="5" t="s">
        <x:v>65</x:v>
      </x:c>
      <x:c r="L25" s="5"/>
    </x:row>
    <x:row r="26">
      <x:c r="A26" s="5" t="s">
        <x:v>835</x:v>
      </x:c>
      <x:c r="B26" s="5" t="s">
        <x:v>119</x:v>
      </x:c>
      <x:c r="C26" s="5" t="s">
        <x:v>201</x:v>
      </x:c>
      <x:c r="D26" s="5" t="s">
        <x:v>808</x:v>
      </x:c>
      <x:c r="E26" s="5" t="s">
        <x:v>665</x:v>
      </x:c>
      <x:c r="F26" s="5" t="s">
        <x:v>809</x:v>
      </x:c>
      <x:c r="G26" s="5" t="s">
        <x:v>201</x:v>
      </x:c>
      <x:c r="H26" s="5"/>
      <x:c r="I26" s="5"/>
      <x:c r="J26" s="5" t="s">
        <x:v>810</x:v>
      </x:c>
      <x:c r="K26" s="5" t="str">
        <x:v>IMPLEMENTATION_HANDOFF.md / Workbook operational tracker</x:v>
      </x:c>
      <x:c r="L26" s="5"/>
    </x:row>
    <x:row r="27">
      <x:c r="A27" s="5" t="s">
        <x:v>836</x:v>
      </x:c>
      <x:c r="B27" s="5" t="s">
        <x:v>203</x:v>
      </x:c>
      <x:c r="C27" s="5" t="s">
        <x:v>208</x:v>
      </x:c>
      <x:c r="D27" s="5" t="s">
        <x:v>808</x:v>
      </x:c>
      <x:c r="E27" s="5" t="s">
        <x:v>665</x:v>
      </x:c>
      <x:c r="F27" s="5" t="s">
        <x:v>809</x:v>
      </x:c>
      <x:c r="G27" s="5" t="s">
        <x:v>208</x:v>
      </x:c>
      <x:c r="H27" s="5"/>
      <x:c r="I27" s="5"/>
      <x:c r="J27" s="5" t="s">
        <x:v>810</x:v>
      </x:c>
      <x:c r="K27" s="5" t="s">
        <x:v>130</x:v>
      </x:c>
      <x:c r="L27" s="5"/>
    </x:row>
    <x:row r="28">
      <x:c r="A28" s="5" t="s">
        <x:v>837</x:v>
      </x:c>
      <x:c r="B28" s="5" t="s">
        <x:v>203</x:v>
      </x:c>
      <x:c r="C28" s="5" t="s">
        <x:v>213</x:v>
      </x:c>
      <x:c r="D28" s="5" t="s">
        <x:v>808</x:v>
      </x:c>
      <x:c r="E28" s="5" t="s">
        <x:v>665</x:v>
      </x:c>
      <x:c r="F28" s="5" t="s">
        <x:v>809</x:v>
      </x:c>
      <x:c r="G28" s="5" t="s">
        <x:v>213</x:v>
      </x:c>
      <x:c r="H28" s="5"/>
      <x:c r="I28" s="5"/>
      <x:c r="J28" s="5" t="s">
        <x:v>810</x:v>
      </x:c>
      <x:c r="K28" s="5" t="s">
        <x:v>130</x:v>
      </x:c>
      <x:c r="L28" s="5"/>
    </x:row>
    <x:row r="29">
      <x:c r="A29" s="5" t="s">
        <x:v>838</x:v>
      </x:c>
      <x:c r="B29" s="5" t="s">
        <x:v>203</x:v>
      </x:c>
      <x:c r="C29" s="5" t="s">
        <x:v>225</x:v>
      </x:c>
      <x:c r="D29" s="5" t="s">
        <x:v>808</x:v>
      </x:c>
      <x:c r="E29" s="5" t="s">
        <x:v>665</x:v>
      </x:c>
      <x:c r="F29" s="5" t="s">
        <x:v>809</x:v>
      </x:c>
      <x:c r="G29" s="5" t="s">
        <x:v>225</x:v>
      </x:c>
      <x:c r="H29" s="5"/>
      <x:c r="I29" s="5"/>
      <x:c r="J29" s="5" t="s">
        <x:v>810</x:v>
      </x:c>
      <x:c r="K29" s="5" t="s">
        <x:v>130</x:v>
      </x:c>
      <x:c r="L29" s="5"/>
    </x:row>
    <x:row r="30">
      <x:c r="A30" s="5" t="s">
        <x:v>839</x:v>
      </x:c>
      <x:c r="B30" s="5" t="s">
        <x:v>203</x:v>
      </x:c>
      <x:c r="C30" s="5" t="s">
        <x:v>230</x:v>
      </x:c>
      <x:c r="D30" s="5" t="s">
        <x:v>808</x:v>
      </x:c>
      <x:c r="E30" s="5" t="s">
        <x:v>665</x:v>
      </x:c>
      <x:c r="F30" s="5" t="s">
        <x:v>809</x:v>
      </x:c>
      <x:c r="G30" s="5" t="s">
        <x:v>230</x:v>
      </x:c>
      <x:c r="H30" s="5"/>
      <x:c r="I30" s="5"/>
      <x:c r="J30" s="5" t="s">
        <x:v>810</x:v>
      </x:c>
      <x:c r="K30" s="5" t="s">
        <x:v>130</x:v>
      </x:c>
      <x:c r="L30" s="5"/>
    </x:row>
    <x:row r="31" ht="27.600000381469727">
      <x:c r="A31" s="5" t="s">
        <x:v>840</x:v>
      </x:c>
      <x:c r="B31" s="5" t="s">
        <x:v>203</x:v>
      </x:c>
      <x:c r="C31" s="5" t="s">
        <x:v>234</x:v>
      </x:c>
      <x:c r="D31" s="5" t="s">
        <x:v>808</x:v>
      </x:c>
      <x:c r="E31" s="5" t="s">
        <x:v>665</x:v>
      </x:c>
      <x:c r="F31" s="5" t="s">
        <x:v>809</x:v>
      </x:c>
      <x:c r="G31" s="5" t="s">
        <x:v>234</x:v>
      </x:c>
      <x:c r="H31" s="5"/>
      <x:c r="I31" s="5"/>
      <x:c r="J31" s="5" t="s">
        <x:v>810</x:v>
      </x:c>
      <x:c r="K31" s="5" t="s">
        <x:v>65</x:v>
      </x:c>
      <x:c r="L31" s="5"/>
    </x:row>
    <x:row r="32">
      <x:c r="A32" s="5" t="s">
        <x:v>841</x:v>
      </x:c>
      <x:c r="B32" s="5" t="s">
        <x:v>203</x:v>
      </x:c>
      <x:c r="C32" s="5" t="s">
        <x:v>241</x:v>
      </x:c>
      <x:c r="D32" s="5" t="s">
        <x:v>808</x:v>
      </x:c>
      <x:c r="E32" s="5" t="s">
        <x:v>665</x:v>
      </x:c>
      <x:c r="F32" s="5" t="s">
        <x:v>809</x:v>
      </x:c>
      <x:c r="G32" s="5" t="s">
        <x:v>241</x:v>
      </x:c>
      <x:c r="H32" s="5"/>
      <x:c r="I32" s="5"/>
      <x:c r="J32" s="5" t="s">
        <x:v>810</x:v>
      </x:c>
      <x:c r="K32" s="5" t="s">
        <x:v>130</x:v>
      </x:c>
      <x:c r="L32" s="5"/>
    </x:row>
    <x:row r="33">
      <x:c r="A33" s="5" t="s">
        <x:v>842</x:v>
      </x:c>
      <x:c r="B33" s="5" t="s">
        <x:v>203</x:v>
      </x:c>
      <x:c r="C33" s="5" t="s">
        <x:v>246</x:v>
      </x:c>
      <x:c r="D33" s="5" t="s">
        <x:v>808</x:v>
      </x:c>
      <x:c r="E33" s="5" t="s">
        <x:v>665</x:v>
      </x:c>
      <x:c r="F33" s="5" t="s">
        <x:v>809</x:v>
      </x:c>
      <x:c r="G33" s="5" t="s">
        <x:v>246</x:v>
      </x:c>
      <x:c r="H33" s="5"/>
      <x:c r="I33" s="5"/>
      <x:c r="J33" s="5" t="s">
        <x:v>810</x:v>
      </x:c>
      <x:c r="K33" s="5" t="s">
        <x:v>130</x:v>
      </x:c>
      <x:c r="L33" s="5"/>
    </x:row>
    <x:row r="34" ht="27.600000381469727">
      <x:c r="A34" s="5" t="s">
        <x:v>843</x:v>
      </x:c>
      <x:c r="B34" s="5" t="s">
        <x:v>203</x:v>
      </x:c>
      <x:c r="C34" s="5" t="s">
        <x:v>251</x:v>
      </x:c>
      <x:c r="D34" s="5" t="s">
        <x:v>808</x:v>
      </x:c>
      <x:c r="E34" s="5" t="s">
        <x:v>665</x:v>
      </x:c>
      <x:c r="F34" s="5" t="s">
        <x:v>809</x:v>
      </x:c>
      <x:c r="G34" s="5" t="s">
        <x:v>251</x:v>
      </x:c>
      <x:c r="H34" s="5"/>
      <x:c r="I34" s="5"/>
      <x:c r="J34" s="5" t="s">
        <x:v>810</x:v>
      </x:c>
      <x:c r="K34" s="5" t="s">
        <x:v>65</x:v>
      </x:c>
      <x:c r="L34" s="5"/>
    </x:row>
    <x:row r="35" ht="27.600000381469727">
      <x:c r="A35" s="5" t="s">
        <x:v>844</x:v>
      </x:c>
      <x:c r="B35" s="5" t="s">
        <x:v>203</x:v>
      </x:c>
      <x:c r="C35" s="5" t="s">
        <x:v>256</x:v>
      </x:c>
      <x:c r="D35" s="5" t="s">
        <x:v>808</x:v>
      </x:c>
      <x:c r="E35" s="5" t="s">
        <x:v>665</x:v>
      </x:c>
      <x:c r="F35" s="5" t="s">
        <x:v>809</x:v>
      </x:c>
      <x:c r="G35" s="5" t="s">
        <x:v>256</x:v>
      </x:c>
      <x:c r="H35" s="5"/>
      <x:c r="I35" s="5"/>
      <x:c r="J35" s="5" t="s">
        <x:v>810</x:v>
      </x:c>
      <x:c r="K35" s="5" t="s">
        <x:v>65</x:v>
      </x:c>
      <x:c r="L35" s="5"/>
    </x:row>
    <x:row r="36" ht="27.600000381469727">
      <x:c r="A36" s="5" t="s">
        <x:v>845</x:v>
      </x:c>
      <x:c r="B36" s="5" t="s">
        <x:v>203</x:v>
      </x:c>
      <x:c r="C36" s="5" t="s">
        <x:v>261</x:v>
      </x:c>
      <x:c r="D36" s="5" t="s">
        <x:v>808</x:v>
      </x:c>
      <x:c r="E36" s="5" t="s">
        <x:v>665</x:v>
      </x:c>
      <x:c r="F36" s="5" t="s">
        <x:v>809</x:v>
      </x:c>
      <x:c r="G36" s="5" t="s">
        <x:v>261</x:v>
      </x:c>
      <x:c r="H36" s="5"/>
      <x:c r="I36" s="5"/>
      <x:c r="J36" s="5" t="s">
        <x:v>810</x:v>
      </x:c>
      <x:c r="K36" s="5" t="s">
        <x:v>65</x:v>
      </x:c>
      <x:c r="L36" s="5"/>
    </x:row>
    <x:row r="37" ht="27.600000381469727">
      <x:c r="A37" s="5" t="s">
        <x:v>846</x:v>
      </x:c>
      <x:c r="B37" s="5" t="s">
        <x:v>203</x:v>
      </x:c>
      <x:c r="C37" s="5" t="s">
        <x:v>266</x:v>
      </x:c>
      <x:c r="D37" s="5" t="s">
        <x:v>808</x:v>
      </x:c>
      <x:c r="E37" s="5" t="s">
        <x:v>665</x:v>
      </x:c>
      <x:c r="F37" s="5" t="s">
        <x:v>809</x:v>
      </x:c>
      <x:c r="G37" s="5" t="s">
        <x:v>266</x:v>
      </x:c>
      <x:c r="H37" s="5"/>
      <x:c r="I37" s="5"/>
      <x:c r="J37" s="5" t="s">
        <x:v>810</x:v>
      </x:c>
      <x:c r="K37" s="5" t="s">
        <x:v>65</x:v>
      </x:c>
      <x:c r="L37" s="5"/>
    </x:row>
    <x:row r="38">
      <x:c r="A38" s="5" t="s">
        <x:v>847</x:v>
      </x:c>
      <x:c r="B38" s="5" t="s">
        <x:v>203</x:v>
      </x:c>
      <x:c r="C38" s="5" t="s">
        <x:v>271</x:v>
      </x:c>
      <x:c r="D38" s="5" t="s">
        <x:v>808</x:v>
      </x:c>
      <x:c r="E38" s="5" t="s">
        <x:v>665</x:v>
      </x:c>
      <x:c r="F38" s="5" t="s">
        <x:v>809</x:v>
      </x:c>
      <x:c r="G38" s="5" t="s">
        <x:v>271</x:v>
      </x:c>
      <x:c r="H38" s="5"/>
      <x:c r="I38" s="5"/>
      <x:c r="J38" s="5" t="s">
        <x:v>810</x:v>
      </x:c>
      <x:c r="K38" s="5" t="s">
        <x:v>130</x:v>
      </x:c>
      <x:c r="L38" s="5"/>
    </x:row>
    <x:row r="39">
      <x:c r="A39" s="5" t="s">
        <x:v>848</x:v>
      </x:c>
      <x:c r="B39" s="5" t="s">
        <x:v>203</x:v>
      </x:c>
      <x:c r="C39" s="5" t="s">
        <x:v>275</x:v>
      </x:c>
      <x:c r="D39" s="5" t="s">
        <x:v>808</x:v>
      </x:c>
      <x:c r="E39" s="5" t="s">
        <x:v>665</x:v>
      </x:c>
      <x:c r="F39" s="5" t="s">
        <x:v>809</x:v>
      </x:c>
      <x:c r="G39" s="5" t="s">
        <x:v>275</x:v>
      </x:c>
      <x:c r="H39" s="5"/>
      <x:c r="I39" s="5"/>
      <x:c r="J39" s="5" t="s">
        <x:v>810</x:v>
      </x:c>
      <x:c r="K39" s="5" t="str">
        <x:v>IMPLEMENTATION_HANDOFF.md / Workbook operational tracker</x:v>
      </x:c>
      <x:c r="L39" s="5"/>
    </x:row>
    <x:row r="40" ht="27.600000381469727">
      <x:c r="A40" s="5" t="s">
        <x:v>849</x:v>
      </x:c>
      <x:c r="B40" s="5" t="s">
        <x:v>277</x:v>
      </x:c>
      <x:c r="C40" s="5" t="s">
        <x:v>283</x:v>
      </x:c>
      <x:c r="D40" s="5" t="s">
        <x:v>808</x:v>
      </x:c>
      <x:c r="E40" s="5" t="s">
        <x:v>665</x:v>
      </x:c>
      <x:c r="F40" s="5" t="s">
        <x:v>809</x:v>
      </x:c>
      <x:c r="G40" s="5" t="s">
        <x:v>283</x:v>
      </x:c>
      <x:c r="H40" s="5"/>
      <x:c r="I40" s="5"/>
      <x:c r="J40" s="5" t="s">
        <x:v>810</x:v>
      </x:c>
      <x:c r="K40" s="5" t="s">
        <x:v>282</x:v>
      </x:c>
      <x:c r="L40" s="5"/>
    </x:row>
    <x:row r="41" ht="27.600000381469727">
      <x:c r="A41" s="5" t="s">
        <x:v>850</x:v>
      </x:c>
      <x:c r="B41" s="5" t="s">
        <x:v>277</x:v>
      </x:c>
      <x:c r="C41" s="5" t="s">
        <x:v>288</x:v>
      </x:c>
      <x:c r="D41" s="5" t="s">
        <x:v>808</x:v>
      </x:c>
      <x:c r="E41" s="5" t="s">
        <x:v>665</x:v>
      </x:c>
      <x:c r="F41" s="5" t="s">
        <x:v>809</x:v>
      </x:c>
      <x:c r="G41" s="5" t="s">
        <x:v>288</x:v>
      </x:c>
      <x:c r="H41" s="5"/>
      <x:c r="I41" s="5"/>
      <x:c r="J41" s="5" t="s">
        <x:v>810</x:v>
      </x:c>
      <x:c r="K41" s="5" t="s">
        <x:v>282</x:v>
      </x:c>
      <x:c r="L41" s="5"/>
    </x:row>
    <x:row r="42">
      <x:c r="A42" s="5" t="s">
        <x:v>851</x:v>
      </x:c>
      <x:c r="B42" s="5" t="s">
        <x:v>277</x:v>
      </x:c>
      <x:c r="C42" s="5" t="s">
        <x:v>293</x:v>
      </x:c>
      <x:c r="D42" s="5" t="s">
        <x:v>808</x:v>
      </x:c>
      <x:c r="E42" s="5" t="s">
        <x:v>665</x:v>
      </x:c>
      <x:c r="F42" s="5" t="s">
        <x:v>809</x:v>
      </x:c>
      <x:c r="G42" s="5" t="s">
        <x:v>293</x:v>
      </x:c>
      <x:c r="H42" s="5"/>
      <x:c r="I42" s="5"/>
      <x:c r="J42" s="5" t="s">
        <x:v>810</x:v>
      </x:c>
      <x:c r="K42" s="5" t="s">
        <x:v>130</x:v>
      </x:c>
      <x:c r="L42" s="5"/>
    </x:row>
    <x:row r="43">
      <x:c r="A43" s="5" t="s">
        <x:v>852</x:v>
      </x:c>
      <x:c r="B43" s="5" t="s">
        <x:v>277</x:v>
      </x:c>
      <x:c r="C43" s="5" t="s">
        <x:v>305</x:v>
      </x:c>
      <x:c r="D43" s="5" t="s">
        <x:v>808</x:v>
      </x:c>
      <x:c r="E43" s="5" t="s">
        <x:v>665</x:v>
      </x:c>
      <x:c r="F43" s="5" t="s">
        <x:v>809</x:v>
      </x:c>
      <x:c r="G43" s="5" t="s">
        <x:v>305</x:v>
      </x:c>
      <x:c r="H43" s="5"/>
      <x:c r="I43" s="5"/>
      <x:c r="J43" s="5" t="s">
        <x:v>810</x:v>
      </x:c>
      <x:c r="K43" s="5" t="s">
        <x:v>130</x:v>
      </x:c>
      <x:c r="L43" s="5"/>
    </x:row>
    <x:row r="44">
      <x:c r="A44" s="5" t="s">
        <x:v>853</x:v>
      </x:c>
      <x:c r="B44" s="5" t="s">
        <x:v>277</x:v>
      </x:c>
      <x:c r="C44" s="5" t="s">
        <x:v>310</x:v>
      </x:c>
      <x:c r="D44" s="5" t="s">
        <x:v>808</x:v>
      </x:c>
      <x:c r="E44" s="5" t="s">
        <x:v>665</x:v>
      </x:c>
      <x:c r="F44" s="5" t="s">
        <x:v>809</x:v>
      </x:c>
      <x:c r="G44" s="5" t="s">
        <x:v>310</x:v>
      </x:c>
      <x:c r="H44" s="5"/>
      <x:c r="I44" s="5"/>
      <x:c r="J44" s="5" t="s">
        <x:v>810</x:v>
      </x:c>
      <x:c r="K44" s="5" t="s">
        <x:v>130</x:v>
      </x:c>
      <x:c r="L44" s="5"/>
    </x:row>
    <x:row r="45">
      <x:c r="A45" s="5" t="s">
        <x:v>854</x:v>
      </x:c>
      <x:c r="B45" s="5" t="s">
        <x:v>277</x:v>
      </x:c>
      <x:c r="C45" s="5" t="s">
        <x:v>315</x:v>
      </x:c>
      <x:c r="D45" s="5" t="s">
        <x:v>808</x:v>
      </x:c>
      <x:c r="E45" s="5" t="s">
        <x:v>665</x:v>
      </x:c>
      <x:c r="F45" s="5" t="s">
        <x:v>809</x:v>
      </x:c>
      <x:c r="G45" s="5" t="s">
        <x:v>315</x:v>
      </x:c>
      <x:c r="H45" s="5"/>
      <x:c r="I45" s="5"/>
      <x:c r="J45" s="5" t="s">
        <x:v>810</x:v>
      </x:c>
      <x:c r="K45" s="5" t="s">
        <x:v>130</x:v>
      </x:c>
      <x:c r="L45" s="5"/>
    </x:row>
    <x:row r="46">
      <x:c r="A46" s="5" t="s">
        <x:v>855</x:v>
      </x:c>
      <x:c r="B46" s="5" t="s">
        <x:v>277</x:v>
      </x:c>
      <x:c r="C46" s="5" t="s">
        <x:v>319</x:v>
      </x:c>
      <x:c r="D46" s="5" t="s">
        <x:v>808</x:v>
      </x:c>
      <x:c r="E46" s="5" t="s">
        <x:v>665</x:v>
      </x:c>
      <x:c r="F46" s="5" t="s">
        <x:v>809</x:v>
      </x:c>
      <x:c r="G46" s="5" t="s">
        <x:v>319</x:v>
      </x:c>
      <x:c r="H46" s="5"/>
      <x:c r="I46" s="5"/>
      <x:c r="J46" s="5" t="s">
        <x:v>810</x:v>
      </x:c>
      <x:c r="K46" s="5" t="s">
        <x:v>130</x:v>
      </x:c>
      <x:c r="L46" s="5"/>
    </x:row>
    <x:row r="47" ht="27.600000381469727">
      <x:c r="A47" s="5" t="s">
        <x:v>856</x:v>
      </x:c>
      <x:c r="B47" s="5" t="s">
        <x:v>277</x:v>
      </x:c>
      <x:c r="C47" s="5" t="s">
        <x:v>323</x:v>
      </x:c>
      <x:c r="D47" s="5" t="s">
        <x:v>808</x:v>
      </x:c>
      <x:c r="E47" s="5" t="s">
        <x:v>665</x:v>
      </x:c>
      <x:c r="F47" s="5" t="s">
        <x:v>809</x:v>
      </x:c>
      <x:c r="G47" s="5" t="s">
        <x:v>323</x:v>
      </x:c>
      <x:c r="H47" s="5"/>
      <x:c r="I47" s="5"/>
      <x:c r="J47" s="5" t="s">
        <x:v>810</x:v>
      </x:c>
      <x:c r="K47" s="5" t="s">
        <x:v>65</x:v>
      </x:c>
      <x:c r="L47" s="5"/>
    </x:row>
    <x:row r="48">
      <x:c r="A48" s="5" t="s">
        <x:v>857</x:v>
      </x:c>
      <x:c r="B48" s="5" t="s">
        <x:v>277</x:v>
      </x:c>
      <x:c r="C48" s="5" t="s">
        <x:v>328</x:v>
      </x:c>
      <x:c r="D48" s="5" t="s">
        <x:v>808</x:v>
      </x:c>
      <x:c r="E48" s="5" t="s">
        <x:v>665</x:v>
      </x:c>
      <x:c r="F48" s="5" t="s">
        <x:v>809</x:v>
      </x:c>
      <x:c r="G48" s="5" t="s">
        <x:v>328</x:v>
      </x:c>
      <x:c r="H48" s="5"/>
      <x:c r="I48" s="5"/>
      <x:c r="J48" s="5" t="s">
        <x:v>810</x:v>
      </x:c>
      <x:c r="K48" s="5" t="s">
        <x:v>130</x:v>
      </x:c>
      <x:c r="L48" s="5"/>
    </x:row>
    <x:row r="49">
      <x:c r="A49" s="5" t="s">
        <x:v>858</x:v>
      </x:c>
      <x:c r="B49" s="5" t="s">
        <x:v>277</x:v>
      </x:c>
      <x:c r="C49" s="5" t="s">
        <x:v>332</x:v>
      </x:c>
      <x:c r="D49" s="5" t="s">
        <x:v>808</x:v>
      </x:c>
      <x:c r="E49" s="5" t="s">
        <x:v>665</x:v>
      </x:c>
      <x:c r="F49" s="5" t="s">
        <x:v>809</x:v>
      </x:c>
      <x:c r="G49" s="5" t="s">
        <x:v>332</x:v>
      </x:c>
      <x:c r="H49" s="5"/>
      <x:c r="I49" s="5"/>
      <x:c r="J49" s="5" t="s">
        <x:v>810</x:v>
      </x:c>
      <x:c r="K49" s="5" t="s">
        <x:v>130</x:v>
      </x:c>
      <x:c r="L49" s="5"/>
    </x:row>
    <x:row r="50">
      <x:c r="A50" s="5" t="s">
        <x:v>859</x:v>
      </x:c>
      <x:c r="B50" s="5" t="s">
        <x:v>277</x:v>
      </x:c>
      <x:c r="C50" s="5" t="s">
        <x:v>337</x:v>
      </x:c>
      <x:c r="D50" s="5" t="s">
        <x:v>808</x:v>
      </x:c>
      <x:c r="E50" s="5" t="s">
        <x:v>665</x:v>
      </x:c>
      <x:c r="F50" s="5" t="s">
        <x:v>809</x:v>
      </x:c>
      <x:c r="G50" s="5" t="s">
        <x:v>337</x:v>
      </x:c>
      <x:c r="H50" s="5"/>
      <x:c r="I50" s="5"/>
      <x:c r="J50" s="5" t="s">
        <x:v>810</x:v>
      </x:c>
      <x:c r="K50" s="5" t="s">
        <x:v>130</x:v>
      </x:c>
      <x:c r="L50" s="5"/>
    </x:row>
    <x:row r="51">
      <x:c r="A51" s="5" t="s">
        <x:v>860</x:v>
      </x:c>
      <x:c r="B51" s="5" t="s">
        <x:v>277</x:v>
      </x:c>
      <x:c r="C51" s="5" t="s">
        <x:v>341</x:v>
      </x:c>
      <x:c r="D51" s="5" t="s">
        <x:v>808</x:v>
      </x:c>
      <x:c r="E51" s="5" t="s">
        <x:v>665</x:v>
      </x:c>
      <x:c r="F51" s="5" t="s">
        <x:v>809</x:v>
      </x:c>
      <x:c r="G51" s="5" t="s">
        <x:v>341</x:v>
      </x:c>
      <x:c r="H51" s="5"/>
      <x:c r="I51" s="5"/>
      <x:c r="J51" s="5" t="s">
        <x:v>810</x:v>
      </x:c>
      <x:c r="K51" s="5" t="str">
        <x:v>IMPLEMENTATION_HANDOFF.md / Workbook operational tracker</x:v>
      </x:c>
      <x:c r="L51" s="5"/>
    </x:row>
    <x:row r="52">
      <x:c r="A52" s="5" t="s">
        <x:v>861</x:v>
      </x:c>
      <x:c r="B52" s="5" t="s">
        <x:v>343</x:v>
      </x:c>
      <x:c r="C52" s="5" t="s">
        <x:v>348</x:v>
      </x:c>
      <x:c r="D52" s="5" t="s">
        <x:v>808</x:v>
      </x:c>
      <x:c r="E52" s="5" t="s">
        <x:v>665</x:v>
      </x:c>
      <x:c r="F52" s="5" t="s">
        <x:v>809</x:v>
      </x:c>
      <x:c r="G52" s="5" t="s">
        <x:v>348</x:v>
      </x:c>
      <x:c r="H52" s="5"/>
      <x:c r="I52" s="5"/>
      <x:c r="J52" s="5" t="s">
        <x:v>810</x:v>
      </x:c>
      <x:c r="K52" s="5" t="s">
        <x:v>130</x:v>
      </x:c>
      <x:c r="L52" s="5"/>
    </x:row>
    <x:row r="53">
      <x:c r="A53" s="5" t="s">
        <x:v>862</x:v>
      </x:c>
      <x:c r="B53" s="5" t="s">
        <x:v>343</x:v>
      </x:c>
      <x:c r="C53" s="5" t="s">
        <x:v>353</x:v>
      </x:c>
      <x:c r="D53" s="5" t="s">
        <x:v>808</x:v>
      </x:c>
      <x:c r="E53" s="5" t="s">
        <x:v>665</x:v>
      </x:c>
      <x:c r="F53" s="5" t="s">
        <x:v>809</x:v>
      </x:c>
      <x:c r="G53" s="5" t="s">
        <x:v>353</x:v>
      </x:c>
      <x:c r="H53" s="5"/>
      <x:c r="I53" s="5"/>
      <x:c r="J53" s="5" t="s">
        <x:v>810</x:v>
      </x:c>
      <x:c r="K53" s="5" t="s">
        <x:v>130</x:v>
      </x:c>
      <x:c r="L53" s="5"/>
    </x:row>
    <x:row r="54">
      <x:c r="A54" s="5" t="s">
        <x:v>863</x:v>
      </x:c>
      <x:c r="B54" s="5" t="s">
        <x:v>343</x:v>
      </x:c>
      <x:c r="C54" s="5" t="s">
        <x:v>357</x:v>
      </x:c>
      <x:c r="D54" s="5" t="s">
        <x:v>808</x:v>
      </x:c>
      <x:c r="E54" s="5" t="s">
        <x:v>665</x:v>
      </x:c>
      <x:c r="F54" s="5" t="s">
        <x:v>809</x:v>
      </x:c>
      <x:c r="G54" s="5" t="s">
        <x:v>357</x:v>
      </x:c>
      <x:c r="H54" s="5"/>
      <x:c r="I54" s="5"/>
      <x:c r="J54" s="5" t="s">
        <x:v>810</x:v>
      </x:c>
      <x:c r="K54" s="5" t="s">
        <x:v>130</x:v>
      </x:c>
      <x:c r="L54" s="5"/>
    </x:row>
    <x:row r="55">
      <x:c r="A55" s="5" t="s">
        <x:v>864</x:v>
      </x:c>
      <x:c r="B55" s="5" t="s">
        <x:v>343</x:v>
      </x:c>
      <x:c r="C55" s="5" t="s">
        <x:v>365</x:v>
      </x:c>
      <x:c r="D55" s="5" t="s">
        <x:v>808</x:v>
      </x:c>
      <x:c r="E55" s="5" t="s">
        <x:v>665</x:v>
      </x:c>
      <x:c r="F55" s="5" t="s">
        <x:v>809</x:v>
      </x:c>
      <x:c r="G55" s="5" t="s">
        <x:v>365</x:v>
      </x:c>
      <x:c r="H55" s="5"/>
      <x:c r="I55" s="5"/>
      <x:c r="J55" s="5" t="s">
        <x:v>810</x:v>
      </x:c>
      <x:c r="K55" s="5" t="s">
        <x:v>130</x:v>
      </x:c>
      <x:c r="L55" s="5"/>
    </x:row>
    <x:row r="56">
      <x:c r="A56" s="5" t="s">
        <x:v>865</x:v>
      </x:c>
      <x:c r="B56" s="5" t="s">
        <x:v>343</x:v>
      </x:c>
      <x:c r="C56" s="5" t="s">
        <x:v>370</x:v>
      </x:c>
      <x:c r="D56" s="5" t="s">
        <x:v>808</x:v>
      </x:c>
      <x:c r="E56" s="5" t="s">
        <x:v>665</x:v>
      </x:c>
      <x:c r="F56" s="5" t="s">
        <x:v>809</x:v>
      </x:c>
      <x:c r="G56" s="5" t="s">
        <x:v>370</x:v>
      </x:c>
      <x:c r="H56" s="5"/>
      <x:c r="I56" s="5"/>
      <x:c r="J56" s="5" t="s">
        <x:v>810</x:v>
      </x:c>
      <x:c r="K56" s="5" t="s">
        <x:v>130</x:v>
      </x:c>
      <x:c r="L56" s="5"/>
    </x:row>
    <x:row r="57">
      <x:c r="A57" s="5" t="s">
        <x:v>866</x:v>
      </x:c>
      <x:c r="B57" s="5" t="s">
        <x:v>343</x:v>
      </x:c>
      <x:c r="C57" s="5" t="s">
        <x:v>379</x:v>
      </x:c>
      <x:c r="D57" s="5" t="s">
        <x:v>808</x:v>
      </x:c>
      <x:c r="E57" s="5" t="s">
        <x:v>665</x:v>
      </x:c>
      <x:c r="F57" s="5" t="s">
        <x:v>809</x:v>
      </x:c>
      <x:c r="G57" s="5" t="s">
        <x:v>379</x:v>
      </x:c>
      <x:c r="H57" s="5"/>
      <x:c r="I57" s="5"/>
      <x:c r="J57" s="5" t="s">
        <x:v>810</x:v>
      </x:c>
      <x:c r="K57" s="5" t="s">
        <x:v>130</x:v>
      </x:c>
      <x:c r="L57" s="5"/>
    </x:row>
    <x:row r="58">
      <x:c r="A58" s="5" t="s">
        <x:v>867</x:v>
      </x:c>
      <x:c r="B58" s="5" t="s">
        <x:v>343</x:v>
      </x:c>
      <x:c r="C58" s="5" t="s">
        <x:v>402</x:v>
      </x:c>
      <x:c r="D58" s="5" t="s">
        <x:v>808</x:v>
      </x:c>
      <x:c r="E58" s="5" t="s">
        <x:v>665</x:v>
      </x:c>
      <x:c r="F58" s="5" t="s">
        <x:v>809</x:v>
      </x:c>
      <x:c r="G58" s="5" t="s">
        <x:v>402</x:v>
      </x:c>
      <x:c r="H58" s="5"/>
      <x:c r="I58" s="5"/>
      <x:c r="J58" s="5" t="s">
        <x:v>810</x:v>
      </x:c>
      <x:c r="K58" s="5" t="s">
        <x:v>130</x:v>
      </x:c>
      <x:c r="L58" s="5"/>
    </x:row>
    <x:row r="59">
      <x:c r="A59" s="5" t="s">
        <x:v>868</x:v>
      </x:c>
      <x:c r="B59" s="5" t="s">
        <x:v>343</x:v>
      </x:c>
      <x:c r="C59" s="5" t="s">
        <x:v>417</x:v>
      </x:c>
      <x:c r="D59" s="5" t="s">
        <x:v>808</x:v>
      </x:c>
      <x:c r="E59" s="5" t="s">
        <x:v>665</x:v>
      </x:c>
      <x:c r="F59" s="5" t="s">
        <x:v>809</x:v>
      </x:c>
      <x:c r="G59" s="5" t="s">
        <x:v>417</x:v>
      </x:c>
      <x:c r="H59" s="5"/>
      <x:c r="I59" s="5"/>
      <x:c r="J59" s="5" t="s">
        <x:v>810</x:v>
      </x:c>
      <x:c r="K59" s="5" t="s">
        <x:v>130</x:v>
      </x:c>
      <x:c r="L59" s="5"/>
    </x:row>
    <x:row r="60">
      <x:c r="A60" s="5" t="s">
        <x:v>869</x:v>
      </x:c>
      <x:c r="B60" s="5" t="s">
        <x:v>343</x:v>
      </x:c>
      <x:c r="C60" s="5" t="s">
        <x:v>420</x:v>
      </x:c>
      <x:c r="D60" s="5" t="s">
        <x:v>808</x:v>
      </x:c>
      <x:c r="E60" s="5" t="s">
        <x:v>665</x:v>
      </x:c>
      <x:c r="F60" s="5" t="s">
        <x:v>809</x:v>
      </x:c>
      <x:c r="G60" s="5" t="s">
        <x:v>420</x:v>
      </x:c>
      <x:c r="H60" s="5"/>
      <x:c r="I60" s="5"/>
      <x:c r="J60" s="5" t="s">
        <x:v>810</x:v>
      </x:c>
      <x:c r="K60" s="5" t="s">
        <x:v>130</x:v>
      </x:c>
      <x:c r="L60" s="5"/>
    </x:row>
    <x:row r="61">
      <x:c r="A61" s="5" t="s">
        <x:v>870</x:v>
      </x:c>
      <x:c r="B61" s="5" t="s">
        <x:v>343</x:v>
      </x:c>
      <x:c r="C61" s="5" t="s">
        <x:v>424</x:v>
      </x:c>
      <x:c r="D61" s="5" t="s">
        <x:v>808</x:v>
      </x:c>
      <x:c r="E61" s="5" t="s">
        <x:v>665</x:v>
      </x:c>
      <x:c r="F61" s="5" t="s">
        <x:v>809</x:v>
      </x:c>
      <x:c r="G61" s="5" t="s">
        <x:v>424</x:v>
      </x:c>
      <x:c r="H61" s="5"/>
      <x:c r="I61" s="5"/>
      <x:c r="J61" s="5" t="s">
        <x:v>810</x:v>
      </x:c>
      <x:c r="K61" s="5" t="str">
        <x:v>IMPLEMENTATION_HANDOFF.md / Workbook operational tracker</x:v>
      </x:c>
      <x:c r="L61" s="5"/>
    </x:row>
    <x:row r="62">
      <x:c r="A62" s="5" t="s">
        <x:v>871</x:v>
      </x:c>
      <x:c r="B62" s="5" t="s">
        <x:v>426</x:v>
      </x:c>
      <x:c r="C62" s="5" t="s">
        <x:v>431</x:v>
      </x:c>
      <x:c r="D62" s="5" t="s">
        <x:v>808</x:v>
      </x:c>
      <x:c r="E62" s="5" t="s">
        <x:v>665</x:v>
      </x:c>
      <x:c r="F62" s="5" t="s">
        <x:v>809</x:v>
      </x:c>
      <x:c r="G62" s="5" t="s">
        <x:v>431</x:v>
      </x:c>
      <x:c r="H62" s="5"/>
      <x:c r="I62" s="5"/>
      <x:c r="J62" s="5" t="s">
        <x:v>810</x:v>
      </x:c>
      <x:c r="K62" s="5" t="s">
        <x:v>130</x:v>
      </x:c>
      <x:c r="L62" s="5"/>
    </x:row>
    <x:row r="63">
      <x:c r="A63" s="5" t="s">
        <x:v>872</x:v>
      </x:c>
      <x:c r="B63" s="5" t="s">
        <x:v>426</x:v>
      </x:c>
      <x:c r="C63" s="5" t="s">
        <x:v>439</x:v>
      </x:c>
      <x:c r="D63" s="5" t="s">
        <x:v>808</x:v>
      </x:c>
      <x:c r="E63" s="5" t="s">
        <x:v>665</x:v>
      </x:c>
      <x:c r="F63" s="5" t="s">
        <x:v>809</x:v>
      </x:c>
      <x:c r="G63" s="5" t="s">
        <x:v>439</x:v>
      </x:c>
      <x:c r="H63" s="5"/>
      <x:c r="I63" s="5"/>
      <x:c r="J63" s="5" t="s">
        <x:v>810</x:v>
      </x:c>
      <x:c r="K63" s="5" t="s">
        <x:v>130</x:v>
      </x:c>
      <x:c r="L63" s="5"/>
    </x:row>
    <x:row r="64">
      <x:c r="A64" s="5" t="s">
        <x:v>873</x:v>
      </x:c>
      <x:c r="B64" s="5" t="s">
        <x:v>426</x:v>
      </x:c>
      <x:c r="C64" s="5" t="s">
        <x:v>451</x:v>
      </x:c>
      <x:c r="D64" s="5" t="s">
        <x:v>808</x:v>
      </x:c>
      <x:c r="E64" s="5" t="s">
        <x:v>665</x:v>
      </x:c>
      <x:c r="F64" s="5" t="s">
        <x:v>809</x:v>
      </x:c>
      <x:c r="G64" s="5" t="s">
        <x:v>451</x:v>
      </x:c>
      <x:c r="H64" s="5"/>
      <x:c r="I64" s="5"/>
      <x:c r="J64" s="5" t="s">
        <x:v>810</x:v>
      </x:c>
      <x:c r="K64" s="5" t="s">
        <x:v>130</x:v>
      </x:c>
      <x:c r="L64" s="5"/>
    </x:row>
    <x:row r="65">
      <x:c r="A65" s="5" t="s">
        <x:v>874</x:v>
      </x:c>
      <x:c r="B65" s="5" t="s">
        <x:v>426</x:v>
      </x:c>
      <x:c r="C65" s="5" t="s">
        <x:v>462</x:v>
      </x:c>
      <x:c r="D65" s="5" t="s">
        <x:v>808</x:v>
      </x:c>
      <x:c r="E65" s="5" t="s">
        <x:v>665</x:v>
      </x:c>
      <x:c r="F65" s="5" t="s">
        <x:v>809</x:v>
      </x:c>
      <x:c r="G65" s="5" t="s">
        <x:v>462</x:v>
      </x:c>
      <x:c r="H65" s="5"/>
      <x:c r="I65" s="5"/>
      <x:c r="J65" s="5" t="s">
        <x:v>810</x:v>
      </x:c>
      <x:c r="K65" s="5" t="s">
        <x:v>130</x:v>
      </x:c>
      <x:c r="L65" s="5"/>
    </x:row>
    <x:row r="66">
      <x:c r="A66" s="5" t="s">
        <x:v>875</x:v>
      </x:c>
      <x:c r="B66" s="5" t="s">
        <x:v>426</x:v>
      </x:c>
      <x:c r="C66" s="5" t="s">
        <x:v>466</x:v>
      </x:c>
      <x:c r="D66" s="5" t="s">
        <x:v>808</x:v>
      </x:c>
      <x:c r="E66" s="5" t="s">
        <x:v>665</x:v>
      </x:c>
      <x:c r="F66" s="5" t="s">
        <x:v>809</x:v>
      </x:c>
      <x:c r="G66" s="5" t="s">
        <x:v>466</x:v>
      </x:c>
      <x:c r="H66" s="5"/>
      <x:c r="I66" s="5"/>
      <x:c r="J66" s="5" t="s">
        <x:v>810</x:v>
      </x:c>
      <x:c r="K66" s="5" t="str">
        <x:v>IMPLEMENTATION_HANDOFF.md / Workbook operational tracker</x:v>
      </x:c>
      <x:c r="L66" s="5"/>
    </x:row>
    <x:row r="67">
      <x:c r="A67" s="5" t="s">
        <x:v>876</x:v>
      </x:c>
      <x:c r="B67" s="5" t="s">
        <x:v>468</x:v>
      </x:c>
      <x:c r="C67" s="5" t="s">
        <x:v>473</x:v>
      </x:c>
      <x:c r="D67" s="5" t="s">
        <x:v>808</x:v>
      </x:c>
      <x:c r="E67" s="5" t="s">
        <x:v>665</x:v>
      </x:c>
      <x:c r="F67" s="5" t="s">
        <x:v>809</x:v>
      </x:c>
      <x:c r="G67" s="5" t="s">
        <x:v>473</x:v>
      </x:c>
      <x:c r="H67" s="5"/>
      <x:c r="I67" s="5"/>
      <x:c r="J67" s="5" t="s">
        <x:v>810</x:v>
      </x:c>
      <x:c r="K67" s="5" t="s">
        <x:v>130</x:v>
      </x:c>
      <x:c r="L67" s="5"/>
    </x:row>
    <x:row r="68">
      <x:c r="A68" s="5" t="s">
        <x:v>877</x:v>
      </x:c>
      <x:c r="B68" s="5" t="s">
        <x:v>468</x:v>
      </x:c>
      <x:c r="C68" s="5" t="s">
        <x:v>505</x:v>
      </x:c>
      <x:c r="D68" s="5" t="s">
        <x:v>808</x:v>
      </x:c>
      <x:c r="E68" s="5" t="s">
        <x:v>665</x:v>
      </x:c>
      <x:c r="F68" s="5" t="s">
        <x:v>809</x:v>
      </x:c>
      <x:c r="G68" s="5" t="s">
        <x:v>505</x:v>
      </x:c>
      <x:c r="H68" s="5"/>
      <x:c r="I68" s="5"/>
      <x:c r="J68" s="5" t="s">
        <x:v>810</x:v>
      </x:c>
      <x:c r="K68" s="5" t="s">
        <x:v>130</x:v>
      </x:c>
      <x:c r="L68" s="5"/>
    </x:row>
    <x:row r="69" ht="27.600000381469727">
      <x:c r="A69" s="5" t="s">
        <x:v>878</x:v>
      </x:c>
      <x:c r="B69" s="5" t="s">
        <x:v>468</x:v>
      </x:c>
      <x:c r="C69" s="5" t="s">
        <x:v>527</x:v>
      </x:c>
      <x:c r="D69" s="5" t="s">
        <x:v>808</x:v>
      </x:c>
      <x:c r="E69" s="5" t="s">
        <x:v>665</x:v>
      </x:c>
      <x:c r="F69" s="5" t="s">
        <x:v>809</x:v>
      </x:c>
      <x:c r="G69" s="5" t="s">
        <x:v>527</x:v>
      </x:c>
      <x:c r="H69" s="5"/>
      <x:c r="I69" s="5"/>
      <x:c r="J69" s="5" t="s">
        <x:v>810</x:v>
      </x:c>
      <x:c r="K69" s="5" t="s">
        <x:v>65</x:v>
      </x:c>
      <x:c r="L69" s="5"/>
    </x:row>
    <x:row r="70">
      <x:c r="A70" s="5" t="s">
        <x:v>879</x:v>
      </x:c>
      <x:c r="B70" s="5" t="s">
        <x:v>468</x:v>
      </x:c>
      <x:c r="C70" s="5" t="s">
        <x:v>531</x:v>
      </x:c>
      <x:c r="D70" s="5" t="s">
        <x:v>808</x:v>
      </x:c>
      <x:c r="E70" s="5" t="s">
        <x:v>665</x:v>
      </x:c>
      <x:c r="F70" s="5" t="s">
        <x:v>809</x:v>
      </x:c>
      <x:c r="G70" s="5" t="s">
        <x:v>531</x:v>
      </x:c>
      <x:c r="H70" s="5"/>
      <x:c r="I70" s="5"/>
      <x:c r="J70" s="5" t="s">
        <x:v>810</x:v>
      </x:c>
      <x:c r="K70" s="5" t="str">
        <x:v>IMPLEMENTATION_HANDOFF.md / Workbook operational tracker</x:v>
      </x:c>
      <x:c r="L70" s="5"/>
    </x:row>
    <x:row r="71" ht="41.400001525878906">
      <x:c r="A71" s="5" t="s">
        <x:v>880</x:v>
      </x:c>
      <x:c r="B71" s="5" t="s">
        <x:v>533</x:v>
      </x:c>
      <x:c r="C71" s="5" t="s">
        <x:v>539</x:v>
      </x:c>
      <x:c r="D71" s="5" t="s">
        <x:v>808</x:v>
      </x:c>
      <x:c r="E71" s="5" t="s">
        <x:v>665</x:v>
      </x:c>
      <x:c r="F71" s="5" t="s">
        <x:v>809</x:v>
      </x:c>
      <x:c r="G71" s="5" t="s">
        <x:v>539</x:v>
      </x:c>
      <x:c r="H71" s="5"/>
      <x:c r="I71" s="5"/>
      <x:c r="J71" s="5" t="s">
        <x:v>810</x:v>
      </x:c>
      <x:c r="K71" s="5" t="s">
        <x:v>538</x:v>
      </x:c>
      <x:c r="L71" s="5"/>
    </x:row>
    <x:row r="72" ht="41.400001525878906">
      <x:c r="A72" s="5" t="s">
        <x:v>881</x:v>
      </x:c>
      <x:c r="B72" s="5" t="s">
        <x:v>533</x:v>
      </x:c>
      <x:c r="C72" s="5" t="s">
        <x:v>542</x:v>
      </x:c>
      <x:c r="D72" s="5" t="s">
        <x:v>808</x:v>
      </x:c>
      <x:c r="E72" s="5" t="s">
        <x:v>665</x:v>
      </x:c>
      <x:c r="F72" s="5" t="s">
        <x:v>809</x:v>
      </x:c>
      <x:c r="G72" s="5" t="s">
        <x:v>542</x:v>
      </x:c>
      <x:c r="H72" s="5"/>
      <x:c r="I72" s="5"/>
      <x:c r="J72" s="5" t="s">
        <x:v>810</x:v>
      </x:c>
      <x:c r="K72" s="5" t="s">
        <x:v>538</x:v>
      </x:c>
      <x:c r="L72" s="5"/>
    </x:row>
    <x:row r="73" ht="41.400001525878906">
      <x:c r="A73" s="5" t="s">
        <x:v>882</x:v>
      </x:c>
      <x:c r="B73" s="5" t="s">
        <x:v>533</x:v>
      </x:c>
      <x:c r="C73" s="5" t="s">
        <x:v>545</x:v>
      </x:c>
      <x:c r="D73" s="5" t="s">
        <x:v>808</x:v>
      </x:c>
      <x:c r="E73" s="5" t="s">
        <x:v>665</x:v>
      </x:c>
      <x:c r="F73" s="5" t="s">
        <x:v>809</x:v>
      </x:c>
      <x:c r="G73" s="5" t="s">
        <x:v>545</x:v>
      </x:c>
      <x:c r="H73" s="5"/>
      <x:c r="I73" s="5"/>
      <x:c r="J73" s="5" t="s">
        <x:v>810</x:v>
      </x:c>
      <x:c r="K73" s="5" t="s">
        <x:v>538</x:v>
      </x:c>
      <x:c r="L73" s="5"/>
    </x:row>
    <x:row r="74" ht="41.400001525878906">
      <x:c r="A74" s="5" t="s">
        <x:v>883</x:v>
      </x:c>
      <x:c r="B74" s="5" t="s">
        <x:v>533</x:v>
      </x:c>
      <x:c r="C74" s="5" t="s">
        <x:v>548</x:v>
      </x:c>
      <x:c r="D74" s="5" t="s">
        <x:v>808</x:v>
      </x:c>
      <x:c r="E74" s="5" t="s">
        <x:v>665</x:v>
      </x:c>
      <x:c r="F74" s="5" t="s">
        <x:v>809</x:v>
      </x:c>
      <x:c r="G74" s="5" t="s">
        <x:v>548</x:v>
      </x:c>
      <x:c r="H74" s="5"/>
      <x:c r="I74" s="5"/>
      <x:c r="J74" s="5" t="s">
        <x:v>810</x:v>
      </x:c>
      <x:c r="K74" s="5" t="s">
        <x:v>538</x:v>
      </x:c>
      <x:c r="L74" s="5"/>
    </x:row>
    <x:row r="75" ht="41.400001525878906">
      <x:c r="A75" s="5" t="s">
        <x:v>884</x:v>
      </x:c>
      <x:c r="B75" s="5" t="s">
        <x:v>533</x:v>
      </x:c>
      <x:c r="C75" s="5" t="s">
        <x:v>551</x:v>
      </x:c>
      <x:c r="D75" s="5" t="s">
        <x:v>808</x:v>
      </x:c>
      <x:c r="E75" s="5" t="s">
        <x:v>665</x:v>
      </x:c>
      <x:c r="F75" s="5" t="s">
        <x:v>809</x:v>
      </x:c>
      <x:c r="G75" s="5" t="s">
        <x:v>551</x:v>
      </x:c>
      <x:c r="H75" s="5"/>
      <x:c r="I75" s="5"/>
      <x:c r="J75" s="5" t="s">
        <x:v>810</x:v>
      </x:c>
      <x:c r="K75" s="5" t="s">
        <x:v>538</x:v>
      </x:c>
      <x:c r="L75" s="5"/>
    </x:row>
    <x:row r="76" ht="41.400001525878906">
      <x:c r="A76" s="5" t="s">
        <x:v>885</x:v>
      </x:c>
      <x:c r="B76" s="5" t="s">
        <x:v>533</x:v>
      </x:c>
      <x:c r="C76" s="5" t="s">
        <x:v>554</x:v>
      </x:c>
      <x:c r="D76" s="5" t="s">
        <x:v>808</x:v>
      </x:c>
      <x:c r="E76" s="5" t="s">
        <x:v>665</x:v>
      </x:c>
      <x:c r="F76" s="5" t="s">
        <x:v>809</x:v>
      </x:c>
      <x:c r="G76" s="5" t="s">
        <x:v>554</x:v>
      </x:c>
      <x:c r="H76" s="5"/>
      <x:c r="I76" s="5"/>
      <x:c r="J76" s="5" t="s">
        <x:v>810</x:v>
      </x:c>
      <x:c r="K76" s="5" t="s">
        <x:v>538</x:v>
      </x:c>
      <x:c r="L76" s="5"/>
    </x:row>
    <x:row r="77" ht="41.400001525878906">
      <x:c r="A77" s="5" t="s">
        <x:v>886</x:v>
      </x:c>
      <x:c r="B77" s="5" t="s">
        <x:v>533</x:v>
      </x:c>
      <x:c r="C77" s="5" t="s">
        <x:v>557</x:v>
      </x:c>
      <x:c r="D77" s="5" t="s">
        <x:v>808</x:v>
      </x:c>
      <x:c r="E77" s="5" t="s">
        <x:v>665</x:v>
      </x:c>
      <x:c r="F77" s="5" t="s">
        <x:v>809</x:v>
      </x:c>
      <x:c r="G77" s="5" t="s">
        <x:v>557</x:v>
      </x:c>
      <x:c r="H77" s="5"/>
      <x:c r="I77" s="5"/>
      <x:c r="J77" s="5" t="s">
        <x:v>810</x:v>
      </x:c>
      <x:c r="K77" s="5" t="s">
        <x:v>538</x:v>
      </x:c>
      <x:c r="L77" s="5"/>
    </x:row>
    <x:row r="78" ht="41.400001525878906">
      <x:c r="A78" s="5" t="s">
        <x:v>887</x:v>
      </x:c>
      <x:c r="B78" s="5" t="s">
        <x:v>533</x:v>
      </x:c>
      <x:c r="C78" s="5" t="s">
        <x:v>560</x:v>
      </x:c>
      <x:c r="D78" s="5" t="s">
        <x:v>808</x:v>
      </x:c>
      <x:c r="E78" s="5" t="s">
        <x:v>665</x:v>
      </x:c>
      <x:c r="F78" s="5" t="s">
        <x:v>809</x:v>
      </x:c>
      <x:c r="G78" s="5" t="s">
        <x:v>560</x:v>
      </x:c>
      <x:c r="H78" s="5"/>
      <x:c r="I78" s="5"/>
      <x:c r="J78" s="5" t="s">
        <x:v>810</x:v>
      </x:c>
      <x:c r="K78" s="5" t="s">
        <x:v>538</x:v>
      </x:c>
      <x:c r="L78" s="5"/>
    </x:row>
    <x:row r="79" ht="41.400001525878906">
      <x:c r="A79" s="5" t="s">
        <x:v>888</x:v>
      </x:c>
      <x:c r="B79" s="5" t="s">
        <x:v>533</x:v>
      </x:c>
      <x:c r="C79" s="5" t="s">
        <x:v>563</x:v>
      </x:c>
      <x:c r="D79" s="5" t="s">
        <x:v>808</x:v>
      </x:c>
      <x:c r="E79" s="5" t="s">
        <x:v>665</x:v>
      </x:c>
      <x:c r="F79" s="5" t="s">
        <x:v>809</x:v>
      </x:c>
      <x:c r="G79" s="5" t="s">
        <x:v>563</x:v>
      </x:c>
      <x:c r="H79" s="5"/>
      <x:c r="I79" s="5"/>
      <x:c r="J79" s="5" t="s">
        <x:v>810</x:v>
      </x:c>
      <x:c r="K79" s="5" t="s">
        <x:v>538</x:v>
      </x:c>
      <x:c r="L79" s="5"/>
    </x:row>
    <x:row r="80" ht="41.400001525878906">
      <x:c r="A80" s="5" t="s">
        <x:v>889</x:v>
      </x:c>
      <x:c r="B80" s="5" t="s">
        <x:v>533</x:v>
      </x:c>
      <x:c r="C80" s="5" t="s">
        <x:v>566</x:v>
      </x:c>
      <x:c r="D80" s="5" t="s">
        <x:v>808</x:v>
      </x:c>
      <x:c r="E80" s="5" t="s">
        <x:v>665</x:v>
      </x:c>
      <x:c r="F80" s="5" t="s">
        <x:v>809</x:v>
      </x:c>
      <x:c r="G80" s="5" t="s">
        <x:v>566</x:v>
      </x:c>
      <x:c r="H80" s="5"/>
      <x:c r="I80" s="5"/>
      <x:c r="J80" s="5" t="s">
        <x:v>810</x:v>
      </x:c>
      <x:c r="K80" s="5" t="s">
        <x:v>538</x:v>
      </x:c>
      <x:c r="L80" s="5"/>
    </x:row>
    <x:row r="81" ht="41.400001525878906">
      <x:c r="A81" s="5" t="s">
        <x:v>890</x:v>
      </x:c>
      <x:c r="B81" s="5" t="s">
        <x:v>533</x:v>
      </x:c>
      <x:c r="C81" s="5" t="s">
        <x:v>569</x:v>
      </x:c>
      <x:c r="D81" s="5" t="s">
        <x:v>808</x:v>
      </x:c>
      <x:c r="E81" s="5" t="s">
        <x:v>665</x:v>
      </x:c>
      <x:c r="F81" s="5" t="s">
        <x:v>809</x:v>
      </x:c>
      <x:c r="G81" s="5" t="s">
        <x:v>569</x:v>
      </x:c>
      <x:c r="H81" s="5"/>
      <x:c r="I81" s="5"/>
      <x:c r="J81" s="5" t="s">
        <x:v>810</x:v>
      </x:c>
      <x:c r="K81" s="5" t="s">
        <x:v>538</x:v>
      </x:c>
      <x:c r="L81" s="5"/>
    </x:row>
    <x:row r="82" ht="41.400001525878906">
      <x:c r="A82" s="5" t="s">
        <x:v>891</x:v>
      </x:c>
      <x:c r="B82" s="5" t="s">
        <x:v>533</x:v>
      </x:c>
      <x:c r="C82" s="5" t="s">
        <x:v>572</x:v>
      </x:c>
      <x:c r="D82" s="5" t="s">
        <x:v>808</x:v>
      </x:c>
      <x:c r="E82" s="5" t="s">
        <x:v>665</x:v>
      </x:c>
      <x:c r="F82" s="5" t="s">
        <x:v>809</x:v>
      </x:c>
      <x:c r="G82" s="5" t="s">
        <x:v>572</x:v>
      </x:c>
      <x:c r="H82" s="5"/>
      <x:c r="I82" s="5"/>
      <x:c r="J82" s="5" t="s">
        <x:v>810</x:v>
      </x:c>
      <x:c r="K82" s="5" t="s">
        <x:v>538</x:v>
      </x:c>
      <x:c r="L82" s="5"/>
    </x:row>
    <x:row r="83" ht="41.400001525878906">
      <x:c r="A83" s="5" t="s">
        <x:v>892</x:v>
      </x:c>
      <x:c r="B83" s="5" t="s">
        <x:v>533</x:v>
      </x:c>
      <x:c r="C83" s="5" t="s">
        <x:v>575</x:v>
      </x:c>
      <x:c r="D83" s="5" t="s">
        <x:v>808</x:v>
      </x:c>
      <x:c r="E83" s="5" t="s">
        <x:v>665</x:v>
      </x:c>
      <x:c r="F83" s="5" t="s">
        <x:v>809</x:v>
      </x:c>
      <x:c r="G83" s="5" t="s">
        <x:v>575</x:v>
      </x:c>
      <x:c r="H83" s="5"/>
      <x:c r="I83" s="5"/>
      <x:c r="J83" s="5" t="s">
        <x:v>810</x:v>
      </x:c>
      <x:c r="K83" s="5" t="s">
        <x:v>538</x:v>
      </x:c>
      <x:c r="L83" s="5"/>
    </x:row>
    <x:row r="84" ht="41.400001525878906">
      <x:c r="A84" s="5" t="s">
        <x:v>893</x:v>
      </x:c>
      <x:c r="B84" s="5" t="s">
        <x:v>533</x:v>
      </x:c>
      <x:c r="C84" s="5" t="s">
        <x:v>578</x:v>
      </x:c>
      <x:c r="D84" s="5" t="s">
        <x:v>808</x:v>
      </x:c>
      <x:c r="E84" s="5" t="s">
        <x:v>665</x:v>
      </x:c>
      <x:c r="F84" s="5" t="s">
        <x:v>809</x:v>
      </x:c>
      <x:c r="G84" s="5" t="s">
        <x:v>578</x:v>
      </x:c>
      <x:c r="H84" s="5"/>
      <x:c r="I84" s="5"/>
      <x:c r="J84" s="5" t="s">
        <x:v>810</x:v>
      </x:c>
      <x:c r="K84" s="5" t="s">
        <x:v>538</x:v>
      </x:c>
      <x:c r="L84" s="5"/>
    </x:row>
    <x:row r="85" ht="41.400001525878906">
      <x:c r="A85" s="5" t="s">
        <x:v>894</x:v>
      </x:c>
      <x:c r="B85" s="5" t="s">
        <x:v>533</x:v>
      </x:c>
      <x:c r="C85" s="5" t="s">
        <x:v>581</x:v>
      </x:c>
      <x:c r="D85" s="5" t="s">
        <x:v>808</x:v>
      </x:c>
      <x:c r="E85" s="5" t="s">
        <x:v>665</x:v>
      </x:c>
      <x:c r="F85" s="5" t="s">
        <x:v>809</x:v>
      </x:c>
      <x:c r="G85" s="5" t="s">
        <x:v>581</x:v>
      </x:c>
      <x:c r="H85" s="5"/>
      <x:c r="I85" s="5"/>
      <x:c r="J85" s="5" t="s">
        <x:v>810</x:v>
      </x:c>
      <x:c r="K85" s="5" t="s">
        <x:v>538</x:v>
      </x:c>
      <x:c r="L85" s="5"/>
    </x:row>
    <x:row r="86" ht="41.400001525878906">
      <x:c r="A86" s="5" t="s">
        <x:v>895</x:v>
      </x:c>
      <x:c r="B86" s="5" t="s">
        <x:v>533</x:v>
      </x:c>
      <x:c r="C86" s="5" t="s">
        <x:v>584</x:v>
      </x:c>
      <x:c r="D86" s="5" t="s">
        <x:v>808</x:v>
      </x:c>
      <x:c r="E86" s="5" t="s">
        <x:v>665</x:v>
      </x:c>
      <x:c r="F86" s="5" t="s">
        <x:v>809</x:v>
      </x:c>
      <x:c r="G86" s="5" t="s">
        <x:v>584</x:v>
      </x:c>
      <x:c r="H86" s="5"/>
      <x:c r="I86" s="5"/>
      <x:c r="J86" s="5" t="s">
        <x:v>810</x:v>
      </x:c>
      <x:c r="K86" s="5" t="s">
        <x:v>538</x:v>
      </x:c>
      <x:c r="L86" s="5"/>
    </x:row>
    <x:row r="87" ht="41.400001525878906">
      <x:c r="A87" s="5" t="s">
        <x:v>896</x:v>
      </x:c>
      <x:c r="B87" s="5" t="s">
        <x:v>533</x:v>
      </x:c>
      <x:c r="C87" s="5" t="s">
        <x:v>587</x:v>
      </x:c>
      <x:c r="D87" s="5" t="s">
        <x:v>808</x:v>
      </x:c>
      <x:c r="E87" s="5" t="s">
        <x:v>665</x:v>
      </x:c>
      <x:c r="F87" s="5" t="s">
        <x:v>809</x:v>
      </x:c>
      <x:c r="G87" s="5" t="s">
        <x:v>587</x:v>
      </x:c>
      <x:c r="H87" s="5"/>
      <x:c r="I87" s="5"/>
      <x:c r="J87" s="5" t="s">
        <x:v>810</x:v>
      </x:c>
      <x:c r="K87" s="5" t="s">
        <x:v>538</x:v>
      </x:c>
      <x:c r="L87" s="5"/>
    </x:row>
    <x:row r="88" ht="41.400001525878906">
      <x:c r="A88" s="5" t="s">
        <x:v>897</x:v>
      </x:c>
      <x:c r="B88" s="5" t="s">
        <x:v>533</x:v>
      </x:c>
      <x:c r="C88" s="5" t="s">
        <x:v>590</x:v>
      </x:c>
      <x:c r="D88" s="5" t="s">
        <x:v>808</x:v>
      </x:c>
      <x:c r="E88" s="5" t="s">
        <x:v>665</x:v>
      </x:c>
      <x:c r="F88" s="5" t="s">
        <x:v>809</x:v>
      </x:c>
      <x:c r="G88" s="5" t="s">
        <x:v>590</x:v>
      </x:c>
      <x:c r="H88" s="5"/>
      <x:c r="I88" s="5"/>
      <x:c r="J88" s="5" t="s">
        <x:v>810</x:v>
      </x:c>
      <x:c r="K88" s="5" t="s">
        <x:v>538</x:v>
      </x:c>
      <x:c r="L88" s="5"/>
    </x:row>
    <x:row r="89" ht="41.400001525878906">
      <x:c r="A89" s="5" t="s">
        <x:v>898</x:v>
      </x:c>
      <x:c r="B89" s="5" t="s">
        <x:v>533</x:v>
      </x:c>
      <x:c r="C89" s="5" t="s">
        <x:v>593</x:v>
      </x:c>
      <x:c r="D89" s="5" t="s">
        <x:v>808</x:v>
      </x:c>
      <x:c r="E89" s="5" t="s">
        <x:v>665</x:v>
      </x:c>
      <x:c r="F89" s="5" t="s">
        <x:v>809</x:v>
      </x:c>
      <x:c r="G89" s="5" t="s">
        <x:v>593</x:v>
      </x:c>
      <x:c r="H89" s="5"/>
      <x:c r="I89" s="5"/>
      <x:c r="J89" s="5" t="s">
        <x:v>810</x:v>
      </x:c>
      <x:c r="K89" s="5" t="s">
        <x:v>538</x:v>
      </x:c>
      <x:c r="L89" s="5"/>
    </x:row>
    <x:row r="90" ht="41.400001525878906">
      <x:c r="A90" s="5" t="s">
        <x:v>899</x:v>
      </x:c>
      <x:c r="B90" s="5" t="s">
        <x:v>533</x:v>
      </x:c>
      <x:c r="C90" s="5" t="s">
        <x:v>596</x:v>
      </x:c>
      <x:c r="D90" s="5" t="s">
        <x:v>808</x:v>
      </x:c>
      <x:c r="E90" s="5" t="s">
        <x:v>665</x:v>
      </x:c>
      <x:c r="F90" s="5" t="s">
        <x:v>809</x:v>
      </x:c>
      <x:c r="G90" s="5" t="s">
        <x:v>596</x:v>
      </x:c>
      <x:c r="H90" s="5"/>
      <x:c r="I90" s="5"/>
      <x:c r="J90" s="5" t="s">
        <x:v>810</x:v>
      </x:c>
      <x:c r="K90" s="5" t="s">
        <x:v>538</x:v>
      </x:c>
      <x:c r="L90" s="5"/>
    </x:row>
    <x:row r="91" ht="41.400001525878906">
      <x:c r="A91" s="5" t="s">
        <x:v>900</x:v>
      </x:c>
      <x:c r="B91" s="5" t="s">
        <x:v>533</x:v>
      </x:c>
      <x:c r="C91" s="5" t="s">
        <x:v>599</x:v>
      </x:c>
      <x:c r="D91" s="5" t="s">
        <x:v>808</x:v>
      </x:c>
      <x:c r="E91" s="5" t="s">
        <x:v>665</x:v>
      </x:c>
      <x:c r="F91" s="5" t="s">
        <x:v>809</x:v>
      </x:c>
      <x:c r="G91" s="5" t="s">
        <x:v>599</x:v>
      </x:c>
      <x:c r="H91" s="5"/>
      <x:c r="I91" s="5"/>
      <x:c r="J91" s="5" t="s">
        <x:v>810</x:v>
      </x:c>
      <x:c r="K91" s="5" t="s">
        <x:v>538</x:v>
      </x:c>
      <x:c r="L91" s="5"/>
    </x:row>
    <x:row r="92" ht="41.400001525878906">
      <x:c r="A92" s="5" t="s">
        <x:v>901</x:v>
      </x:c>
      <x:c r="B92" s="5" t="s">
        <x:v>533</x:v>
      </x:c>
      <x:c r="C92" s="5" t="s">
        <x:v>602</x:v>
      </x:c>
      <x:c r="D92" s="5" t="s">
        <x:v>808</x:v>
      </x:c>
      <x:c r="E92" s="5" t="s">
        <x:v>665</x:v>
      </x:c>
      <x:c r="F92" s="5" t="s">
        <x:v>809</x:v>
      </x:c>
      <x:c r="G92" s="5" t="s">
        <x:v>602</x:v>
      </x:c>
      <x:c r="H92" s="5"/>
      <x:c r="I92" s="5"/>
      <x:c r="J92" s="5" t="s">
        <x:v>810</x:v>
      </x:c>
      <x:c r="K92" s="5" t="s">
        <x:v>538</x:v>
      </x:c>
      <x:c r="L92" s="5"/>
    </x:row>
    <x:row r="93" ht="41.400001525878906">
      <x:c r="A93" s="5" t="s">
        <x:v>902</x:v>
      </x:c>
      <x:c r="B93" s="5" t="s">
        <x:v>533</x:v>
      </x:c>
      <x:c r="C93" s="5" t="s">
        <x:v>605</x:v>
      </x:c>
      <x:c r="D93" s="5" t="s">
        <x:v>808</x:v>
      </x:c>
      <x:c r="E93" s="5" t="s">
        <x:v>665</x:v>
      </x:c>
      <x:c r="F93" s="5" t="s">
        <x:v>809</x:v>
      </x:c>
      <x:c r="G93" s="5" t="s">
        <x:v>605</x:v>
      </x:c>
      <x:c r="H93" s="5"/>
      <x:c r="I93" s="5"/>
      <x:c r="J93" s="5" t="s">
        <x:v>810</x:v>
      </x:c>
      <x:c r="K93" s="5" t="s">
        <x:v>538</x:v>
      </x:c>
      <x:c r="L93" s="5"/>
    </x:row>
    <x:row r="94" ht="41.400001525878906">
      <x:c r="A94" s="5" t="s">
        <x:v>903</x:v>
      </x:c>
      <x:c r="B94" s="5" t="s">
        <x:v>533</x:v>
      </x:c>
      <x:c r="C94" s="5" t="s">
        <x:v>608</x:v>
      </x:c>
      <x:c r="D94" s="5" t="s">
        <x:v>808</x:v>
      </x:c>
      <x:c r="E94" s="5" t="s">
        <x:v>665</x:v>
      </x:c>
      <x:c r="F94" s="5" t="s">
        <x:v>809</x:v>
      </x:c>
      <x:c r="G94" s="5" t="s">
        <x:v>608</x:v>
      </x:c>
      <x:c r="H94" s="5"/>
      <x:c r="I94" s="5"/>
      <x:c r="J94" s="5" t="s">
        <x:v>810</x:v>
      </x:c>
      <x:c r="K94" s="5" t="s">
        <x:v>538</x:v>
      </x:c>
      <x:c r="L94" s="5"/>
    </x:row>
    <x:row r="95" ht="41.400001525878906">
      <x:c r="A95" s="5" t="s">
        <x:v>904</x:v>
      </x:c>
      <x:c r="B95" s="5" t="s">
        <x:v>533</x:v>
      </x:c>
      <x:c r="C95" s="5" t="s">
        <x:v>611</x:v>
      </x:c>
      <x:c r="D95" s="5" t="s">
        <x:v>808</x:v>
      </x:c>
      <x:c r="E95" s="5" t="s">
        <x:v>665</x:v>
      </x:c>
      <x:c r="F95" s="5" t="s">
        <x:v>809</x:v>
      </x:c>
      <x:c r="G95" s="5" t="s">
        <x:v>611</x:v>
      </x:c>
      <x:c r="H95" s="5"/>
      <x:c r="I95" s="5"/>
      <x:c r="J95" s="5" t="s">
        <x:v>810</x:v>
      </x:c>
      <x:c r="K95" s="5" t="s">
        <x:v>538</x:v>
      </x:c>
      <x:c r="L95" s="5"/>
    </x:row>
    <x:row r="96" ht="27.600000381469727">
      <x:c r="A96" s="5" t="s">
        <x:v>905</x:v>
      </x:c>
      <x:c r="B96" s="5" t="s">
        <x:v>533</x:v>
      </x:c>
      <x:c r="C96" s="5" t="s">
        <x:v>615</x:v>
      </x:c>
      <x:c r="D96" s="5" t="s">
        <x:v>808</x:v>
      </x:c>
      <x:c r="E96" s="5" t="s">
        <x:v>665</x:v>
      </x:c>
      <x:c r="F96" s="5" t="s">
        <x:v>809</x:v>
      </x:c>
      <x:c r="G96" s="5" t="s">
        <x:v>615</x:v>
      </x:c>
      <x:c r="H96" s="5"/>
      <x:c r="I96" s="5"/>
      <x:c r="J96" s="5" t="s">
        <x:v>810</x:v>
      </x:c>
      <x:c r="K96" s="5" t="s">
        <x:v>65</x:v>
      </x:c>
      <x:c r="L96" s="5"/>
    </x:row>
    <x:row r="97">
      <x:c r="A97" s="5" t="s">
        <x:v>906</x:v>
      </x:c>
      <x:c r="B97" s="5" t="s">
        <x:v>533</x:v>
      </x:c>
      <x:c r="C97" s="5" t="s">
        <x:v>620</x:v>
      </x:c>
      <x:c r="D97" s="5" t="s">
        <x:v>808</x:v>
      </x:c>
      <x:c r="E97" s="5" t="s">
        <x:v>665</x:v>
      </x:c>
      <x:c r="F97" s="5" t="s">
        <x:v>809</x:v>
      </x:c>
      <x:c r="G97" s="5" t="s">
        <x:v>620</x:v>
      </x:c>
      <x:c r="H97" s="5"/>
      <x:c r="I97" s="5"/>
      <x:c r="J97" s="5" t="s">
        <x:v>810</x:v>
      </x:c>
      <x:c r="K97" s="5" t="str">
        <x:v>IMPLEMENTATION_HANDOFF.md / Workbook operational tracker</x:v>
      </x:c>
      <x:c r="L97" s="5"/>
    </x:row>
    <x:row r="98" ht="27.600000381469727">
      <x:c r="A98" s="5" t="s">
        <x:v>907</x:v>
      </x:c>
      <x:c r="B98" s="5" t="s">
        <x:v>622</x:v>
      </x:c>
      <x:c r="C98" s="5" t="s">
        <x:v>627</x:v>
      </x:c>
      <x:c r="D98" s="5" t="s">
        <x:v>808</x:v>
      </x:c>
      <x:c r="E98" s="5" t="s">
        <x:v>665</x:v>
      </x:c>
      <x:c r="F98" s="5" t="s">
        <x:v>809</x:v>
      </x:c>
      <x:c r="G98" s="5" t="s">
        <x:v>627</x:v>
      </x:c>
      <x:c r="H98" s="5"/>
      <x:c r="I98" s="5"/>
      <x:c r="J98" s="5" t="s">
        <x:v>810</x:v>
      </x:c>
      <x:c r="K98" s="5" t="s">
        <x:v>65</x:v>
      </x:c>
      <x:c r="L98" s="5"/>
    </x:row>
    <x:row r="99" ht="27.600000381469727">
      <x:c r="A99" s="5" t="s">
        <x:v>908</x:v>
      </x:c>
      <x:c r="B99" s="5" t="s">
        <x:v>622</x:v>
      </x:c>
      <x:c r="C99" s="5" t="s">
        <x:v>631</x:v>
      </x:c>
      <x:c r="D99" s="5" t="s">
        <x:v>808</x:v>
      </x:c>
      <x:c r="E99" s="5" t="s">
        <x:v>665</x:v>
      </x:c>
      <x:c r="F99" s="5" t="s">
        <x:v>809</x:v>
      </x:c>
      <x:c r="G99" s="5" t="s">
        <x:v>631</x:v>
      </x:c>
      <x:c r="H99" s="5"/>
      <x:c r="I99" s="5"/>
      <x:c r="J99" s="5" t="s">
        <x:v>810</x:v>
      </x:c>
      <x:c r="K99" s="5" t="s">
        <x:v>65</x:v>
      </x:c>
      <x:c r="L99" s="5"/>
    </x:row>
    <x:row r="100" ht="27.600000381469727">
      <x:c r="A100" s="5" t="s">
        <x:v>909</x:v>
      </x:c>
      <x:c r="B100" s="5" t="s">
        <x:v>622</x:v>
      </x:c>
      <x:c r="C100" s="5" t="s">
        <x:v>638</x:v>
      </x:c>
      <x:c r="D100" s="5" t="s">
        <x:v>808</x:v>
      </x:c>
      <x:c r="E100" s="5" t="s">
        <x:v>665</x:v>
      </x:c>
      <x:c r="F100" s="5" t="s">
        <x:v>809</x:v>
      </x:c>
      <x:c r="G100" s="5" t="s">
        <x:v>638</x:v>
      </x:c>
      <x:c r="H100" s="5"/>
      <x:c r="I100" s="5"/>
      <x:c r="J100" s="5" t="s">
        <x:v>810</x:v>
      </x:c>
      <x:c r="K100" s="5" t="s">
        <x:v>65</x:v>
      </x:c>
      <x:c r="L100" s="5"/>
    </x:row>
    <x:row r="101" ht="27.600000381469727">
      <x:c r="A101" s="5" t="s">
        <x:v>910</x:v>
      </x:c>
      <x:c r="B101" s="5" t="s">
        <x:v>622</x:v>
      </x:c>
      <x:c r="C101" s="5" t="s">
        <x:v>642</x:v>
      </x:c>
      <x:c r="D101" s="5" t="s">
        <x:v>808</x:v>
      </x:c>
      <x:c r="E101" s="5" t="s">
        <x:v>665</x:v>
      </x:c>
      <x:c r="F101" s="5" t="s">
        <x:v>809</x:v>
      </x:c>
      <x:c r="G101" s="5" t="s">
        <x:v>642</x:v>
      </x:c>
      <x:c r="H101" s="5"/>
      <x:c r="I101" s="5"/>
      <x:c r="J101" s="5" t="s">
        <x:v>810</x:v>
      </x:c>
      <x:c r="K101" s="5" t="s">
        <x:v>65</x:v>
      </x:c>
      <x:c r="L101" s="5"/>
    </x:row>
    <x:row r="102" ht="27.600000381469727">
      <x:c r="A102" s="5" t="s">
        <x:v>911</x:v>
      </x:c>
      <x:c r="B102" s="5" t="s">
        <x:v>622</x:v>
      </x:c>
      <x:c r="C102" s="5" t="s">
        <x:v>646</x:v>
      </x:c>
      <x:c r="D102" s="5" t="s">
        <x:v>808</x:v>
      </x:c>
      <x:c r="E102" s="5" t="s">
        <x:v>665</x:v>
      </x:c>
      <x:c r="F102" s="5" t="s">
        <x:v>809</x:v>
      </x:c>
      <x:c r="G102" s="5" t="s">
        <x:v>646</x:v>
      </x:c>
      <x:c r="H102" s="5"/>
      <x:c r="I102" s="5"/>
      <x:c r="J102" s="5" t="s">
        <x:v>810</x:v>
      </x:c>
      <x:c r="K102" s="5" t="s">
        <x:v>65</x:v>
      </x:c>
      <x:c r="L102" s="5"/>
    </x:row>
    <x:row r="103" ht="27.600000381469727">
      <x:c r="A103" s="5" t="s">
        <x:v>912</x:v>
      </x:c>
      <x:c r="B103" s="5" t="s">
        <x:v>622</x:v>
      </x:c>
      <x:c r="C103" s="5" t="s">
        <x:v>650</x:v>
      </x:c>
      <x:c r="D103" s="5" t="s">
        <x:v>808</x:v>
      </x:c>
      <x:c r="E103" s="5" t="s">
        <x:v>665</x:v>
      </x:c>
      <x:c r="F103" s="5" t="s">
        <x:v>809</x:v>
      </x:c>
      <x:c r="G103" s="5" t="s">
        <x:v>650</x:v>
      </x:c>
      <x:c r="H103" s="5"/>
      <x:c r="I103" s="5"/>
      <x:c r="J103" s="5" t="s">
        <x:v>810</x:v>
      </x:c>
      <x:c r="K103" s="5" t="s">
        <x:v>65</x:v>
      </x:c>
      <x:c r="L103" s="5"/>
    </x:row>
    <x:row r="104" ht="27.600000381469727">
      <x:c r="A104" s="5" t="s">
        <x:v>913</x:v>
      </x:c>
      <x:c r="B104" s="5" t="s">
        <x:v>622</x:v>
      </x:c>
      <x:c r="C104" s="5" t="s">
        <x:v>654</x:v>
      </x:c>
      <x:c r="D104" s="5" t="s">
        <x:v>808</x:v>
      </x:c>
      <x:c r="E104" s="5" t="s">
        <x:v>665</x:v>
      </x:c>
      <x:c r="F104" s="5" t="s">
        <x:v>809</x:v>
      </x:c>
      <x:c r="G104" s="5" t="s">
        <x:v>654</x:v>
      </x:c>
      <x:c r="H104" s="5"/>
      <x:c r="I104" s="5"/>
      <x:c r="J104" s="5" t="s">
        <x:v>810</x:v>
      </x:c>
      <x:c r="K104" s="5" t="s">
        <x:v>65</x:v>
      </x:c>
      <x:c r="L104" s="5"/>
    </x:row>
    <x:row r="105">
      <x:c r="A105" s="5" t="s">
        <x:v>914</x:v>
      </x:c>
      <x:c r="B105" s="5" t="s">
        <x:v>622</x:v>
      </x:c>
      <x:c r="C105" s="5" t="s">
        <x:v>659</x:v>
      </x:c>
      <x:c r="D105" s="5" t="s">
        <x:v>808</x:v>
      </x:c>
      <x:c r="E105" s="5" t="s">
        <x:v>665</x:v>
      </x:c>
      <x:c r="F105" s="5" t="s">
        <x:v>809</x:v>
      </x:c>
      <x:c r="G105" s="5" t="s">
        <x:v>659</x:v>
      </x:c>
      <x:c r="H105" s="5"/>
      <x:c r="I105" s="5"/>
      <x:c r="J105" s="5" t="s">
        <x:v>810</x:v>
      </x:c>
      <x:c r="K105" s="5" t="s">
        <x:v>130</x:v>
      </x:c>
      <x:c r="L105" s="5"/>
    </x:row>
    <x:row r="106" ht="27.600000381469727">
      <x:c r="A106" s="5" t="s">
        <x:v>915</x:v>
      </x:c>
      <x:c r="B106" s="5" t="s">
        <x:v>622</x:v>
      </x:c>
      <x:c r="C106" s="5" t="s">
        <x:v>664</x:v>
      </x:c>
      <x:c r="D106" s="5" t="s">
        <x:v>808</x:v>
      </x:c>
      <x:c r="E106" s="5" t="s">
        <x:v>665</x:v>
      </x:c>
      <x:c r="F106" s="5" t="s">
        <x:v>809</x:v>
      </x:c>
      <x:c r="G106" s="5" t="s">
        <x:v>664</x:v>
      </x:c>
      <x:c r="H106" s="5"/>
      <x:c r="I106" s="5"/>
      <x:c r="J106" s="5" t="s">
        <x:v>810</x:v>
      </x:c>
      <x:c r="K106" s="5" t="s">
        <x:v>65</x:v>
      </x:c>
      <x:c r="L106" s="5"/>
    </x:row>
    <x:row r="107">
      <x:c r="A107" s="5" t="s">
        <x:v>916</x:v>
      </x:c>
      <x:c r="B107" s="5" t="s">
        <x:v>622</x:v>
      </x:c>
      <x:c r="C107" s="5" t="s">
        <x:v>669</x:v>
      </x:c>
      <x:c r="D107" s="5" t="s">
        <x:v>808</x:v>
      </x:c>
      <x:c r="E107" s="5" t="s">
        <x:v>665</x:v>
      </x:c>
      <x:c r="F107" s="5" t="s">
        <x:v>809</x:v>
      </x:c>
      <x:c r="G107" s="5" t="s">
        <x:v>669</x:v>
      </x:c>
      <x:c r="H107" s="5"/>
      <x:c r="I107" s="5"/>
      <x:c r="J107" s="5" t="s">
        <x:v>810</x:v>
      </x:c>
      <x:c r="K107" s="5" t="str">
        <x:v>IMPLEMENTATION_HANDOFF.md / Workbook operational tracker</x:v>
      </x:c>
      <x:c r="L107" s="5"/>
    </x:row>
    <x:row r="108">
      <x:c r="A108" s="5" t="s">
        <x:v>917</x:v>
      </x:c>
      <x:c r="B108" s="5" t="s">
        <x:v>671</x:v>
      </x:c>
      <x:c r="C108" s="5" t="s">
        <x:v>676</x:v>
      </x:c>
      <x:c r="D108" s="5" t="s">
        <x:v>808</x:v>
      </x:c>
      <x:c r="E108" s="5" t="s">
        <x:v>665</x:v>
      </x:c>
      <x:c r="F108" s="5" t="s">
        <x:v>809</x:v>
      </x:c>
      <x:c r="G108" s="5" t="s">
        <x:v>676</x:v>
      </x:c>
      <x:c r="H108" s="5"/>
      <x:c r="I108" s="5"/>
      <x:c r="J108" s="5" t="s">
        <x:v>810</x:v>
      </x:c>
      <x:c r="K108" s="5" t="s">
        <x:v>130</x:v>
      </x:c>
      <x:c r="L108" s="5"/>
    </x:row>
    <x:row r="109" ht="27.600000381469727">
      <x:c r="A109" s="5" t="s">
        <x:v>918</x:v>
      </x:c>
      <x:c r="B109" s="5" t="s">
        <x:v>671</x:v>
      </x:c>
      <x:c r="C109" s="5" t="s">
        <x:v>681</x:v>
      </x:c>
      <x:c r="D109" s="5" t="s">
        <x:v>808</x:v>
      </x:c>
      <x:c r="E109" s="5" t="s">
        <x:v>665</x:v>
      </x:c>
      <x:c r="F109" s="5" t="s">
        <x:v>809</x:v>
      </x:c>
      <x:c r="G109" s="5" t="s">
        <x:v>681</x:v>
      </x:c>
      <x:c r="H109" s="5"/>
      <x:c r="I109" s="5"/>
      <x:c r="J109" s="5" t="s">
        <x:v>810</x:v>
      </x:c>
      <x:c r="K109" s="5" t="s">
        <x:v>65</x:v>
      </x:c>
      <x:c r="L109" s="5"/>
    </x:row>
    <x:row r="110">
      <x:c r="A110" s="5" t="s">
        <x:v>919</x:v>
      </x:c>
      <x:c r="B110" s="5" t="s">
        <x:v>671</x:v>
      </x:c>
      <x:c r="C110" s="5" t="s">
        <x:v>686</x:v>
      </x:c>
      <x:c r="D110" s="5" t="s">
        <x:v>808</x:v>
      </x:c>
      <x:c r="E110" s="5" t="s">
        <x:v>665</x:v>
      </x:c>
      <x:c r="F110" s="5" t="s">
        <x:v>809</x:v>
      </x:c>
      <x:c r="G110" s="5" t="s">
        <x:v>686</x:v>
      </x:c>
      <x:c r="H110" s="5"/>
      <x:c r="I110" s="5"/>
      <x:c r="J110" s="5" t="s">
        <x:v>810</x:v>
      </x:c>
      <x:c r="K110" s="5" t="s">
        <x:v>130</x:v>
      </x:c>
      <x:c r="L110" s="5"/>
    </x:row>
    <x:row r="111">
      <x:c r="A111" s="5" t="s">
        <x:v>920</x:v>
      </x:c>
      <x:c r="B111" s="5" t="s">
        <x:v>671</x:v>
      </x:c>
      <x:c r="C111" s="5" t="s">
        <x:v>701</x:v>
      </x:c>
      <x:c r="D111" s="5" t="s">
        <x:v>808</x:v>
      </x:c>
      <x:c r="E111" s="5" t="s">
        <x:v>665</x:v>
      </x:c>
      <x:c r="F111" s="5" t="s">
        <x:v>809</x:v>
      </x:c>
      <x:c r="G111" s="5" t="s">
        <x:v>701</x:v>
      </x:c>
      <x:c r="H111" s="5"/>
      <x:c r="I111" s="5"/>
      <x:c r="J111" s="5" t="s">
        <x:v>810</x:v>
      </x:c>
      <x:c r="K111" s="5" t="s">
        <x:v>130</x:v>
      </x:c>
      <x:c r="L111" s="5"/>
    </x:row>
    <x:row r="112" ht="27.600000381469727">
      <x:c r="A112" s="5" t="s">
        <x:v>921</x:v>
      </x:c>
      <x:c r="B112" s="5" t="s">
        <x:v>671</x:v>
      </x:c>
      <x:c r="C112" s="5" t="s">
        <x:v>709</x:v>
      </x:c>
      <x:c r="D112" s="5" t="s">
        <x:v>808</x:v>
      </x:c>
      <x:c r="E112" s="5" t="s">
        <x:v>665</x:v>
      </x:c>
      <x:c r="F112" s="5" t="s">
        <x:v>809</x:v>
      </x:c>
      <x:c r="G112" s="5" t="s">
        <x:v>709</x:v>
      </x:c>
      <x:c r="H112" s="5"/>
      <x:c r="I112" s="5"/>
      <x:c r="J112" s="5" t="s">
        <x:v>810</x:v>
      </x:c>
      <x:c r="K112" s="5" t="s">
        <x:v>65</x:v>
      </x:c>
      <x:c r="L112" s="5"/>
    </x:row>
    <x:row r="113">
      <x:c r="A113" s="5" t="s">
        <x:v>922</x:v>
      </x:c>
      <x:c r="B113" s="5" t="s">
        <x:v>671</x:v>
      </x:c>
      <x:c r="C113" s="5" t="s">
        <x:v>713</x:v>
      </x:c>
      <x:c r="D113" s="5" t="s">
        <x:v>808</x:v>
      </x:c>
      <x:c r="E113" s="5" t="s">
        <x:v>665</x:v>
      </x:c>
      <x:c r="F113" s="5" t="s">
        <x:v>809</x:v>
      </x:c>
      <x:c r="G113" s="5" t="s">
        <x:v>713</x:v>
      </x:c>
      <x:c r="H113" s="5"/>
      <x:c r="I113" s="5"/>
      <x:c r="J113" s="5" t="s">
        <x:v>810</x:v>
      </x:c>
      <x:c r="K113" s="5" t="s">
        <x:v>130</x:v>
      </x:c>
      <x:c r="L113" s="5"/>
    </x:row>
    <x:row r="114" ht="27.600000381469727">
      <x:c r="A114" s="5" t="s">
        <x:v>923</x:v>
      </x:c>
      <x:c r="B114" s="5" t="s">
        <x:v>671</x:v>
      </x:c>
      <x:c r="C114" s="5" t="s">
        <x:v>719</x:v>
      </x:c>
      <x:c r="D114" s="5" t="s">
        <x:v>808</x:v>
      </x:c>
      <x:c r="E114" s="5" t="s">
        <x:v>665</x:v>
      </x:c>
      <x:c r="F114" s="5" t="s">
        <x:v>809</x:v>
      </x:c>
      <x:c r="G114" s="5" t="s">
        <x:v>719</x:v>
      </x:c>
      <x:c r="H114" s="5"/>
      <x:c r="I114" s="5"/>
      <x:c r="J114" s="5" t="s">
        <x:v>810</x:v>
      </x:c>
      <x:c r="K114" s="5" t="s">
        <x:v>65</x:v>
      </x:c>
      <x:c r="L114" s="5"/>
    </x:row>
    <x:row r="115" ht="41.400001525878906">
      <x:c r="A115" s="5" t="s">
        <x:v>924</x:v>
      </x:c>
      <x:c r="B115" s="5" t="s">
        <x:v>671</x:v>
      </x:c>
      <x:c r="C115" s="5" t="s">
        <x:v>725</x:v>
      </x:c>
      <x:c r="D115" s="5" t="s">
        <x:v>808</x:v>
      </x:c>
      <x:c r="E115" s="5" t="s">
        <x:v>665</x:v>
      </x:c>
      <x:c r="F115" s="5" t="s">
        <x:v>809</x:v>
      </x:c>
      <x:c r="G115" s="5" t="s">
        <x:v>725</x:v>
      </x:c>
      <x:c r="H115" s="5"/>
      <x:c r="I115" s="5"/>
      <x:c r="J115" s="5" t="s">
        <x:v>810</x:v>
      </x:c>
      <x:c r="K115" s="5" t="s">
        <x:v>59</x:v>
      </x:c>
      <x:c r="L115" s="5"/>
    </x:row>
    <x:row r="116" ht="27.600000381469727">
      <x:c r="A116" s="5" t="s">
        <x:v>925</x:v>
      </x:c>
      <x:c r="B116" s="5" t="s">
        <x:v>671</x:v>
      </x:c>
      <x:c r="C116" s="5" t="s">
        <x:v>731</x:v>
      </x:c>
      <x:c r="D116" s="5" t="s">
        <x:v>808</x:v>
      </x:c>
      <x:c r="E116" s="5" t="s">
        <x:v>665</x:v>
      </x:c>
      <x:c r="F116" s="5" t="s">
        <x:v>809</x:v>
      </x:c>
      <x:c r="G116" s="5" t="s">
        <x:v>731</x:v>
      </x:c>
      <x:c r="H116" s="5"/>
      <x:c r="I116" s="5"/>
      <x:c r="J116" s="5" t="s">
        <x:v>810</x:v>
      </x:c>
      <x:c r="K116" s="5" t="s">
        <x:v>65</x:v>
      </x:c>
      <x:c r="L116" s="5"/>
    </x:row>
    <x:row r="117" ht="27.600000381469727">
      <x:c r="A117" s="5" t="s">
        <x:v>926</x:v>
      </x:c>
      <x:c r="B117" s="5" t="s">
        <x:v>671</x:v>
      </x:c>
      <x:c r="C117" s="5" t="s">
        <x:v>735</x:v>
      </x:c>
      <x:c r="D117" s="5" t="s">
        <x:v>808</x:v>
      </x:c>
      <x:c r="E117" s="5" t="s">
        <x:v>665</x:v>
      </x:c>
      <x:c r="F117" s="5" t="s">
        <x:v>809</x:v>
      </x:c>
      <x:c r="G117" s="5" t="s">
        <x:v>735</x:v>
      </x:c>
      <x:c r="H117" s="5"/>
      <x:c r="I117" s="5"/>
      <x:c r="J117" s="5" t="s">
        <x:v>810</x:v>
      </x:c>
      <x:c r="K117" s="5" t="s">
        <x:v>65</x:v>
      </x:c>
      <x:c r="L117" s="5"/>
    </x:row>
    <x:row r="118" ht="27.600000381469727">
      <x:c r="A118" s="5" t="s">
        <x:v>927</x:v>
      </x:c>
      <x:c r="B118" s="5" t="s">
        <x:v>671</x:v>
      </x:c>
      <x:c r="C118" s="5" t="s">
        <x:v>740</x:v>
      </x:c>
      <x:c r="D118" s="5" t="s">
        <x:v>808</x:v>
      </x:c>
      <x:c r="E118" s="5" t="s">
        <x:v>665</x:v>
      </x:c>
      <x:c r="F118" s="5" t="s">
        <x:v>809</x:v>
      </x:c>
      <x:c r="G118" s="5" t="s">
        <x:v>740</x:v>
      </x:c>
      <x:c r="H118" s="5"/>
      <x:c r="I118" s="5"/>
      <x:c r="J118" s="5" t="s">
        <x:v>810</x:v>
      </x:c>
      <x:c r="K118" s="5" t="s">
        <x:v>65</x:v>
      </x:c>
      <x:c r="L118" s="5"/>
    </x:row>
    <x:row r="119" ht="27.600000381469727">
      <x:c r="A119" s="5" t="s">
        <x:v>928</x:v>
      </x:c>
      <x:c r="B119" s="5" t="s">
        <x:v>671</x:v>
      </x:c>
      <x:c r="C119" s="5" t="s">
        <x:v>745</x:v>
      </x:c>
      <x:c r="D119" s="5" t="s">
        <x:v>808</x:v>
      </x:c>
      <x:c r="E119" s="5" t="s">
        <x:v>665</x:v>
      </x:c>
      <x:c r="F119" s="5" t="s">
        <x:v>809</x:v>
      </x:c>
      <x:c r="G119" s="5" t="s">
        <x:v>745</x:v>
      </x:c>
      <x:c r="H119" s="5"/>
      <x:c r="I119" s="5"/>
      <x:c r="J119" s="5" t="s">
        <x:v>810</x:v>
      </x:c>
      <x:c r="K119" s="5" t="s">
        <x:v>65</x:v>
      </x:c>
      <x:c r="L119" s="5"/>
    </x:row>
    <x:row r="120" ht="27.600000381469727">
      <x:c r="A120" s="5" t="s">
        <x:v>929</x:v>
      </x:c>
      <x:c r="B120" s="5" t="s">
        <x:v>671</x:v>
      </x:c>
      <x:c r="C120" s="5" t="s">
        <x:v>750</x:v>
      </x:c>
      <x:c r="D120" s="5" t="s">
        <x:v>808</x:v>
      </x:c>
      <x:c r="E120" s="5" t="s">
        <x:v>665</x:v>
      </x:c>
      <x:c r="F120" s="5" t="s">
        <x:v>809</x:v>
      </x:c>
      <x:c r="G120" s="5" t="s">
        <x:v>750</x:v>
      </x:c>
      <x:c r="H120" s="5"/>
      <x:c r="I120" s="5"/>
      <x:c r="J120" s="5" t="s">
        <x:v>810</x:v>
      </x:c>
      <x:c r="K120" s="5" t="s">
        <x:v>65</x:v>
      </x:c>
      <x:c r="L120" s="5"/>
    </x:row>
  </x:sheetData>
  <x:dataValidations count="2">
    <x:dataValidation type="list" sqref="F2:F120">
      <x:formula1>"NOT_CREATED,CREATED,VERIFIED,FAIL,NOT_APPLICABLE"</x:formula1>
    </x:dataValidation>
    <x:dataValidation type="list" sqref="J2:J120">
      <x:formula1>"PENDING,PASS,FAIL,NOT_APPLICABLE"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e859d657904405"/>
  </x:tableParts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8" customWidth="1"/>
    <x:col min="3" max="3" width="13" customWidth="1"/>
    <x:col min="4" max="4" width="16" customWidth="1"/>
    <x:col min="5" max="5" width="48" customWidth="1"/>
    <x:col min="6" max="7" width="12" customWidth="1"/>
    <x:col min="8" max="8" width="14" customWidth="1"/>
    <x:col min="9" max="9" width="18" customWidth="1"/>
    <x:col min="10" max="10" width="46" customWidth="1"/>
    <x:col min="11" max="11" width="36" customWidth="1"/>
    <x:col min="12" max="12" width="13" customWidth="1"/>
    <x:col min="13" max="13" width="28" customWidth="1"/>
  </x:cols>
  <x:sheetData>
    <x:row r="1" ht="27.600000381469727">
      <x:c r="A1" s="2" t="s">
        <x:v>930</x:v>
      </x:c>
      <x:c r="B1" s="2" t="s">
        <x:v>10</x:v>
      </x:c>
      <x:c r="C1" s="2" t="s">
        <x:v>931</x:v>
      </x:c>
      <x:c r="D1" s="2" t="s">
        <x:v>43</x:v>
      </x:c>
      <x:c r="E1" s="2" t="s">
        <x:v>932</x:v>
      </x:c>
      <x:c r="F1" s="2" t="s">
        <x:v>933</x:v>
      </x:c>
      <x:c r="G1" s="2" t="s">
        <x:v>934</x:v>
      </x:c>
      <x:c r="H1" s="2" t="s">
        <x:v>12</x:v>
      </x:c>
      <x:c r="I1" s="2" t="s">
        <x:v>24</x:v>
      </x:c>
      <x:c r="J1" s="2" t="s">
        <x:v>935</x:v>
      </x:c>
      <x:c r="K1" s="2" t="s">
        <x:v>936</x:v>
      </x:c>
      <x:c r="L1" s="2" t="s">
        <x:v>937</x:v>
      </x:c>
      <x:c r="M1" s="2" t="s">
        <x:v>53</x:v>
      </x:c>
    </x:row>
    <x:row r="2" ht="27.600000381469727">
      <x:c r="A2" s="5" t="s">
        <x:v>938</x:v>
      </x:c>
      <x:c r="B2" s="5" t="s">
        <x:v>119</x:v>
      </x:c>
      <x:c r="C2" s="5"/>
      <x:c r="D2" s="5" t="s">
        <x:v>138</x:v>
      </x:c>
      <x:c r="E2" s="5" t="s">
        <x:v>939</x:v>
      </x:c>
      <x:c r="F2" s="5" t="s">
        <x:v>27</x:v>
      </x:c>
      <x:c r="G2" s="5" t="s">
        <x:v>33</x:v>
      </x:c>
      <x:c r="H2" s="5" t="s">
        <x:v>940</x:v>
      </x:c>
      <x:c r="I2" s="5" t="s">
        <x:v>28</x:v>
      </x:c>
      <x:c r="J2" s="5" t="s">
        <x:v>941</x:v>
      </x:c>
      <x:c r="K2" s="5" t="s">
        <x:v>191</x:v>
      </x:c>
      <x:c r="L2" s="5"/>
      <x:c r="M2" s="5"/>
    </x:row>
    <x:row r="3" ht="27.600000381469727">
      <x:c r="A3" s="5" t="s">
        <x:v>942</x:v>
      </x:c>
      <x:c r="B3" s="5" t="s">
        <x:v>119</x:v>
      </x:c>
      <x:c r="C3" s="5"/>
      <x:c r="D3" s="5" t="s">
        <x:v>943</x:v>
      </x:c>
      <x:c r="E3" s="5" t="s">
        <x:v>944</x:v>
      </x:c>
      <x:c r="F3" s="5" t="s">
        <x:v>30</x:v>
      </x:c>
      <x:c r="G3" s="5" t="s">
        <x:v>37</x:v>
      </x:c>
      <x:c r="H3" s="5" t="s">
        <x:v>940</x:v>
      </x:c>
      <x:c r="I3" s="5" t="s">
        <x:v>28</x:v>
      </x:c>
      <x:c r="J3" s="5" t="s">
        <x:v>945</x:v>
      </x:c>
      <x:c r="K3" s="5" t="s">
        <x:v>181</x:v>
      </x:c>
      <x:c r="L3" s="5"/>
      <x:c r="M3" s="5"/>
    </x:row>
    <x:row r="4" ht="27.600000381469727">
      <x:c r="A4" s="5" t="s">
        <x:v>946</x:v>
      </x:c>
      <x:c r="B4" s="5" t="s">
        <x:v>343</x:v>
      </x:c>
      <x:c r="C4" s="5"/>
      <x:c r="D4" s="5" t="s">
        <x:v>947</x:v>
      </x:c>
      <x:c r="E4" s="5" t="s">
        <x:v>948</x:v>
      </x:c>
      <x:c r="F4" s="5" t="s">
        <x:v>27</x:v>
      </x:c>
      <x:c r="G4" s="5" t="s">
        <x:v>37</x:v>
      </x:c>
      <x:c r="H4" s="5" t="s">
        <x:v>940</x:v>
      </x:c>
      <x:c r="I4" s="5" t="s">
        <x:v>28</x:v>
      </x:c>
      <x:c r="J4" s="5" t="s">
        <x:v>949</x:v>
      </x:c>
      <x:c r="K4" s="5" t="s">
        <x:v>271</x:v>
      </x:c>
      <x:c r="L4" s="5"/>
      <x:c r="M4" s="5"/>
    </x:row>
    <x:row r="5" ht="27.600000381469727">
      <x:c r="A5" s="5" t="s">
        <x:v>950</x:v>
      </x:c>
      <x:c r="B5" s="5" t="s">
        <x:v>671</x:v>
      </x:c>
      <x:c r="C5" s="5"/>
      <x:c r="D5" s="5" t="s">
        <x:v>194</x:v>
      </x:c>
      <x:c r="E5" s="5" t="s">
        <x:v>951</x:v>
      </x:c>
      <x:c r="F5" s="5" t="s">
        <x:v>30</x:v>
      </x:c>
      <x:c r="G5" s="5" t="s">
        <x:v>33</x:v>
      </x:c>
      <x:c r="H5" s="5" t="s">
        <x:v>940</x:v>
      </x:c>
      <x:c r="I5" s="5" t="s">
        <x:v>28</x:v>
      </x:c>
      <x:c r="J5" s="5" t="s">
        <x:v>952</x:v>
      </x:c>
      <x:c r="K5" s="5" t="s">
        <x:v>337</x:v>
      </x:c>
      <x:c r="L5" s="5"/>
      <x:c r="M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</x:row>
    <x:row r="14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</x:row>
    <x:row r="15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</x:row>
    <x:row r="16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</x:row>
    <x:row r="17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</x:row>
    <x:row r="18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</x:row>
  </x:sheetData>
  <x:conditionalFormatting sqref="F2:F100">
    <x:cfRule type="expression" dxfId="3" priority="1">
      <x:formula>F2="CRITICAL"</x:formula>
    </x:cfRule>
  </x:conditionalFormatting>
  <x:conditionalFormatting sqref="H2:H100">
    <x:cfRule type="expression" dxfId="2" priority="2">
      <x:formula>H2="RESOLVED"</x:formula>
    </x:cfRule>
  </x:conditionalFormatting>
  <x:dataValidations count="3">
    <x:dataValidation type="list" sqref="F2:F100">
      <x:formula1>"CRITICAL,HIGH,MEDIUM,LOW"</x:formula1>
    </x:dataValidation>
    <x:dataValidation type="list" sqref="G2:G100">
      <x:formula1>"HIGH,MEDIUM,LOW"</x:formula1>
    </x:dataValidation>
    <x:dataValidation type="list" sqref="H2:H100">
      <x:formula1>"OPEN,MONITORING,MITIGATED,RESOLVED"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6a749c0dd34500"/>
  </x:tableParts>
</x:worksheet>
</file>

<file path=xl/worksheets/sheet7.xml><?xml version="1.0" encoding="utf-8"?>
<x:worksheet xmlns:x="http://schemas.openxmlformats.org/spreadsheetml/2006/main">
  <x:sheetFormatPr defaultRowHeight="13.800000190734863"/>
  <x:cols>
    <x:col min="1" max="1" width="28" customWidth="1"/>
    <x:col min="2" max="2" width="18" customWidth="1"/>
    <x:col min="3" max="3" width="9" customWidth="1"/>
    <x:col min="4" max="4" width="18" customWidth="1"/>
    <x:col min="5" max="5" width="10" customWidth="1"/>
    <x:col min="6" max="6" width="11" customWidth="1"/>
    <x:col min="7" max="7" width="14" customWidth="1"/>
    <x:col min="8" max="8" width="10" customWidth="1"/>
    <x:col min="9" max="9" width="18" customWidth="1"/>
    <x:col min="10" max="10" width="14" customWidth="1"/>
    <x:col min="11" max="12" width="34" customWidth="1"/>
    <x:col min="13" max="13" width="16" customWidth="1"/>
    <x:col min="14" max="14" width="15" customWidth="1"/>
    <x:col min="15" max="15" width="16" customWidth="1"/>
    <x:col min="16" max="16" width="18" customWidth="1"/>
    <x:col min="17" max="17" width="28" customWidth="1"/>
  </x:cols>
  <x:sheetData>
    <x:row r="1" ht="27.600000381469727">
      <x:c r="A1" s="2" t="s">
        <x:v>953</x:v>
      </x:c>
      <x:c r="B1" s="2" t="s">
        <x:v>954</x:v>
      </x:c>
      <x:c r="C1" s="2" t="s">
        <x:v>955</x:v>
      </x:c>
      <x:c r="D1" s="2" t="s">
        <x:v>414</x:v>
      </x:c>
      <x:c r="E1" s="2" t="s">
        <x:v>956</x:v>
      </x:c>
      <x:c r="F1" s="2" t="s">
        <x:v>957</x:v>
      </x:c>
      <x:c r="G1" s="2" t="s">
        <x:v>958</x:v>
      </x:c>
      <x:c r="H1" s="2" t="s">
        <x:v>959</x:v>
      </x:c>
      <x:c r="I1" s="2" t="s">
        <x:v>960</x:v>
      </x:c>
      <x:c r="J1" s="2" t="s">
        <x:v>961</x:v>
      </x:c>
      <x:c r="K1" s="2" t="s">
        <x:v>962</x:v>
      </x:c>
      <x:c r="L1" s="2" t="s">
        <x:v>963</x:v>
      </x:c>
      <x:c r="M1" s="2" t="s">
        <x:v>964</x:v>
      </x:c>
      <x:c r="N1" s="2" t="s">
        <x:v>965</x:v>
      </x:c>
      <x:c r="O1" s="2" t="s">
        <x:v>966</x:v>
      </x:c>
      <x:c r="P1" s="2" t="s">
        <x:v>967</x:v>
      </x:c>
      <x:c r="Q1" s="2" t="s">
        <x:v>53</x:v>
      </x:c>
    </x:row>
    <x:row r="2" ht="27.600000381469727">
      <x:c r="A2" s="5" t="s">
        <x:v>968</x:v>
      </x:c>
      <x:c r="B2" s="5" t="s">
        <x:v>969</x:v>
      </x:c>
      <x:c r="C2" s="5" t="s">
        <x:v>683</x:v>
      </x:c>
      <x:c r="D2" s="5" t="s">
        <x:v>970</x:v>
      </x:c>
      <x:c r="E2" s="5" t="s">
        <x:v>971</x:v>
      </x:c>
      <x:c r="F2" s="5">
        <x:v>1</x:v>
      </x:c>
      <x:c r="G2" s="5">
        <x:v>204886845</x:v>
      </x:c>
      <x:c r="H2" s="5" t="s">
        <x:v>665</x:v>
      </x:c>
      <x:c r="I2" s="5" t="s">
        <x:v>25</x:v>
      </x:c>
      <x:c r="J2" s="5"/>
      <x:c r="K2" s="5"/>
      <x:c r="L2" s="5"/>
      <x:c r="M2" s="5" t="s">
        <x:v>41</x:v>
      </x:c>
      <x:c r="N2" s="5" t="s">
        <x:v>972</x:v>
      </x:c>
      <x:c r="O2" s="5" t="s">
        <x:v>972</x:v>
      </x:c>
      <x:c r="P2" s="5" t="s">
        <x:v>40</x:v>
      </x:c>
      <x:c r="Q2" s="5"/>
    </x:row>
    <x:row r="3" ht="27.600000381469727">
      <x:c r="A3" s="5" t="s">
        <x:v>973</x:v>
      </x:c>
      <x:c r="B3" s="5" t="s">
        <x:v>969</x:v>
      </x:c>
      <x:c r="C3" s="5" t="s">
        <x:v>683</x:v>
      </x:c>
      <x:c r="D3" s="5" t="s">
        <x:v>970</x:v>
      </x:c>
      <x:c r="E3" s="5" t="s">
        <x:v>971</x:v>
      </x:c>
      <x:c r="F3" s="5">
        <x:v>2</x:v>
      </x:c>
      <x:c r="G3" s="5">
        <x:v>1480646854</x:v>
      </x:c>
      <x:c r="H3" s="5" t="s">
        <x:v>665</x:v>
      </x:c>
      <x:c r="I3" s="5" t="s">
        <x:v>25</x:v>
      </x:c>
      <x:c r="J3" s="5"/>
      <x:c r="K3" s="5"/>
      <x:c r="L3" s="5"/>
      <x:c r="M3" s="5" t="s">
        <x:v>41</x:v>
      </x:c>
      <x:c r="N3" s="5" t="s">
        <x:v>972</x:v>
      </x:c>
      <x:c r="O3" s="5" t="s">
        <x:v>972</x:v>
      </x:c>
      <x:c r="P3" s="5" t="s">
        <x:v>40</x:v>
      </x:c>
      <x:c r="Q3" s="5"/>
    </x:row>
    <x:row r="4" ht="27.600000381469727">
      <x:c r="A4" s="5" t="s">
        <x:v>974</x:v>
      </x:c>
      <x:c r="B4" s="5" t="s">
        <x:v>969</x:v>
      </x:c>
      <x:c r="C4" s="5" t="s">
        <x:v>683</x:v>
      </x:c>
      <x:c r="D4" s="5" t="s">
        <x:v>970</x:v>
      </x:c>
      <x:c r="E4" s="5" t="s">
        <x:v>971</x:v>
      </x:c>
      <x:c r="F4" s="5">
        <x:v>3</x:v>
      </x:c>
      <x:c r="G4" s="5">
        <x:v>1798418854</x:v>
      </x:c>
      <x:c r="H4" s="5" t="s">
        <x:v>665</x:v>
      </x:c>
      <x:c r="I4" s="5" t="s">
        <x:v>25</x:v>
      </x:c>
      <x:c r="J4" s="5"/>
      <x:c r="K4" s="5"/>
      <x:c r="L4" s="5"/>
      <x:c r="M4" s="5" t="s">
        <x:v>41</x:v>
      </x:c>
      <x:c r="N4" s="5" t="s">
        <x:v>972</x:v>
      </x:c>
      <x:c r="O4" s="5" t="s">
        <x:v>972</x:v>
      </x:c>
      <x:c r="P4" s="5" t="s">
        <x:v>40</x:v>
      </x:c>
      <x:c r="Q4" s="5"/>
    </x:row>
    <x:row r="5" ht="27.600000381469727">
      <x:c r="A5" s="5" t="s">
        <x:v>975</x:v>
      </x:c>
      <x:c r="B5" s="5" t="s">
        <x:v>969</x:v>
      </x:c>
      <x:c r="C5" s="5" t="s">
        <x:v>683</x:v>
      </x:c>
      <x:c r="D5" s="5" t="s">
        <x:v>970</x:v>
      </x:c>
      <x:c r="E5" s="5" t="s">
        <x:v>971</x:v>
      </x:c>
      <x:c r="F5" s="5">
        <x:v>4</x:v>
      </x:c>
      <x:c r="G5" s="5">
        <x:v>2045683682</x:v>
      </x:c>
      <x:c r="H5" s="5" t="s">
        <x:v>665</x:v>
      </x:c>
      <x:c r="I5" s="5" t="s">
        <x:v>25</x:v>
      </x:c>
      <x:c r="J5" s="5"/>
      <x:c r="K5" s="5"/>
      <x:c r="L5" s="5"/>
      <x:c r="M5" s="5" t="s">
        <x:v>41</x:v>
      </x:c>
      <x:c r="N5" s="5" t="s">
        <x:v>972</x:v>
      </x:c>
      <x:c r="O5" s="5" t="s">
        <x:v>972</x:v>
      </x:c>
      <x:c r="P5" s="5" t="s">
        <x:v>40</x:v>
      </x:c>
      <x:c r="Q5" s="5"/>
    </x:row>
    <x:row r="6" ht="27.600000381469727">
      <x:c r="A6" s="5" t="s">
        <x:v>976</x:v>
      </x:c>
      <x:c r="B6" s="5" t="s">
        <x:v>969</x:v>
      </x:c>
      <x:c r="C6" s="5" t="s">
        <x:v>683</x:v>
      </x:c>
      <x:c r="D6" s="5" t="s">
        <x:v>970</x:v>
      </x:c>
      <x:c r="E6" s="5" t="s">
        <x:v>971</x:v>
      </x:c>
      <x:c r="F6" s="5">
        <x:v>5</x:v>
      </x:c>
      <x:c r="G6" s="5">
        <x:v>1814859839</x:v>
      </x:c>
      <x:c r="H6" s="5" t="s">
        <x:v>665</x:v>
      </x:c>
      <x:c r="I6" s="5" t="s">
        <x:v>25</x:v>
      </x:c>
      <x:c r="J6" s="5"/>
      <x:c r="K6" s="5"/>
      <x:c r="L6" s="5"/>
      <x:c r="M6" s="5" t="s">
        <x:v>41</x:v>
      </x:c>
      <x:c r="N6" s="5" t="s">
        <x:v>972</x:v>
      </x:c>
      <x:c r="O6" s="5" t="s">
        <x:v>972</x:v>
      </x:c>
      <x:c r="P6" s="5" t="s">
        <x:v>40</x:v>
      </x:c>
      <x:c r="Q6" s="5"/>
    </x:row>
    <x:row r="7" ht="27.600000381469727">
      <x:c r="A7" s="5" t="s">
        <x:v>977</x:v>
      </x:c>
      <x:c r="B7" s="5" t="s">
        <x:v>969</x:v>
      </x:c>
      <x:c r="C7" s="5" t="s">
        <x:v>683</x:v>
      </x:c>
      <x:c r="D7" s="5" t="s">
        <x:v>970</x:v>
      </x:c>
      <x:c r="E7" s="5" t="s">
        <x:v>971</x:v>
      </x:c>
      <x:c r="F7" s="5">
        <x:v>6</x:v>
      </x:c>
      <x:c r="G7" s="5">
        <x:v>1603952859</x:v>
      </x:c>
      <x:c r="H7" s="5" t="s">
        <x:v>665</x:v>
      </x:c>
      <x:c r="I7" s="5" t="s">
        <x:v>25</x:v>
      </x:c>
      <x:c r="J7" s="5"/>
      <x:c r="K7" s="5"/>
      <x:c r="L7" s="5"/>
      <x:c r="M7" s="5" t="s">
        <x:v>41</x:v>
      </x:c>
      <x:c r="N7" s="5" t="s">
        <x:v>972</x:v>
      </x:c>
      <x:c r="O7" s="5" t="s">
        <x:v>972</x:v>
      </x:c>
      <x:c r="P7" s="5" t="s">
        <x:v>40</x:v>
      </x:c>
      <x:c r="Q7" s="5"/>
    </x:row>
    <x:row r="8" ht="27.600000381469727">
      <x:c r="A8" s="5" t="s">
        <x:v>978</x:v>
      </x:c>
      <x:c r="B8" s="5" t="s">
        <x:v>969</x:v>
      </x:c>
      <x:c r="C8" s="5" t="s">
        <x:v>683</x:v>
      </x:c>
      <x:c r="D8" s="5" t="s">
        <x:v>970</x:v>
      </x:c>
      <x:c r="E8" s="5" t="s">
        <x:v>971</x:v>
      </x:c>
      <x:c r="F8" s="5">
        <x:v>7</x:v>
      </x:c>
      <x:c r="G8" s="5">
        <x:v>1878351743</x:v>
      </x:c>
      <x:c r="H8" s="5" t="s">
        <x:v>665</x:v>
      </x:c>
      <x:c r="I8" s="5" t="s">
        <x:v>25</x:v>
      </x:c>
      <x:c r="J8" s="5"/>
      <x:c r="K8" s="5"/>
      <x:c r="L8" s="5"/>
      <x:c r="M8" s="5" t="s">
        <x:v>41</x:v>
      </x:c>
      <x:c r="N8" s="5" t="s">
        <x:v>972</x:v>
      </x:c>
      <x:c r="O8" s="5" t="s">
        <x:v>972</x:v>
      </x:c>
      <x:c r="P8" s="5" t="s">
        <x:v>40</x:v>
      </x:c>
      <x:c r="Q8" s="5"/>
    </x:row>
    <x:row r="9" ht="27.600000381469727">
      <x:c r="A9" s="5" t="s">
        <x:v>979</x:v>
      </x:c>
      <x:c r="B9" s="5" t="s">
        <x:v>969</x:v>
      </x:c>
      <x:c r="C9" s="5" t="s">
        <x:v>683</x:v>
      </x:c>
      <x:c r="D9" s="5" t="s">
        <x:v>970</x:v>
      </x:c>
      <x:c r="E9" s="5" t="s">
        <x:v>971</x:v>
      </x:c>
      <x:c r="F9" s="5">
        <x:v>8</x:v>
      </x:c>
      <x:c r="G9" s="5">
        <x:v>875651179</x:v>
      </x:c>
      <x:c r="H9" s="5" t="s">
        <x:v>665</x:v>
      </x:c>
      <x:c r="I9" s="5" t="s">
        <x:v>25</x:v>
      </x:c>
      <x:c r="J9" s="5"/>
      <x:c r="K9" s="5"/>
      <x:c r="L9" s="5"/>
      <x:c r="M9" s="5" t="s">
        <x:v>41</x:v>
      </x:c>
      <x:c r="N9" s="5" t="s">
        <x:v>972</x:v>
      </x:c>
      <x:c r="O9" s="5" t="s">
        <x:v>972</x:v>
      </x:c>
      <x:c r="P9" s="5" t="s">
        <x:v>40</x:v>
      </x:c>
      <x:c r="Q9" s="5"/>
    </x:row>
    <x:row r="10" ht="27.600000381469727">
      <x:c r="A10" s="5" t="s">
        <x:v>980</x:v>
      </x:c>
      <x:c r="B10" s="5" t="s">
        <x:v>969</x:v>
      </x:c>
      <x:c r="C10" s="5" t="s">
        <x:v>683</x:v>
      </x:c>
      <x:c r="D10" s="5" t="s">
        <x:v>970</x:v>
      </x:c>
      <x:c r="E10" s="5" t="s">
        <x:v>971</x:v>
      </x:c>
      <x:c r="F10" s="5">
        <x:v>9</x:v>
      </x:c>
      <x:c r="G10" s="5">
        <x:v>477581743</x:v>
      </x:c>
      <x:c r="H10" s="5" t="s">
        <x:v>665</x:v>
      </x:c>
      <x:c r="I10" s="5" t="s">
        <x:v>25</x:v>
      </x:c>
      <x:c r="J10" s="5"/>
      <x:c r="K10" s="5"/>
      <x:c r="L10" s="5"/>
      <x:c r="M10" s="5" t="s">
        <x:v>41</x:v>
      </x:c>
      <x:c r="N10" s="5" t="s">
        <x:v>972</x:v>
      </x:c>
      <x:c r="O10" s="5" t="s">
        <x:v>972</x:v>
      </x:c>
      <x:c r="P10" s="5" t="s">
        <x:v>40</x:v>
      </x:c>
      <x:c r="Q10" s="5"/>
    </x:row>
    <x:row r="11" ht="27.600000381469727">
      <x:c r="A11" s="5" t="s">
        <x:v>981</x:v>
      </x:c>
      <x:c r="B11" s="5" t="s">
        <x:v>969</x:v>
      </x:c>
      <x:c r="C11" s="5" t="s">
        <x:v>683</x:v>
      </x:c>
      <x:c r="D11" s="5" t="s">
        <x:v>970</x:v>
      </x:c>
      <x:c r="E11" s="5" t="s">
        <x:v>971</x:v>
      </x:c>
      <x:c r="F11" s="5">
        <x:v>10</x:v>
      </x:c>
      <x:c r="G11" s="5">
        <x:v>869675675</x:v>
      </x:c>
      <x:c r="H11" s="5" t="s">
        <x:v>665</x:v>
      </x:c>
      <x:c r="I11" s="5" t="s">
        <x:v>25</x:v>
      </x:c>
      <x:c r="J11" s="5"/>
      <x:c r="K11" s="5"/>
      <x:c r="L11" s="5"/>
      <x:c r="M11" s="5" t="s">
        <x:v>41</x:v>
      </x:c>
      <x:c r="N11" s="5" t="s">
        <x:v>972</x:v>
      </x:c>
      <x:c r="O11" s="5" t="s">
        <x:v>972</x:v>
      </x:c>
      <x:c r="P11" s="5" t="s">
        <x:v>40</x:v>
      </x:c>
      <x:c r="Q11" s="5"/>
    </x:row>
    <x:row r="12" ht="27.600000381469727">
      <x:c r="A12" s="5" t="s">
        <x:v>982</x:v>
      </x:c>
      <x:c r="B12" s="5" t="s">
        <x:v>969</x:v>
      </x:c>
      <x:c r="C12" s="5" t="s">
        <x:v>683</x:v>
      </x:c>
      <x:c r="D12" s="5" t="s">
        <x:v>970</x:v>
      </x:c>
      <x:c r="E12" s="5" t="s">
        <x:v>983</x:v>
      </x:c>
      <x:c r="F12" s="5">
        <x:v>1</x:v>
      </x:c>
      <x:c r="G12" s="5">
        <x:v>204886845</x:v>
      </x:c>
      <x:c r="H12" s="5" t="s">
        <x:v>665</x:v>
      </x:c>
      <x:c r="I12" s="5" t="s">
        <x:v>25</x:v>
      </x:c>
      <x:c r="J12" s="5"/>
      <x:c r="K12" s="5"/>
      <x:c r="L12" s="5"/>
      <x:c r="M12" s="5" t="s">
        <x:v>41</x:v>
      </x:c>
      <x:c r="N12" s="5" t="s">
        <x:v>972</x:v>
      </x:c>
      <x:c r="O12" s="5" t="s">
        <x:v>972</x:v>
      </x:c>
      <x:c r="P12" s="5" t="s">
        <x:v>40</x:v>
      </x:c>
      <x:c r="Q12" s="5"/>
    </x:row>
    <x:row r="13" ht="27.600000381469727">
      <x:c r="A13" s="5" t="s">
        <x:v>984</x:v>
      </x:c>
      <x:c r="B13" s="5" t="s">
        <x:v>969</x:v>
      </x:c>
      <x:c r="C13" s="5" t="s">
        <x:v>683</x:v>
      </x:c>
      <x:c r="D13" s="5" t="s">
        <x:v>970</x:v>
      </x:c>
      <x:c r="E13" s="5" t="s">
        <x:v>983</x:v>
      </x:c>
      <x:c r="F13" s="5">
        <x:v>2</x:v>
      </x:c>
      <x:c r="G13" s="5">
        <x:v>1480646854</x:v>
      </x:c>
      <x:c r="H13" s="5" t="s">
        <x:v>665</x:v>
      </x:c>
      <x:c r="I13" s="5" t="s">
        <x:v>25</x:v>
      </x:c>
      <x:c r="J13" s="5"/>
      <x:c r="K13" s="5"/>
      <x:c r="L13" s="5"/>
      <x:c r="M13" s="5" t="s">
        <x:v>41</x:v>
      </x:c>
      <x:c r="N13" s="5" t="s">
        <x:v>972</x:v>
      </x:c>
      <x:c r="O13" s="5" t="s">
        <x:v>972</x:v>
      </x:c>
      <x:c r="P13" s="5" t="s">
        <x:v>40</x:v>
      </x:c>
      <x:c r="Q13" s="5"/>
    </x:row>
    <x:row r="14" ht="27.600000381469727">
      <x:c r="A14" s="5" t="s">
        <x:v>985</x:v>
      </x:c>
      <x:c r="B14" s="5" t="s">
        <x:v>969</x:v>
      </x:c>
      <x:c r="C14" s="5" t="s">
        <x:v>683</x:v>
      </x:c>
      <x:c r="D14" s="5" t="s">
        <x:v>970</x:v>
      </x:c>
      <x:c r="E14" s="5" t="s">
        <x:v>983</x:v>
      </x:c>
      <x:c r="F14" s="5">
        <x:v>3</x:v>
      </x:c>
      <x:c r="G14" s="5">
        <x:v>1798418854</x:v>
      </x:c>
      <x:c r="H14" s="5" t="s">
        <x:v>665</x:v>
      </x:c>
      <x:c r="I14" s="5" t="s">
        <x:v>25</x:v>
      </x:c>
      <x:c r="J14" s="5"/>
      <x:c r="K14" s="5"/>
      <x:c r="L14" s="5"/>
      <x:c r="M14" s="5" t="s">
        <x:v>41</x:v>
      </x:c>
      <x:c r="N14" s="5" t="s">
        <x:v>972</x:v>
      </x:c>
      <x:c r="O14" s="5" t="s">
        <x:v>972</x:v>
      </x:c>
      <x:c r="P14" s="5" t="s">
        <x:v>40</x:v>
      </x:c>
      <x:c r="Q14" s="5"/>
    </x:row>
    <x:row r="15" ht="27.600000381469727">
      <x:c r="A15" s="5" t="s">
        <x:v>986</x:v>
      </x:c>
      <x:c r="B15" s="5" t="s">
        <x:v>969</x:v>
      </x:c>
      <x:c r="C15" s="5" t="s">
        <x:v>683</x:v>
      </x:c>
      <x:c r="D15" s="5" t="s">
        <x:v>970</x:v>
      </x:c>
      <x:c r="E15" s="5" t="s">
        <x:v>983</x:v>
      </x:c>
      <x:c r="F15" s="5">
        <x:v>4</x:v>
      </x:c>
      <x:c r="G15" s="5">
        <x:v>2045683682</x:v>
      </x:c>
      <x:c r="H15" s="5" t="s">
        <x:v>665</x:v>
      </x:c>
      <x:c r="I15" s="5" t="s">
        <x:v>25</x:v>
      </x:c>
      <x:c r="J15" s="5"/>
      <x:c r="K15" s="5"/>
      <x:c r="L15" s="5"/>
      <x:c r="M15" s="5" t="s">
        <x:v>41</x:v>
      </x:c>
      <x:c r="N15" s="5" t="s">
        <x:v>972</x:v>
      </x:c>
      <x:c r="O15" s="5" t="s">
        <x:v>972</x:v>
      </x:c>
      <x:c r="P15" s="5" t="s">
        <x:v>40</x:v>
      </x:c>
      <x:c r="Q15" s="5"/>
    </x:row>
    <x:row r="16" ht="27.600000381469727">
      <x:c r="A16" s="5" t="s">
        <x:v>987</x:v>
      </x:c>
      <x:c r="B16" s="5" t="s">
        <x:v>969</x:v>
      </x:c>
      <x:c r="C16" s="5" t="s">
        <x:v>683</x:v>
      </x:c>
      <x:c r="D16" s="5" t="s">
        <x:v>970</x:v>
      </x:c>
      <x:c r="E16" s="5" t="s">
        <x:v>983</x:v>
      </x:c>
      <x:c r="F16" s="5">
        <x:v>5</x:v>
      </x:c>
      <x:c r="G16" s="5">
        <x:v>1814859839</x:v>
      </x:c>
      <x:c r="H16" s="5" t="s">
        <x:v>665</x:v>
      </x:c>
      <x:c r="I16" s="5" t="s">
        <x:v>25</x:v>
      </x:c>
      <x:c r="J16" s="5"/>
      <x:c r="K16" s="5"/>
      <x:c r="L16" s="5"/>
      <x:c r="M16" s="5" t="s">
        <x:v>41</x:v>
      </x:c>
      <x:c r="N16" s="5" t="s">
        <x:v>972</x:v>
      </x:c>
      <x:c r="O16" s="5" t="s">
        <x:v>972</x:v>
      </x:c>
      <x:c r="P16" s="5" t="s">
        <x:v>40</x:v>
      </x:c>
      <x:c r="Q16" s="5"/>
    </x:row>
    <x:row r="17" ht="27.600000381469727">
      <x:c r="A17" s="5" t="s">
        <x:v>988</x:v>
      </x:c>
      <x:c r="B17" s="5" t="s">
        <x:v>969</x:v>
      </x:c>
      <x:c r="C17" s="5" t="s">
        <x:v>683</x:v>
      </x:c>
      <x:c r="D17" s="5" t="s">
        <x:v>970</x:v>
      </x:c>
      <x:c r="E17" s="5" t="s">
        <x:v>983</x:v>
      </x:c>
      <x:c r="F17" s="5">
        <x:v>6</x:v>
      </x:c>
      <x:c r="G17" s="5">
        <x:v>1603952859</x:v>
      </x:c>
      <x:c r="H17" s="5" t="s">
        <x:v>665</x:v>
      </x:c>
      <x:c r="I17" s="5" t="s">
        <x:v>25</x:v>
      </x:c>
      <x:c r="J17" s="5"/>
      <x:c r="K17" s="5"/>
      <x:c r="L17" s="5"/>
      <x:c r="M17" s="5" t="s">
        <x:v>41</x:v>
      </x:c>
      <x:c r="N17" s="5" t="s">
        <x:v>972</x:v>
      </x:c>
      <x:c r="O17" s="5" t="s">
        <x:v>972</x:v>
      </x:c>
      <x:c r="P17" s="5" t="s">
        <x:v>40</x:v>
      </x:c>
      <x:c r="Q17" s="5"/>
    </x:row>
    <x:row r="18" ht="27.600000381469727">
      <x:c r="A18" s="5" t="s">
        <x:v>989</x:v>
      </x:c>
      <x:c r="B18" s="5" t="s">
        <x:v>969</x:v>
      </x:c>
      <x:c r="C18" s="5" t="s">
        <x:v>683</x:v>
      </x:c>
      <x:c r="D18" s="5" t="s">
        <x:v>970</x:v>
      </x:c>
      <x:c r="E18" s="5" t="s">
        <x:v>983</x:v>
      </x:c>
      <x:c r="F18" s="5">
        <x:v>7</x:v>
      </x:c>
      <x:c r="G18" s="5">
        <x:v>1878351743</x:v>
      </x:c>
      <x:c r="H18" s="5" t="s">
        <x:v>665</x:v>
      </x:c>
      <x:c r="I18" s="5" t="s">
        <x:v>25</x:v>
      </x:c>
      <x:c r="J18" s="5"/>
      <x:c r="K18" s="5"/>
      <x:c r="L18" s="5"/>
      <x:c r="M18" s="5" t="s">
        <x:v>41</x:v>
      </x:c>
      <x:c r="N18" s="5" t="s">
        <x:v>972</x:v>
      </x:c>
      <x:c r="O18" s="5" t="s">
        <x:v>972</x:v>
      </x:c>
      <x:c r="P18" s="5" t="s">
        <x:v>40</x:v>
      </x:c>
      <x:c r="Q18" s="5"/>
    </x:row>
    <x:row r="19" ht="27.600000381469727">
      <x:c r="A19" s="5" t="s">
        <x:v>990</x:v>
      </x:c>
      <x:c r="B19" s="5" t="s">
        <x:v>969</x:v>
      </x:c>
      <x:c r="C19" s="5" t="s">
        <x:v>683</x:v>
      </x:c>
      <x:c r="D19" s="5" t="s">
        <x:v>970</x:v>
      </x:c>
      <x:c r="E19" s="5" t="s">
        <x:v>983</x:v>
      </x:c>
      <x:c r="F19" s="5">
        <x:v>8</x:v>
      </x:c>
      <x:c r="G19" s="5">
        <x:v>875651179</x:v>
      </x:c>
      <x:c r="H19" s="5" t="s">
        <x:v>665</x:v>
      </x:c>
      <x:c r="I19" s="5" t="s">
        <x:v>25</x:v>
      </x:c>
      <x:c r="J19" s="5"/>
      <x:c r="K19" s="5"/>
      <x:c r="L19" s="5"/>
      <x:c r="M19" s="5" t="s">
        <x:v>41</x:v>
      </x:c>
      <x:c r="N19" s="5" t="s">
        <x:v>972</x:v>
      </x:c>
      <x:c r="O19" s="5" t="s">
        <x:v>972</x:v>
      </x:c>
      <x:c r="P19" s="5" t="s">
        <x:v>40</x:v>
      </x:c>
      <x:c r="Q19" s="5"/>
    </x:row>
    <x:row r="20" ht="27.600000381469727">
      <x:c r="A20" s="5" t="s">
        <x:v>991</x:v>
      </x:c>
      <x:c r="B20" s="5" t="s">
        <x:v>969</x:v>
      </x:c>
      <x:c r="C20" s="5" t="s">
        <x:v>683</x:v>
      </x:c>
      <x:c r="D20" s="5" t="s">
        <x:v>970</x:v>
      </x:c>
      <x:c r="E20" s="5" t="s">
        <x:v>983</x:v>
      </x:c>
      <x:c r="F20" s="5">
        <x:v>9</x:v>
      </x:c>
      <x:c r="G20" s="5">
        <x:v>477581743</x:v>
      </x:c>
      <x:c r="H20" s="5" t="s">
        <x:v>665</x:v>
      </x:c>
      <x:c r="I20" s="5" t="s">
        <x:v>25</x:v>
      </x:c>
      <x:c r="J20" s="5"/>
      <x:c r="K20" s="5"/>
      <x:c r="L20" s="5"/>
      <x:c r="M20" s="5" t="s">
        <x:v>41</x:v>
      </x:c>
      <x:c r="N20" s="5" t="s">
        <x:v>972</x:v>
      </x:c>
      <x:c r="O20" s="5" t="s">
        <x:v>972</x:v>
      </x:c>
      <x:c r="P20" s="5" t="s">
        <x:v>40</x:v>
      </x:c>
      <x:c r="Q20" s="5"/>
    </x:row>
    <x:row r="21" ht="27.600000381469727">
      <x:c r="A21" s="5" t="s">
        <x:v>992</x:v>
      </x:c>
      <x:c r="B21" s="5" t="s">
        <x:v>969</x:v>
      </x:c>
      <x:c r="C21" s="5" t="s">
        <x:v>683</x:v>
      </x:c>
      <x:c r="D21" s="5" t="s">
        <x:v>970</x:v>
      </x:c>
      <x:c r="E21" s="5" t="s">
        <x:v>983</x:v>
      </x:c>
      <x:c r="F21" s="5">
        <x:v>10</x:v>
      </x:c>
      <x:c r="G21" s="5">
        <x:v>869675675</x:v>
      </x:c>
      <x:c r="H21" s="5" t="s">
        <x:v>665</x:v>
      </x:c>
      <x:c r="I21" s="5" t="s">
        <x:v>25</x:v>
      </x:c>
      <x:c r="J21" s="5"/>
      <x:c r="K21" s="5"/>
      <x:c r="L21" s="5"/>
      <x:c r="M21" s="5" t="s">
        <x:v>41</x:v>
      </x:c>
      <x:c r="N21" s="5" t="s">
        <x:v>972</x:v>
      </x:c>
      <x:c r="O21" s="5" t="s">
        <x:v>972</x:v>
      </x:c>
      <x:c r="P21" s="5" t="s">
        <x:v>40</x:v>
      </x:c>
      <x:c r="Q21" s="5"/>
    </x:row>
    <x:row r="22" ht="27.600000381469727">
      <x:c r="A22" s="5" t="s">
        <x:v>993</x:v>
      </x:c>
      <x:c r="B22" s="5" t="s">
        <x:v>969</x:v>
      </x:c>
      <x:c r="C22" s="5" t="s">
        <x:v>683</x:v>
      </x:c>
      <x:c r="D22" s="5" t="s">
        <x:v>970</x:v>
      </x:c>
      <x:c r="E22" s="5" t="s">
        <x:v>994</x:v>
      </x:c>
      <x:c r="F22" s="5">
        <x:v>1</x:v>
      </x:c>
      <x:c r="G22" s="5">
        <x:v>204886845</x:v>
      </x:c>
      <x:c r="H22" s="5" t="s">
        <x:v>665</x:v>
      </x:c>
      <x:c r="I22" s="5" t="s">
        <x:v>25</x:v>
      </x:c>
      <x:c r="J22" s="5"/>
      <x:c r="K22" s="5"/>
      <x:c r="L22" s="5"/>
      <x:c r="M22" s="5" t="s">
        <x:v>41</x:v>
      </x:c>
      <x:c r="N22" s="5" t="s">
        <x:v>972</x:v>
      </x:c>
      <x:c r="O22" s="5" t="s">
        <x:v>972</x:v>
      </x:c>
      <x:c r="P22" s="5" t="s">
        <x:v>40</x:v>
      </x:c>
      <x:c r="Q22" s="5"/>
    </x:row>
    <x:row r="23" ht="27.600000381469727">
      <x:c r="A23" s="5" t="s">
        <x:v>995</x:v>
      </x:c>
      <x:c r="B23" s="5" t="s">
        <x:v>969</x:v>
      </x:c>
      <x:c r="C23" s="5" t="s">
        <x:v>683</x:v>
      </x:c>
      <x:c r="D23" s="5" t="s">
        <x:v>970</x:v>
      </x:c>
      <x:c r="E23" s="5" t="s">
        <x:v>994</x:v>
      </x:c>
      <x:c r="F23" s="5">
        <x:v>2</x:v>
      </x:c>
      <x:c r="G23" s="5">
        <x:v>1480646854</x:v>
      </x:c>
      <x:c r="H23" s="5" t="s">
        <x:v>665</x:v>
      </x:c>
      <x:c r="I23" s="5" t="s">
        <x:v>25</x:v>
      </x:c>
      <x:c r="J23" s="5"/>
      <x:c r="K23" s="5"/>
      <x:c r="L23" s="5"/>
      <x:c r="M23" s="5" t="s">
        <x:v>41</x:v>
      </x:c>
      <x:c r="N23" s="5" t="s">
        <x:v>972</x:v>
      </x:c>
      <x:c r="O23" s="5" t="s">
        <x:v>972</x:v>
      </x:c>
      <x:c r="P23" s="5" t="s">
        <x:v>40</x:v>
      </x:c>
      <x:c r="Q23" s="5"/>
    </x:row>
    <x:row r="24" ht="27.600000381469727">
      <x:c r="A24" s="5" t="s">
        <x:v>996</x:v>
      </x:c>
      <x:c r="B24" s="5" t="s">
        <x:v>969</x:v>
      </x:c>
      <x:c r="C24" s="5" t="s">
        <x:v>683</x:v>
      </x:c>
      <x:c r="D24" s="5" t="s">
        <x:v>970</x:v>
      </x:c>
      <x:c r="E24" s="5" t="s">
        <x:v>994</x:v>
      </x:c>
      <x:c r="F24" s="5">
        <x:v>3</x:v>
      </x:c>
      <x:c r="G24" s="5">
        <x:v>1798418854</x:v>
      </x:c>
      <x:c r="H24" s="5" t="s">
        <x:v>665</x:v>
      </x:c>
      <x:c r="I24" s="5" t="s">
        <x:v>25</x:v>
      </x:c>
      <x:c r="J24" s="5"/>
      <x:c r="K24" s="5"/>
      <x:c r="L24" s="5"/>
      <x:c r="M24" s="5" t="s">
        <x:v>41</x:v>
      </x:c>
      <x:c r="N24" s="5" t="s">
        <x:v>972</x:v>
      </x:c>
      <x:c r="O24" s="5" t="s">
        <x:v>972</x:v>
      </x:c>
      <x:c r="P24" s="5" t="s">
        <x:v>40</x:v>
      </x:c>
      <x:c r="Q24" s="5"/>
    </x:row>
    <x:row r="25" ht="27.600000381469727">
      <x:c r="A25" s="5" t="s">
        <x:v>997</x:v>
      </x:c>
      <x:c r="B25" s="5" t="s">
        <x:v>969</x:v>
      </x:c>
      <x:c r="C25" s="5" t="s">
        <x:v>683</x:v>
      </x:c>
      <x:c r="D25" s="5" t="s">
        <x:v>970</x:v>
      </x:c>
      <x:c r="E25" s="5" t="s">
        <x:v>994</x:v>
      </x:c>
      <x:c r="F25" s="5">
        <x:v>4</x:v>
      </x:c>
      <x:c r="G25" s="5">
        <x:v>2045683682</x:v>
      </x:c>
      <x:c r="H25" s="5" t="s">
        <x:v>665</x:v>
      </x:c>
      <x:c r="I25" s="5" t="s">
        <x:v>25</x:v>
      </x:c>
      <x:c r="J25" s="5"/>
      <x:c r="K25" s="5"/>
      <x:c r="L25" s="5"/>
      <x:c r="M25" s="5" t="s">
        <x:v>41</x:v>
      </x:c>
      <x:c r="N25" s="5" t="s">
        <x:v>972</x:v>
      </x:c>
      <x:c r="O25" s="5" t="s">
        <x:v>972</x:v>
      </x:c>
      <x:c r="P25" s="5" t="s">
        <x:v>40</x:v>
      </x:c>
      <x:c r="Q25" s="5"/>
    </x:row>
    <x:row r="26" ht="27.600000381469727">
      <x:c r="A26" s="5" t="s">
        <x:v>998</x:v>
      </x:c>
      <x:c r="B26" s="5" t="s">
        <x:v>969</x:v>
      </x:c>
      <x:c r="C26" s="5" t="s">
        <x:v>683</x:v>
      </x:c>
      <x:c r="D26" s="5" t="s">
        <x:v>970</x:v>
      </x:c>
      <x:c r="E26" s="5" t="s">
        <x:v>994</x:v>
      </x:c>
      <x:c r="F26" s="5">
        <x:v>5</x:v>
      </x:c>
      <x:c r="G26" s="5">
        <x:v>1814859839</x:v>
      </x:c>
      <x:c r="H26" s="5" t="s">
        <x:v>665</x:v>
      </x:c>
      <x:c r="I26" s="5" t="s">
        <x:v>25</x:v>
      </x:c>
      <x:c r="J26" s="5"/>
      <x:c r="K26" s="5"/>
      <x:c r="L26" s="5"/>
      <x:c r="M26" s="5" t="s">
        <x:v>41</x:v>
      </x:c>
      <x:c r="N26" s="5" t="s">
        <x:v>972</x:v>
      </x:c>
      <x:c r="O26" s="5" t="s">
        <x:v>972</x:v>
      </x:c>
      <x:c r="P26" s="5" t="s">
        <x:v>40</x:v>
      </x:c>
      <x:c r="Q26" s="5"/>
    </x:row>
    <x:row r="27" ht="27.600000381469727">
      <x:c r="A27" s="5" t="s">
        <x:v>999</x:v>
      </x:c>
      <x:c r="B27" s="5" t="s">
        <x:v>969</x:v>
      </x:c>
      <x:c r="C27" s="5" t="s">
        <x:v>683</x:v>
      </x:c>
      <x:c r="D27" s="5" t="s">
        <x:v>970</x:v>
      </x:c>
      <x:c r="E27" s="5" t="s">
        <x:v>994</x:v>
      </x:c>
      <x:c r="F27" s="5">
        <x:v>6</x:v>
      </x:c>
      <x:c r="G27" s="5">
        <x:v>1603952859</x:v>
      </x:c>
      <x:c r="H27" s="5" t="s">
        <x:v>665</x:v>
      </x:c>
      <x:c r="I27" s="5" t="s">
        <x:v>25</x:v>
      </x:c>
      <x:c r="J27" s="5"/>
      <x:c r="K27" s="5"/>
      <x:c r="L27" s="5"/>
      <x:c r="M27" s="5" t="s">
        <x:v>41</x:v>
      </x:c>
      <x:c r="N27" s="5" t="s">
        <x:v>972</x:v>
      </x:c>
      <x:c r="O27" s="5" t="s">
        <x:v>972</x:v>
      </x:c>
      <x:c r="P27" s="5" t="s">
        <x:v>40</x:v>
      </x:c>
      <x:c r="Q27" s="5"/>
    </x:row>
    <x:row r="28" ht="27.600000381469727">
      <x:c r="A28" s="5" t="s">
        <x:v>1000</x:v>
      </x:c>
      <x:c r="B28" s="5" t="s">
        <x:v>969</x:v>
      </x:c>
      <x:c r="C28" s="5" t="s">
        <x:v>683</x:v>
      </x:c>
      <x:c r="D28" s="5" t="s">
        <x:v>970</x:v>
      </x:c>
      <x:c r="E28" s="5" t="s">
        <x:v>994</x:v>
      </x:c>
      <x:c r="F28" s="5">
        <x:v>7</x:v>
      </x:c>
      <x:c r="G28" s="5">
        <x:v>1878351743</x:v>
      </x:c>
      <x:c r="H28" s="5" t="s">
        <x:v>665</x:v>
      </x:c>
      <x:c r="I28" s="5" t="s">
        <x:v>25</x:v>
      </x:c>
      <x:c r="J28" s="5"/>
      <x:c r="K28" s="5"/>
      <x:c r="L28" s="5"/>
      <x:c r="M28" s="5" t="s">
        <x:v>41</x:v>
      </x:c>
      <x:c r="N28" s="5" t="s">
        <x:v>972</x:v>
      </x:c>
      <x:c r="O28" s="5" t="s">
        <x:v>972</x:v>
      </x:c>
      <x:c r="P28" s="5" t="s">
        <x:v>40</x:v>
      </x:c>
      <x:c r="Q28" s="5"/>
    </x:row>
    <x:row r="29" ht="27.600000381469727">
      <x:c r="A29" s="5" t="s">
        <x:v>1001</x:v>
      </x:c>
      <x:c r="B29" s="5" t="s">
        <x:v>969</x:v>
      </x:c>
      <x:c r="C29" s="5" t="s">
        <x:v>683</x:v>
      </x:c>
      <x:c r="D29" s="5" t="s">
        <x:v>970</x:v>
      </x:c>
      <x:c r="E29" s="5" t="s">
        <x:v>994</x:v>
      </x:c>
      <x:c r="F29" s="5">
        <x:v>8</x:v>
      </x:c>
      <x:c r="G29" s="5">
        <x:v>875651179</x:v>
      </x:c>
      <x:c r="H29" s="5" t="s">
        <x:v>665</x:v>
      </x:c>
      <x:c r="I29" s="5" t="s">
        <x:v>25</x:v>
      </x:c>
      <x:c r="J29" s="5"/>
      <x:c r="K29" s="5"/>
      <x:c r="L29" s="5"/>
      <x:c r="M29" s="5" t="s">
        <x:v>41</x:v>
      </x:c>
      <x:c r="N29" s="5" t="s">
        <x:v>972</x:v>
      </x:c>
      <x:c r="O29" s="5" t="s">
        <x:v>972</x:v>
      </x:c>
      <x:c r="P29" s="5" t="s">
        <x:v>40</x:v>
      </x:c>
      <x:c r="Q29" s="5"/>
    </x:row>
    <x:row r="30" ht="27.600000381469727">
      <x:c r="A30" s="5" t="s">
        <x:v>1002</x:v>
      </x:c>
      <x:c r="B30" s="5" t="s">
        <x:v>969</x:v>
      </x:c>
      <x:c r="C30" s="5" t="s">
        <x:v>683</x:v>
      </x:c>
      <x:c r="D30" s="5" t="s">
        <x:v>970</x:v>
      </x:c>
      <x:c r="E30" s="5" t="s">
        <x:v>994</x:v>
      </x:c>
      <x:c r="F30" s="5">
        <x:v>9</x:v>
      </x:c>
      <x:c r="G30" s="5">
        <x:v>477581743</x:v>
      </x:c>
      <x:c r="H30" s="5" t="s">
        <x:v>665</x:v>
      </x:c>
      <x:c r="I30" s="5" t="s">
        <x:v>25</x:v>
      </x:c>
      <x:c r="J30" s="5"/>
      <x:c r="K30" s="5"/>
      <x:c r="L30" s="5"/>
      <x:c r="M30" s="5" t="s">
        <x:v>41</x:v>
      </x:c>
      <x:c r="N30" s="5" t="s">
        <x:v>972</x:v>
      </x:c>
      <x:c r="O30" s="5" t="s">
        <x:v>972</x:v>
      </x:c>
      <x:c r="P30" s="5" t="s">
        <x:v>40</x:v>
      </x:c>
      <x:c r="Q30" s="5"/>
    </x:row>
    <x:row r="31" ht="27.600000381469727">
      <x:c r="A31" s="5" t="s">
        <x:v>1003</x:v>
      </x:c>
      <x:c r="B31" s="5" t="s">
        <x:v>969</x:v>
      </x:c>
      <x:c r="C31" s="5" t="s">
        <x:v>683</x:v>
      </x:c>
      <x:c r="D31" s="5" t="s">
        <x:v>970</x:v>
      </x:c>
      <x:c r="E31" s="5" t="s">
        <x:v>994</x:v>
      </x:c>
      <x:c r="F31" s="5">
        <x:v>10</x:v>
      </x:c>
      <x:c r="G31" s="5">
        <x:v>869675675</x:v>
      </x:c>
      <x:c r="H31" s="5" t="s">
        <x:v>665</x:v>
      </x:c>
      <x:c r="I31" s="5" t="s">
        <x:v>25</x:v>
      </x:c>
      <x:c r="J31" s="5"/>
      <x:c r="K31" s="5"/>
      <x:c r="L31" s="5"/>
      <x:c r="M31" s="5" t="s">
        <x:v>41</x:v>
      </x:c>
      <x:c r="N31" s="5" t="s">
        <x:v>972</x:v>
      </x:c>
      <x:c r="O31" s="5" t="s">
        <x:v>972</x:v>
      </x:c>
      <x:c r="P31" s="5" t="s">
        <x:v>40</x:v>
      </x:c>
      <x:c r="Q31" s="5"/>
    </x:row>
    <x:row r="32" ht="27.600000381469727">
      <x:c r="A32" s="5" t="s">
        <x:v>1004</x:v>
      </x:c>
      <x:c r="B32" s="5" t="s">
        <x:v>969</x:v>
      </x:c>
      <x:c r="C32" s="5" t="s">
        <x:v>683</x:v>
      </x:c>
      <x:c r="D32" s="5" t="s">
        <x:v>970</x:v>
      </x:c>
      <x:c r="E32" s="5" t="s">
        <x:v>1005</x:v>
      </x:c>
      <x:c r="F32" s="5">
        <x:v>1</x:v>
      </x:c>
      <x:c r="G32" s="5">
        <x:v>204886845</x:v>
      </x:c>
      <x:c r="H32" s="5" t="s">
        <x:v>665</x:v>
      </x:c>
      <x:c r="I32" s="5" t="s">
        <x:v>25</x:v>
      </x:c>
      <x:c r="J32" s="5"/>
      <x:c r="K32" s="5"/>
      <x:c r="L32" s="5"/>
      <x:c r="M32" s="5" t="s">
        <x:v>41</x:v>
      </x:c>
      <x:c r="N32" s="5" t="s">
        <x:v>972</x:v>
      </x:c>
      <x:c r="O32" s="5" t="s">
        <x:v>972</x:v>
      </x:c>
      <x:c r="P32" s="5" t="s">
        <x:v>40</x:v>
      </x:c>
      <x:c r="Q32" s="5"/>
    </x:row>
    <x:row r="33" ht="27.600000381469727">
      <x:c r="A33" s="5" t="s">
        <x:v>1006</x:v>
      </x:c>
      <x:c r="B33" s="5" t="s">
        <x:v>969</x:v>
      </x:c>
      <x:c r="C33" s="5" t="s">
        <x:v>683</x:v>
      </x:c>
      <x:c r="D33" s="5" t="s">
        <x:v>970</x:v>
      </x:c>
      <x:c r="E33" s="5" t="s">
        <x:v>1005</x:v>
      </x:c>
      <x:c r="F33" s="5">
        <x:v>2</x:v>
      </x:c>
      <x:c r="G33" s="5">
        <x:v>1480646854</x:v>
      </x:c>
      <x:c r="H33" s="5" t="s">
        <x:v>665</x:v>
      </x:c>
      <x:c r="I33" s="5" t="s">
        <x:v>25</x:v>
      </x:c>
      <x:c r="J33" s="5"/>
      <x:c r="K33" s="5"/>
      <x:c r="L33" s="5"/>
      <x:c r="M33" s="5" t="s">
        <x:v>41</x:v>
      </x:c>
      <x:c r="N33" s="5" t="s">
        <x:v>972</x:v>
      </x:c>
      <x:c r="O33" s="5" t="s">
        <x:v>972</x:v>
      </x:c>
      <x:c r="P33" s="5" t="s">
        <x:v>40</x:v>
      </x:c>
      <x:c r="Q33" s="5"/>
    </x:row>
    <x:row r="34" ht="27.600000381469727">
      <x:c r="A34" s="5" t="s">
        <x:v>1007</x:v>
      </x:c>
      <x:c r="B34" s="5" t="s">
        <x:v>969</x:v>
      </x:c>
      <x:c r="C34" s="5" t="s">
        <x:v>683</x:v>
      </x:c>
      <x:c r="D34" s="5" t="s">
        <x:v>970</x:v>
      </x:c>
      <x:c r="E34" s="5" t="s">
        <x:v>1005</x:v>
      </x:c>
      <x:c r="F34" s="5">
        <x:v>3</x:v>
      </x:c>
      <x:c r="G34" s="5">
        <x:v>1798418854</x:v>
      </x:c>
      <x:c r="H34" s="5" t="s">
        <x:v>665</x:v>
      </x:c>
      <x:c r="I34" s="5" t="s">
        <x:v>25</x:v>
      </x:c>
      <x:c r="J34" s="5"/>
      <x:c r="K34" s="5"/>
      <x:c r="L34" s="5"/>
      <x:c r="M34" s="5" t="s">
        <x:v>41</x:v>
      </x:c>
      <x:c r="N34" s="5" t="s">
        <x:v>972</x:v>
      </x:c>
      <x:c r="O34" s="5" t="s">
        <x:v>972</x:v>
      </x:c>
      <x:c r="P34" s="5" t="s">
        <x:v>40</x:v>
      </x:c>
      <x:c r="Q34" s="5"/>
    </x:row>
    <x:row r="35" ht="27.600000381469727">
      <x:c r="A35" s="5" t="s">
        <x:v>1008</x:v>
      </x:c>
      <x:c r="B35" s="5" t="s">
        <x:v>969</x:v>
      </x:c>
      <x:c r="C35" s="5" t="s">
        <x:v>683</x:v>
      </x:c>
      <x:c r="D35" s="5" t="s">
        <x:v>970</x:v>
      </x:c>
      <x:c r="E35" s="5" t="s">
        <x:v>1005</x:v>
      </x:c>
      <x:c r="F35" s="5">
        <x:v>4</x:v>
      </x:c>
      <x:c r="G35" s="5">
        <x:v>2045683682</x:v>
      </x:c>
      <x:c r="H35" s="5" t="s">
        <x:v>665</x:v>
      </x:c>
      <x:c r="I35" s="5" t="s">
        <x:v>25</x:v>
      </x:c>
      <x:c r="J35" s="5"/>
      <x:c r="K35" s="5"/>
      <x:c r="L35" s="5"/>
      <x:c r="M35" s="5" t="s">
        <x:v>41</x:v>
      </x:c>
      <x:c r="N35" s="5" t="s">
        <x:v>972</x:v>
      </x:c>
      <x:c r="O35" s="5" t="s">
        <x:v>972</x:v>
      </x:c>
      <x:c r="P35" s="5" t="s">
        <x:v>40</x:v>
      </x:c>
      <x:c r="Q35" s="5"/>
    </x:row>
    <x:row r="36" ht="27.600000381469727">
      <x:c r="A36" s="5" t="s">
        <x:v>1009</x:v>
      </x:c>
      <x:c r="B36" s="5" t="s">
        <x:v>969</x:v>
      </x:c>
      <x:c r="C36" s="5" t="s">
        <x:v>683</x:v>
      </x:c>
      <x:c r="D36" s="5" t="s">
        <x:v>970</x:v>
      </x:c>
      <x:c r="E36" s="5" t="s">
        <x:v>1005</x:v>
      </x:c>
      <x:c r="F36" s="5">
        <x:v>5</x:v>
      </x:c>
      <x:c r="G36" s="5">
        <x:v>1814859839</x:v>
      </x:c>
      <x:c r="H36" s="5" t="s">
        <x:v>665</x:v>
      </x:c>
      <x:c r="I36" s="5" t="s">
        <x:v>25</x:v>
      </x:c>
      <x:c r="J36" s="5"/>
      <x:c r="K36" s="5"/>
      <x:c r="L36" s="5"/>
      <x:c r="M36" s="5" t="s">
        <x:v>41</x:v>
      </x:c>
      <x:c r="N36" s="5" t="s">
        <x:v>972</x:v>
      </x:c>
      <x:c r="O36" s="5" t="s">
        <x:v>972</x:v>
      </x:c>
      <x:c r="P36" s="5" t="s">
        <x:v>40</x:v>
      </x:c>
      <x:c r="Q36" s="5"/>
    </x:row>
    <x:row r="37" ht="27.600000381469727">
      <x:c r="A37" s="5" t="s">
        <x:v>1010</x:v>
      </x:c>
      <x:c r="B37" s="5" t="s">
        <x:v>969</x:v>
      </x:c>
      <x:c r="C37" s="5" t="s">
        <x:v>683</x:v>
      </x:c>
      <x:c r="D37" s="5" t="s">
        <x:v>970</x:v>
      </x:c>
      <x:c r="E37" s="5" t="s">
        <x:v>1005</x:v>
      </x:c>
      <x:c r="F37" s="5">
        <x:v>6</x:v>
      </x:c>
      <x:c r="G37" s="5">
        <x:v>1603952859</x:v>
      </x:c>
      <x:c r="H37" s="5" t="s">
        <x:v>665</x:v>
      </x:c>
      <x:c r="I37" s="5" t="s">
        <x:v>25</x:v>
      </x:c>
      <x:c r="J37" s="5"/>
      <x:c r="K37" s="5"/>
      <x:c r="L37" s="5"/>
      <x:c r="M37" s="5" t="s">
        <x:v>41</x:v>
      </x:c>
      <x:c r="N37" s="5" t="s">
        <x:v>972</x:v>
      </x:c>
      <x:c r="O37" s="5" t="s">
        <x:v>972</x:v>
      </x:c>
      <x:c r="P37" s="5" t="s">
        <x:v>40</x:v>
      </x:c>
      <x:c r="Q37" s="5"/>
    </x:row>
    <x:row r="38" ht="27.600000381469727">
      <x:c r="A38" s="5" t="s">
        <x:v>1011</x:v>
      </x:c>
      <x:c r="B38" s="5" t="s">
        <x:v>969</x:v>
      </x:c>
      <x:c r="C38" s="5" t="s">
        <x:v>683</x:v>
      </x:c>
      <x:c r="D38" s="5" t="s">
        <x:v>970</x:v>
      </x:c>
      <x:c r="E38" s="5" t="s">
        <x:v>1005</x:v>
      </x:c>
      <x:c r="F38" s="5">
        <x:v>7</x:v>
      </x:c>
      <x:c r="G38" s="5">
        <x:v>1878351743</x:v>
      </x:c>
      <x:c r="H38" s="5" t="s">
        <x:v>665</x:v>
      </x:c>
      <x:c r="I38" s="5" t="s">
        <x:v>25</x:v>
      </x:c>
      <x:c r="J38" s="5"/>
      <x:c r="K38" s="5"/>
      <x:c r="L38" s="5"/>
      <x:c r="M38" s="5" t="s">
        <x:v>41</x:v>
      </x:c>
      <x:c r="N38" s="5" t="s">
        <x:v>972</x:v>
      </x:c>
      <x:c r="O38" s="5" t="s">
        <x:v>972</x:v>
      </x:c>
      <x:c r="P38" s="5" t="s">
        <x:v>40</x:v>
      </x:c>
      <x:c r="Q38" s="5"/>
    </x:row>
    <x:row r="39" ht="27.600000381469727">
      <x:c r="A39" s="5" t="s">
        <x:v>1012</x:v>
      </x:c>
      <x:c r="B39" s="5" t="s">
        <x:v>969</x:v>
      </x:c>
      <x:c r="C39" s="5" t="s">
        <x:v>683</x:v>
      </x:c>
      <x:c r="D39" s="5" t="s">
        <x:v>970</x:v>
      </x:c>
      <x:c r="E39" s="5" t="s">
        <x:v>1005</x:v>
      </x:c>
      <x:c r="F39" s="5">
        <x:v>8</x:v>
      </x:c>
      <x:c r="G39" s="5">
        <x:v>875651179</x:v>
      </x:c>
      <x:c r="H39" s="5" t="s">
        <x:v>665</x:v>
      </x:c>
      <x:c r="I39" s="5" t="s">
        <x:v>25</x:v>
      </x:c>
      <x:c r="J39" s="5"/>
      <x:c r="K39" s="5"/>
      <x:c r="L39" s="5"/>
      <x:c r="M39" s="5" t="s">
        <x:v>41</x:v>
      </x:c>
      <x:c r="N39" s="5" t="s">
        <x:v>972</x:v>
      </x:c>
      <x:c r="O39" s="5" t="s">
        <x:v>972</x:v>
      </x:c>
      <x:c r="P39" s="5" t="s">
        <x:v>40</x:v>
      </x:c>
      <x:c r="Q39" s="5"/>
    </x:row>
    <x:row r="40" ht="27.600000381469727">
      <x:c r="A40" s="5" t="s">
        <x:v>1013</x:v>
      </x:c>
      <x:c r="B40" s="5" t="s">
        <x:v>969</x:v>
      </x:c>
      <x:c r="C40" s="5" t="s">
        <x:v>683</x:v>
      </x:c>
      <x:c r="D40" s="5" t="s">
        <x:v>970</x:v>
      </x:c>
      <x:c r="E40" s="5" t="s">
        <x:v>1005</x:v>
      </x:c>
      <x:c r="F40" s="5">
        <x:v>9</x:v>
      </x:c>
      <x:c r="G40" s="5">
        <x:v>477581743</x:v>
      </x:c>
      <x:c r="H40" s="5" t="s">
        <x:v>665</x:v>
      </x:c>
      <x:c r="I40" s="5" t="s">
        <x:v>25</x:v>
      </x:c>
      <x:c r="J40" s="5"/>
      <x:c r="K40" s="5"/>
      <x:c r="L40" s="5"/>
      <x:c r="M40" s="5" t="s">
        <x:v>41</x:v>
      </x:c>
      <x:c r="N40" s="5" t="s">
        <x:v>972</x:v>
      </x:c>
      <x:c r="O40" s="5" t="s">
        <x:v>972</x:v>
      </x:c>
      <x:c r="P40" s="5" t="s">
        <x:v>40</x:v>
      </x:c>
      <x:c r="Q40" s="5"/>
    </x:row>
    <x:row r="41" ht="27.600000381469727">
      <x:c r="A41" s="5" t="s">
        <x:v>1014</x:v>
      </x:c>
      <x:c r="B41" s="5" t="s">
        <x:v>969</x:v>
      </x:c>
      <x:c r="C41" s="5" t="s">
        <x:v>683</x:v>
      </x:c>
      <x:c r="D41" s="5" t="s">
        <x:v>970</x:v>
      </x:c>
      <x:c r="E41" s="5" t="s">
        <x:v>1005</x:v>
      </x:c>
      <x:c r="F41" s="5">
        <x:v>10</x:v>
      </x:c>
      <x:c r="G41" s="5">
        <x:v>869675675</x:v>
      </x:c>
      <x:c r="H41" s="5" t="s">
        <x:v>665</x:v>
      </x:c>
      <x:c r="I41" s="5" t="s">
        <x:v>25</x:v>
      </x:c>
      <x:c r="J41" s="5"/>
      <x:c r="K41" s="5"/>
      <x:c r="L41" s="5"/>
      <x:c r="M41" s="5" t="s">
        <x:v>41</x:v>
      </x:c>
      <x:c r="N41" s="5" t="s">
        <x:v>972</x:v>
      </x:c>
      <x:c r="O41" s="5" t="s">
        <x:v>972</x:v>
      </x:c>
      <x:c r="P41" s="5" t="s">
        <x:v>40</x:v>
      </x:c>
      <x:c r="Q41" s="5"/>
    </x:row>
    <x:row r="42" ht="27.600000381469727">
      <x:c r="A42" s="5" t="s">
        <x:v>1015</x:v>
      </x:c>
      <x:c r="B42" s="5" t="s">
        <x:v>969</x:v>
      </x:c>
      <x:c r="C42" s="5" t="s">
        <x:v>683</x:v>
      </x:c>
      <x:c r="D42" s="5" t="s">
        <x:v>1016</x:v>
      </x:c>
      <x:c r="E42" s="5" t="s">
        <x:v>971</x:v>
      </x:c>
      <x:c r="F42" s="5">
        <x:v>1</x:v>
      </x:c>
      <x:c r="G42" s="5">
        <x:v>204886845</x:v>
      </x:c>
      <x:c r="H42" s="5" t="s">
        <x:v>665</x:v>
      </x:c>
      <x:c r="I42" s="5" t="s">
        <x:v>25</x:v>
      </x:c>
      <x:c r="J42" s="5"/>
      <x:c r="K42" s="5"/>
      <x:c r="L42" s="5"/>
      <x:c r="M42" s="5" t="s">
        <x:v>41</x:v>
      </x:c>
      <x:c r="N42" s="5" t="s">
        <x:v>972</x:v>
      </x:c>
      <x:c r="O42" s="5" t="s">
        <x:v>972</x:v>
      </x:c>
      <x:c r="P42" s="5" t="s">
        <x:v>40</x:v>
      </x:c>
      <x:c r="Q42" s="5"/>
    </x:row>
    <x:row r="43" ht="27.600000381469727">
      <x:c r="A43" s="5" t="s">
        <x:v>1017</x:v>
      </x:c>
      <x:c r="B43" s="5" t="s">
        <x:v>969</x:v>
      </x:c>
      <x:c r="C43" s="5" t="s">
        <x:v>683</x:v>
      </x:c>
      <x:c r="D43" s="5" t="s">
        <x:v>1016</x:v>
      </x:c>
      <x:c r="E43" s="5" t="s">
        <x:v>971</x:v>
      </x:c>
      <x:c r="F43" s="5">
        <x:v>2</x:v>
      </x:c>
      <x:c r="G43" s="5">
        <x:v>1480646854</x:v>
      </x:c>
      <x:c r="H43" s="5" t="s">
        <x:v>665</x:v>
      </x:c>
      <x:c r="I43" s="5" t="s">
        <x:v>25</x:v>
      </x:c>
      <x:c r="J43" s="5"/>
      <x:c r="K43" s="5"/>
      <x:c r="L43" s="5"/>
      <x:c r="M43" s="5" t="s">
        <x:v>41</x:v>
      </x:c>
      <x:c r="N43" s="5" t="s">
        <x:v>972</x:v>
      </x:c>
      <x:c r="O43" s="5" t="s">
        <x:v>972</x:v>
      </x:c>
      <x:c r="P43" s="5" t="s">
        <x:v>40</x:v>
      </x:c>
      <x:c r="Q43" s="5"/>
    </x:row>
    <x:row r="44" ht="27.600000381469727">
      <x:c r="A44" s="5" t="s">
        <x:v>1018</x:v>
      </x:c>
      <x:c r="B44" s="5" t="s">
        <x:v>969</x:v>
      </x:c>
      <x:c r="C44" s="5" t="s">
        <x:v>683</x:v>
      </x:c>
      <x:c r="D44" s="5" t="s">
        <x:v>1016</x:v>
      </x:c>
      <x:c r="E44" s="5" t="s">
        <x:v>971</x:v>
      </x:c>
      <x:c r="F44" s="5">
        <x:v>3</x:v>
      </x:c>
      <x:c r="G44" s="5">
        <x:v>1798418854</x:v>
      </x:c>
      <x:c r="H44" s="5" t="s">
        <x:v>665</x:v>
      </x:c>
      <x:c r="I44" s="5" t="s">
        <x:v>25</x:v>
      </x:c>
      <x:c r="J44" s="5"/>
      <x:c r="K44" s="5"/>
      <x:c r="L44" s="5"/>
      <x:c r="M44" s="5" t="s">
        <x:v>41</x:v>
      </x:c>
      <x:c r="N44" s="5" t="s">
        <x:v>972</x:v>
      </x:c>
      <x:c r="O44" s="5" t="s">
        <x:v>972</x:v>
      </x:c>
      <x:c r="P44" s="5" t="s">
        <x:v>40</x:v>
      </x:c>
      <x:c r="Q44" s="5"/>
    </x:row>
    <x:row r="45" ht="27.600000381469727">
      <x:c r="A45" s="5" t="s">
        <x:v>1019</x:v>
      </x:c>
      <x:c r="B45" s="5" t="s">
        <x:v>969</x:v>
      </x:c>
      <x:c r="C45" s="5" t="s">
        <x:v>683</x:v>
      </x:c>
      <x:c r="D45" s="5" t="s">
        <x:v>1016</x:v>
      </x:c>
      <x:c r="E45" s="5" t="s">
        <x:v>971</x:v>
      </x:c>
      <x:c r="F45" s="5">
        <x:v>4</x:v>
      </x:c>
      <x:c r="G45" s="5">
        <x:v>2045683682</x:v>
      </x:c>
      <x:c r="H45" s="5" t="s">
        <x:v>665</x:v>
      </x:c>
      <x:c r="I45" s="5" t="s">
        <x:v>25</x:v>
      </x:c>
      <x:c r="J45" s="5"/>
      <x:c r="K45" s="5"/>
      <x:c r="L45" s="5"/>
      <x:c r="M45" s="5" t="s">
        <x:v>41</x:v>
      </x:c>
      <x:c r="N45" s="5" t="s">
        <x:v>972</x:v>
      </x:c>
      <x:c r="O45" s="5" t="s">
        <x:v>972</x:v>
      </x:c>
      <x:c r="P45" s="5" t="s">
        <x:v>40</x:v>
      </x:c>
      <x:c r="Q45" s="5"/>
    </x:row>
    <x:row r="46" ht="27.600000381469727">
      <x:c r="A46" s="5" t="s">
        <x:v>1020</x:v>
      </x:c>
      <x:c r="B46" s="5" t="s">
        <x:v>969</x:v>
      </x:c>
      <x:c r="C46" s="5" t="s">
        <x:v>683</x:v>
      </x:c>
      <x:c r="D46" s="5" t="s">
        <x:v>1016</x:v>
      </x:c>
      <x:c r="E46" s="5" t="s">
        <x:v>971</x:v>
      </x:c>
      <x:c r="F46" s="5">
        <x:v>5</x:v>
      </x:c>
      <x:c r="G46" s="5">
        <x:v>1814859839</x:v>
      </x:c>
      <x:c r="H46" s="5" t="s">
        <x:v>665</x:v>
      </x:c>
      <x:c r="I46" s="5" t="s">
        <x:v>25</x:v>
      </x:c>
      <x:c r="J46" s="5"/>
      <x:c r="K46" s="5"/>
      <x:c r="L46" s="5"/>
      <x:c r="M46" s="5" t="s">
        <x:v>41</x:v>
      </x:c>
      <x:c r="N46" s="5" t="s">
        <x:v>972</x:v>
      </x:c>
      <x:c r="O46" s="5" t="s">
        <x:v>972</x:v>
      </x:c>
      <x:c r="P46" s="5" t="s">
        <x:v>40</x:v>
      </x:c>
      <x:c r="Q46" s="5"/>
    </x:row>
    <x:row r="47" ht="27.600000381469727">
      <x:c r="A47" s="5" t="s">
        <x:v>1021</x:v>
      </x:c>
      <x:c r="B47" s="5" t="s">
        <x:v>969</x:v>
      </x:c>
      <x:c r="C47" s="5" t="s">
        <x:v>683</x:v>
      </x:c>
      <x:c r="D47" s="5" t="s">
        <x:v>1016</x:v>
      </x:c>
      <x:c r="E47" s="5" t="s">
        <x:v>971</x:v>
      </x:c>
      <x:c r="F47" s="5">
        <x:v>6</x:v>
      </x:c>
      <x:c r="G47" s="5">
        <x:v>1603952859</x:v>
      </x:c>
      <x:c r="H47" s="5" t="s">
        <x:v>665</x:v>
      </x:c>
      <x:c r="I47" s="5" t="s">
        <x:v>25</x:v>
      </x:c>
      <x:c r="J47" s="5"/>
      <x:c r="K47" s="5"/>
      <x:c r="L47" s="5"/>
      <x:c r="M47" s="5" t="s">
        <x:v>41</x:v>
      </x:c>
      <x:c r="N47" s="5" t="s">
        <x:v>972</x:v>
      </x:c>
      <x:c r="O47" s="5" t="s">
        <x:v>972</x:v>
      </x:c>
      <x:c r="P47" s="5" t="s">
        <x:v>40</x:v>
      </x:c>
      <x:c r="Q47" s="5"/>
    </x:row>
    <x:row r="48" ht="27.600000381469727">
      <x:c r="A48" s="5" t="s">
        <x:v>1022</x:v>
      </x:c>
      <x:c r="B48" s="5" t="s">
        <x:v>969</x:v>
      </x:c>
      <x:c r="C48" s="5" t="s">
        <x:v>683</x:v>
      </x:c>
      <x:c r="D48" s="5" t="s">
        <x:v>1016</x:v>
      </x:c>
      <x:c r="E48" s="5" t="s">
        <x:v>971</x:v>
      </x:c>
      <x:c r="F48" s="5">
        <x:v>7</x:v>
      </x:c>
      <x:c r="G48" s="5">
        <x:v>1878351743</x:v>
      </x:c>
      <x:c r="H48" s="5" t="s">
        <x:v>665</x:v>
      </x:c>
      <x:c r="I48" s="5" t="s">
        <x:v>25</x:v>
      </x:c>
      <x:c r="J48" s="5"/>
      <x:c r="K48" s="5"/>
      <x:c r="L48" s="5"/>
      <x:c r="M48" s="5" t="s">
        <x:v>41</x:v>
      </x:c>
      <x:c r="N48" s="5" t="s">
        <x:v>972</x:v>
      </x:c>
      <x:c r="O48" s="5" t="s">
        <x:v>972</x:v>
      </x:c>
      <x:c r="P48" s="5" t="s">
        <x:v>40</x:v>
      </x:c>
      <x:c r="Q48" s="5"/>
    </x:row>
    <x:row r="49" ht="27.600000381469727">
      <x:c r="A49" s="5" t="s">
        <x:v>1023</x:v>
      </x:c>
      <x:c r="B49" s="5" t="s">
        <x:v>969</x:v>
      </x:c>
      <x:c r="C49" s="5" t="s">
        <x:v>683</x:v>
      </x:c>
      <x:c r="D49" s="5" t="s">
        <x:v>1016</x:v>
      </x:c>
      <x:c r="E49" s="5" t="s">
        <x:v>971</x:v>
      </x:c>
      <x:c r="F49" s="5">
        <x:v>8</x:v>
      </x:c>
      <x:c r="G49" s="5">
        <x:v>875651179</x:v>
      </x:c>
      <x:c r="H49" s="5" t="s">
        <x:v>665</x:v>
      </x:c>
      <x:c r="I49" s="5" t="s">
        <x:v>25</x:v>
      </x:c>
      <x:c r="J49" s="5"/>
      <x:c r="K49" s="5"/>
      <x:c r="L49" s="5"/>
      <x:c r="M49" s="5" t="s">
        <x:v>41</x:v>
      </x:c>
      <x:c r="N49" s="5" t="s">
        <x:v>972</x:v>
      </x:c>
      <x:c r="O49" s="5" t="s">
        <x:v>972</x:v>
      </x:c>
      <x:c r="P49" s="5" t="s">
        <x:v>40</x:v>
      </x:c>
      <x:c r="Q49" s="5"/>
    </x:row>
    <x:row r="50" ht="27.600000381469727">
      <x:c r="A50" s="5" t="s">
        <x:v>1024</x:v>
      </x:c>
      <x:c r="B50" s="5" t="s">
        <x:v>969</x:v>
      </x:c>
      <x:c r="C50" s="5" t="s">
        <x:v>683</x:v>
      </x:c>
      <x:c r="D50" s="5" t="s">
        <x:v>1016</x:v>
      </x:c>
      <x:c r="E50" s="5" t="s">
        <x:v>971</x:v>
      </x:c>
      <x:c r="F50" s="5">
        <x:v>9</x:v>
      </x:c>
      <x:c r="G50" s="5">
        <x:v>477581743</x:v>
      </x:c>
      <x:c r="H50" s="5" t="s">
        <x:v>665</x:v>
      </x:c>
      <x:c r="I50" s="5" t="s">
        <x:v>25</x:v>
      </x:c>
      <x:c r="J50" s="5"/>
      <x:c r="K50" s="5"/>
      <x:c r="L50" s="5"/>
      <x:c r="M50" s="5" t="s">
        <x:v>41</x:v>
      </x:c>
      <x:c r="N50" s="5" t="s">
        <x:v>972</x:v>
      </x:c>
      <x:c r="O50" s="5" t="s">
        <x:v>972</x:v>
      </x:c>
      <x:c r="P50" s="5" t="s">
        <x:v>40</x:v>
      </x:c>
      <x:c r="Q50" s="5"/>
    </x:row>
    <x:row r="51" ht="27.600000381469727">
      <x:c r="A51" s="5" t="s">
        <x:v>1025</x:v>
      </x:c>
      <x:c r="B51" s="5" t="s">
        <x:v>969</x:v>
      </x:c>
      <x:c r="C51" s="5" t="s">
        <x:v>683</x:v>
      </x:c>
      <x:c r="D51" s="5" t="s">
        <x:v>1016</x:v>
      </x:c>
      <x:c r="E51" s="5" t="s">
        <x:v>971</x:v>
      </x:c>
      <x:c r="F51" s="5">
        <x:v>10</x:v>
      </x:c>
      <x:c r="G51" s="5">
        <x:v>869675675</x:v>
      </x:c>
      <x:c r="H51" s="5" t="s">
        <x:v>665</x:v>
      </x:c>
      <x:c r="I51" s="5" t="s">
        <x:v>25</x:v>
      </x:c>
      <x:c r="J51" s="5"/>
      <x:c r="K51" s="5"/>
      <x:c r="L51" s="5"/>
      <x:c r="M51" s="5" t="s">
        <x:v>41</x:v>
      </x:c>
      <x:c r="N51" s="5" t="s">
        <x:v>972</x:v>
      </x:c>
      <x:c r="O51" s="5" t="s">
        <x:v>972</x:v>
      </x:c>
      <x:c r="P51" s="5" t="s">
        <x:v>40</x:v>
      </x:c>
      <x:c r="Q51" s="5"/>
    </x:row>
    <x:row r="52" ht="27.600000381469727">
      <x:c r="A52" s="5" t="s">
        <x:v>1026</x:v>
      </x:c>
      <x:c r="B52" s="5" t="s">
        <x:v>969</x:v>
      </x:c>
      <x:c r="C52" s="5" t="s">
        <x:v>683</x:v>
      </x:c>
      <x:c r="D52" s="5" t="s">
        <x:v>1016</x:v>
      </x:c>
      <x:c r="E52" s="5" t="s">
        <x:v>983</x:v>
      </x:c>
      <x:c r="F52" s="5">
        <x:v>1</x:v>
      </x:c>
      <x:c r="G52" s="5">
        <x:v>204886845</x:v>
      </x:c>
      <x:c r="H52" s="5" t="s">
        <x:v>665</x:v>
      </x:c>
      <x:c r="I52" s="5" t="s">
        <x:v>25</x:v>
      </x:c>
      <x:c r="J52" s="5"/>
      <x:c r="K52" s="5"/>
      <x:c r="L52" s="5"/>
      <x:c r="M52" s="5" t="s">
        <x:v>41</x:v>
      </x:c>
      <x:c r="N52" s="5" t="s">
        <x:v>972</x:v>
      </x:c>
      <x:c r="O52" s="5" t="s">
        <x:v>972</x:v>
      </x:c>
      <x:c r="P52" s="5" t="s">
        <x:v>40</x:v>
      </x:c>
      <x:c r="Q52" s="5"/>
    </x:row>
    <x:row r="53" ht="27.600000381469727">
      <x:c r="A53" s="5" t="s">
        <x:v>1027</x:v>
      </x:c>
      <x:c r="B53" s="5" t="s">
        <x:v>969</x:v>
      </x:c>
      <x:c r="C53" s="5" t="s">
        <x:v>683</x:v>
      </x:c>
      <x:c r="D53" s="5" t="s">
        <x:v>1016</x:v>
      </x:c>
      <x:c r="E53" s="5" t="s">
        <x:v>983</x:v>
      </x:c>
      <x:c r="F53" s="5">
        <x:v>2</x:v>
      </x:c>
      <x:c r="G53" s="5">
        <x:v>1480646854</x:v>
      </x:c>
      <x:c r="H53" s="5" t="s">
        <x:v>665</x:v>
      </x:c>
      <x:c r="I53" s="5" t="s">
        <x:v>25</x:v>
      </x:c>
      <x:c r="J53" s="5"/>
      <x:c r="K53" s="5"/>
      <x:c r="L53" s="5"/>
      <x:c r="M53" s="5" t="s">
        <x:v>41</x:v>
      </x:c>
      <x:c r="N53" s="5" t="s">
        <x:v>972</x:v>
      </x:c>
      <x:c r="O53" s="5" t="s">
        <x:v>972</x:v>
      </x:c>
      <x:c r="P53" s="5" t="s">
        <x:v>40</x:v>
      </x:c>
      <x:c r="Q53" s="5"/>
    </x:row>
    <x:row r="54" ht="27.600000381469727">
      <x:c r="A54" s="5" t="s">
        <x:v>1028</x:v>
      </x:c>
      <x:c r="B54" s="5" t="s">
        <x:v>969</x:v>
      </x:c>
      <x:c r="C54" s="5" t="s">
        <x:v>683</x:v>
      </x:c>
      <x:c r="D54" s="5" t="s">
        <x:v>1016</x:v>
      </x:c>
      <x:c r="E54" s="5" t="s">
        <x:v>983</x:v>
      </x:c>
      <x:c r="F54" s="5">
        <x:v>3</x:v>
      </x:c>
      <x:c r="G54" s="5">
        <x:v>1798418854</x:v>
      </x:c>
      <x:c r="H54" s="5" t="s">
        <x:v>665</x:v>
      </x:c>
      <x:c r="I54" s="5" t="s">
        <x:v>25</x:v>
      </x:c>
      <x:c r="J54" s="5"/>
      <x:c r="K54" s="5"/>
      <x:c r="L54" s="5"/>
      <x:c r="M54" s="5" t="s">
        <x:v>41</x:v>
      </x:c>
      <x:c r="N54" s="5" t="s">
        <x:v>972</x:v>
      </x:c>
      <x:c r="O54" s="5" t="s">
        <x:v>972</x:v>
      </x:c>
      <x:c r="P54" s="5" t="s">
        <x:v>40</x:v>
      </x:c>
      <x:c r="Q54" s="5"/>
    </x:row>
    <x:row r="55" ht="27.600000381469727">
      <x:c r="A55" s="5" t="s">
        <x:v>1029</x:v>
      </x:c>
      <x:c r="B55" s="5" t="s">
        <x:v>969</x:v>
      </x:c>
      <x:c r="C55" s="5" t="s">
        <x:v>683</x:v>
      </x:c>
      <x:c r="D55" s="5" t="s">
        <x:v>1016</x:v>
      </x:c>
      <x:c r="E55" s="5" t="s">
        <x:v>983</x:v>
      </x:c>
      <x:c r="F55" s="5">
        <x:v>4</x:v>
      </x:c>
      <x:c r="G55" s="5">
        <x:v>2045683682</x:v>
      </x:c>
      <x:c r="H55" s="5" t="s">
        <x:v>665</x:v>
      </x:c>
      <x:c r="I55" s="5" t="s">
        <x:v>25</x:v>
      </x:c>
      <x:c r="J55" s="5"/>
      <x:c r="K55" s="5"/>
      <x:c r="L55" s="5"/>
      <x:c r="M55" s="5" t="s">
        <x:v>41</x:v>
      </x:c>
      <x:c r="N55" s="5" t="s">
        <x:v>972</x:v>
      </x:c>
      <x:c r="O55" s="5" t="s">
        <x:v>972</x:v>
      </x:c>
      <x:c r="P55" s="5" t="s">
        <x:v>40</x:v>
      </x:c>
      <x:c r="Q55" s="5"/>
    </x:row>
    <x:row r="56" ht="27.600000381469727">
      <x:c r="A56" s="5" t="s">
        <x:v>1030</x:v>
      </x:c>
      <x:c r="B56" s="5" t="s">
        <x:v>969</x:v>
      </x:c>
      <x:c r="C56" s="5" t="s">
        <x:v>683</x:v>
      </x:c>
      <x:c r="D56" s="5" t="s">
        <x:v>1016</x:v>
      </x:c>
      <x:c r="E56" s="5" t="s">
        <x:v>983</x:v>
      </x:c>
      <x:c r="F56" s="5">
        <x:v>5</x:v>
      </x:c>
      <x:c r="G56" s="5">
        <x:v>1814859839</x:v>
      </x:c>
      <x:c r="H56" s="5" t="s">
        <x:v>665</x:v>
      </x:c>
      <x:c r="I56" s="5" t="s">
        <x:v>25</x:v>
      </x:c>
      <x:c r="J56" s="5"/>
      <x:c r="K56" s="5"/>
      <x:c r="L56" s="5"/>
      <x:c r="M56" s="5" t="s">
        <x:v>41</x:v>
      </x:c>
      <x:c r="N56" s="5" t="s">
        <x:v>972</x:v>
      </x:c>
      <x:c r="O56" s="5" t="s">
        <x:v>972</x:v>
      </x:c>
      <x:c r="P56" s="5" t="s">
        <x:v>40</x:v>
      </x:c>
      <x:c r="Q56" s="5"/>
    </x:row>
    <x:row r="57" ht="27.600000381469727">
      <x:c r="A57" s="5" t="s">
        <x:v>1031</x:v>
      </x:c>
      <x:c r="B57" s="5" t="s">
        <x:v>969</x:v>
      </x:c>
      <x:c r="C57" s="5" t="s">
        <x:v>683</x:v>
      </x:c>
      <x:c r="D57" s="5" t="s">
        <x:v>1016</x:v>
      </x:c>
      <x:c r="E57" s="5" t="s">
        <x:v>983</x:v>
      </x:c>
      <x:c r="F57" s="5">
        <x:v>6</x:v>
      </x:c>
      <x:c r="G57" s="5">
        <x:v>1603952859</x:v>
      </x:c>
      <x:c r="H57" s="5" t="s">
        <x:v>665</x:v>
      </x:c>
      <x:c r="I57" s="5" t="s">
        <x:v>25</x:v>
      </x:c>
      <x:c r="J57" s="5"/>
      <x:c r="K57" s="5"/>
      <x:c r="L57" s="5"/>
      <x:c r="M57" s="5" t="s">
        <x:v>41</x:v>
      </x:c>
      <x:c r="N57" s="5" t="s">
        <x:v>972</x:v>
      </x:c>
      <x:c r="O57" s="5" t="s">
        <x:v>972</x:v>
      </x:c>
      <x:c r="P57" s="5" t="s">
        <x:v>40</x:v>
      </x:c>
      <x:c r="Q57" s="5"/>
    </x:row>
    <x:row r="58" ht="27.600000381469727">
      <x:c r="A58" s="5" t="s">
        <x:v>1032</x:v>
      </x:c>
      <x:c r="B58" s="5" t="s">
        <x:v>969</x:v>
      </x:c>
      <x:c r="C58" s="5" t="s">
        <x:v>683</x:v>
      </x:c>
      <x:c r="D58" s="5" t="s">
        <x:v>1016</x:v>
      </x:c>
      <x:c r="E58" s="5" t="s">
        <x:v>983</x:v>
      </x:c>
      <x:c r="F58" s="5">
        <x:v>7</x:v>
      </x:c>
      <x:c r="G58" s="5">
        <x:v>1878351743</x:v>
      </x:c>
      <x:c r="H58" s="5" t="s">
        <x:v>665</x:v>
      </x:c>
      <x:c r="I58" s="5" t="s">
        <x:v>25</x:v>
      </x:c>
      <x:c r="J58" s="5"/>
      <x:c r="K58" s="5"/>
      <x:c r="L58" s="5"/>
      <x:c r="M58" s="5" t="s">
        <x:v>41</x:v>
      </x:c>
      <x:c r="N58" s="5" t="s">
        <x:v>972</x:v>
      </x:c>
      <x:c r="O58" s="5" t="s">
        <x:v>972</x:v>
      </x:c>
      <x:c r="P58" s="5" t="s">
        <x:v>40</x:v>
      </x:c>
      <x:c r="Q58" s="5"/>
    </x:row>
    <x:row r="59" ht="27.600000381469727">
      <x:c r="A59" s="5" t="s">
        <x:v>1033</x:v>
      </x:c>
      <x:c r="B59" s="5" t="s">
        <x:v>969</x:v>
      </x:c>
      <x:c r="C59" s="5" t="s">
        <x:v>683</x:v>
      </x:c>
      <x:c r="D59" s="5" t="s">
        <x:v>1016</x:v>
      </x:c>
      <x:c r="E59" s="5" t="s">
        <x:v>983</x:v>
      </x:c>
      <x:c r="F59" s="5">
        <x:v>8</x:v>
      </x:c>
      <x:c r="G59" s="5">
        <x:v>875651179</x:v>
      </x:c>
      <x:c r="H59" s="5" t="s">
        <x:v>665</x:v>
      </x:c>
      <x:c r="I59" s="5" t="s">
        <x:v>25</x:v>
      </x:c>
      <x:c r="J59" s="5"/>
      <x:c r="K59" s="5"/>
      <x:c r="L59" s="5"/>
      <x:c r="M59" s="5" t="s">
        <x:v>41</x:v>
      </x:c>
      <x:c r="N59" s="5" t="s">
        <x:v>972</x:v>
      </x:c>
      <x:c r="O59" s="5" t="s">
        <x:v>972</x:v>
      </x:c>
      <x:c r="P59" s="5" t="s">
        <x:v>40</x:v>
      </x:c>
      <x:c r="Q59" s="5"/>
    </x:row>
    <x:row r="60" ht="27.600000381469727">
      <x:c r="A60" s="5" t="s">
        <x:v>1034</x:v>
      </x:c>
      <x:c r="B60" s="5" t="s">
        <x:v>969</x:v>
      </x:c>
      <x:c r="C60" s="5" t="s">
        <x:v>683</x:v>
      </x:c>
      <x:c r="D60" s="5" t="s">
        <x:v>1016</x:v>
      </x:c>
      <x:c r="E60" s="5" t="s">
        <x:v>983</x:v>
      </x:c>
      <x:c r="F60" s="5">
        <x:v>9</x:v>
      </x:c>
      <x:c r="G60" s="5">
        <x:v>477581743</x:v>
      </x:c>
      <x:c r="H60" s="5" t="s">
        <x:v>665</x:v>
      </x:c>
      <x:c r="I60" s="5" t="s">
        <x:v>25</x:v>
      </x:c>
      <x:c r="J60" s="5"/>
      <x:c r="K60" s="5"/>
      <x:c r="L60" s="5"/>
      <x:c r="M60" s="5" t="s">
        <x:v>41</x:v>
      </x:c>
      <x:c r="N60" s="5" t="s">
        <x:v>972</x:v>
      </x:c>
      <x:c r="O60" s="5" t="s">
        <x:v>972</x:v>
      </x:c>
      <x:c r="P60" s="5" t="s">
        <x:v>40</x:v>
      </x:c>
      <x:c r="Q60" s="5"/>
    </x:row>
    <x:row r="61" ht="27.600000381469727">
      <x:c r="A61" s="5" t="s">
        <x:v>1035</x:v>
      </x:c>
      <x:c r="B61" s="5" t="s">
        <x:v>969</x:v>
      </x:c>
      <x:c r="C61" s="5" t="s">
        <x:v>683</x:v>
      </x:c>
      <x:c r="D61" s="5" t="s">
        <x:v>1016</x:v>
      </x:c>
      <x:c r="E61" s="5" t="s">
        <x:v>983</x:v>
      </x:c>
      <x:c r="F61" s="5">
        <x:v>10</x:v>
      </x:c>
      <x:c r="G61" s="5">
        <x:v>869675675</x:v>
      </x:c>
      <x:c r="H61" s="5" t="s">
        <x:v>665</x:v>
      </x:c>
      <x:c r="I61" s="5" t="s">
        <x:v>25</x:v>
      </x:c>
      <x:c r="J61" s="5"/>
      <x:c r="K61" s="5"/>
      <x:c r="L61" s="5"/>
      <x:c r="M61" s="5" t="s">
        <x:v>41</x:v>
      </x:c>
      <x:c r="N61" s="5" t="s">
        <x:v>972</x:v>
      </x:c>
      <x:c r="O61" s="5" t="s">
        <x:v>972</x:v>
      </x:c>
      <x:c r="P61" s="5" t="s">
        <x:v>40</x:v>
      </x:c>
      <x:c r="Q61" s="5"/>
    </x:row>
    <x:row r="62" ht="27.600000381469727">
      <x:c r="A62" s="5" t="s">
        <x:v>1036</x:v>
      </x:c>
      <x:c r="B62" s="5" t="s">
        <x:v>969</x:v>
      </x:c>
      <x:c r="C62" s="5" t="s">
        <x:v>683</x:v>
      </x:c>
      <x:c r="D62" s="5" t="s">
        <x:v>1016</x:v>
      </x:c>
      <x:c r="E62" s="5" t="s">
        <x:v>994</x:v>
      </x:c>
      <x:c r="F62" s="5">
        <x:v>1</x:v>
      </x:c>
      <x:c r="G62" s="5">
        <x:v>204886845</x:v>
      </x:c>
      <x:c r="H62" s="5" t="s">
        <x:v>665</x:v>
      </x:c>
      <x:c r="I62" s="5" t="s">
        <x:v>25</x:v>
      </x:c>
      <x:c r="J62" s="5"/>
      <x:c r="K62" s="5"/>
      <x:c r="L62" s="5"/>
      <x:c r="M62" s="5" t="s">
        <x:v>41</x:v>
      </x:c>
      <x:c r="N62" s="5" t="s">
        <x:v>972</x:v>
      </x:c>
      <x:c r="O62" s="5" t="s">
        <x:v>972</x:v>
      </x:c>
      <x:c r="P62" s="5" t="s">
        <x:v>40</x:v>
      </x:c>
      <x:c r="Q62" s="5"/>
    </x:row>
    <x:row r="63" ht="27.600000381469727">
      <x:c r="A63" s="5" t="s">
        <x:v>1037</x:v>
      </x:c>
      <x:c r="B63" s="5" t="s">
        <x:v>969</x:v>
      </x:c>
      <x:c r="C63" s="5" t="s">
        <x:v>683</x:v>
      </x:c>
      <x:c r="D63" s="5" t="s">
        <x:v>1016</x:v>
      </x:c>
      <x:c r="E63" s="5" t="s">
        <x:v>994</x:v>
      </x:c>
      <x:c r="F63" s="5">
        <x:v>2</x:v>
      </x:c>
      <x:c r="G63" s="5">
        <x:v>1480646854</x:v>
      </x:c>
      <x:c r="H63" s="5" t="s">
        <x:v>665</x:v>
      </x:c>
      <x:c r="I63" s="5" t="s">
        <x:v>25</x:v>
      </x:c>
      <x:c r="J63" s="5"/>
      <x:c r="K63" s="5"/>
      <x:c r="L63" s="5"/>
      <x:c r="M63" s="5" t="s">
        <x:v>41</x:v>
      </x:c>
      <x:c r="N63" s="5" t="s">
        <x:v>972</x:v>
      </x:c>
      <x:c r="O63" s="5" t="s">
        <x:v>972</x:v>
      </x:c>
      <x:c r="P63" s="5" t="s">
        <x:v>40</x:v>
      </x:c>
      <x:c r="Q63" s="5"/>
    </x:row>
    <x:row r="64" ht="27.600000381469727">
      <x:c r="A64" s="5" t="s">
        <x:v>1038</x:v>
      </x:c>
      <x:c r="B64" s="5" t="s">
        <x:v>969</x:v>
      </x:c>
      <x:c r="C64" s="5" t="s">
        <x:v>683</x:v>
      </x:c>
      <x:c r="D64" s="5" t="s">
        <x:v>1016</x:v>
      </x:c>
      <x:c r="E64" s="5" t="s">
        <x:v>994</x:v>
      </x:c>
      <x:c r="F64" s="5">
        <x:v>3</x:v>
      </x:c>
      <x:c r="G64" s="5">
        <x:v>1798418854</x:v>
      </x:c>
      <x:c r="H64" s="5" t="s">
        <x:v>665</x:v>
      </x:c>
      <x:c r="I64" s="5" t="s">
        <x:v>25</x:v>
      </x:c>
      <x:c r="J64" s="5"/>
      <x:c r="K64" s="5"/>
      <x:c r="L64" s="5"/>
      <x:c r="M64" s="5" t="s">
        <x:v>41</x:v>
      </x:c>
      <x:c r="N64" s="5" t="s">
        <x:v>972</x:v>
      </x:c>
      <x:c r="O64" s="5" t="s">
        <x:v>972</x:v>
      </x:c>
      <x:c r="P64" s="5" t="s">
        <x:v>40</x:v>
      </x:c>
      <x:c r="Q64" s="5"/>
    </x:row>
    <x:row r="65" ht="27.600000381469727">
      <x:c r="A65" s="5" t="s">
        <x:v>1039</x:v>
      </x:c>
      <x:c r="B65" s="5" t="s">
        <x:v>969</x:v>
      </x:c>
      <x:c r="C65" s="5" t="s">
        <x:v>683</x:v>
      </x:c>
      <x:c r="D65" s="5" t="s">
        <x:v>1016</x:v>
      </x:c>
      <x:c r="E65" s="5" t="s">
        <x:v>994</x:v>
      </x:c>
      <x:c r="F65" s="5">
        <x:v>4</x:v>
      </x:c>
      <x:c r="G65" s="5">
        <x:v>2045683682</x:v>
      </x:c>
      <x:c r="H65" s="5" t="s">
        <x:v>665</x:v>
      </x:c>
      <x:c r="I65" s="5" t="s">
        <x:v>25</x:v>
      </x:c>
      <x:c r="J65" s="5"/>
      <x:c r="K65" s="5"/>
      <x:c r="L65" s="5"/>
      <x:c r="M65" s="5" t="s">
        <x:v>41</x:v>
      </x:c>
      <x:c r="N65" s="5" t="s">
        <x:v>972</x:v>
      </x:c>
      <x:c r="O65" s="5" t="s">
        <x:v>972</x:v>
      </x:c>
      <x:c r="P65" s="5" t="s">
        <x:v>40</x:v>
      </x:c>
      <x:c r="Q65" s="5"/>
    </x:row>
    <x:row r="66" ht="27.600000381469727">
      <x:c r="A66" s="5" t="s">
        <x:v>1040</x:v>
      </x:c>
      <x:c r="B66" s="5" t="s">
        <x:v>969</x:v>
      </x:c>
      <x:c r="C66" s="5" t="s">
        <x:v>683</x:v>
      </x:c>
      <x:c r="D66" s="5" t="s">
        <x:v>1016</x:v>
      </x:c>
      <x:c r="E66" s="5" t="s">
        <x:v>994</x:v>
      </x:c>
      <x:c r="F66" s="5">
        <x:v>5</x:v>
      </x:c>
      <x:c r="G66" s="5">
        <x:v>1814859839</x:v>
      </x:c>
      <x:c r="H66" s="5" t="s">
        <x:v>665</x:v>
      </x:c>
      <x:c r="I66" s="5" t="s">
        <x:v>25</x:v>
      </x:c>
      <x:c r="J66" s="5"/>
      <x:c r="K66" s="5"/>
      <x:c r="L66" s="5"/>
      <x:c r="M66" s="5" t="s">
        <x:v>41</x:v>
      </x:c>
      <x:c r="N66" s="5" t="s">
        <x:v>972</x:v>
      </x:c>
      <x:c r="O66" s="5" t="s">
        <x:v>972</x:v>
      </x:c>
      <x:c r="P66" s="5" t="s">
        <x:v>40</x:v>
      </x:c>
      <x:c r="Q66" s="5"/>
    </x:row>
    <x:row r="67" ht="27.600000381469727">
      <x:c r="A67" s="5" t="s">
        <x:v>1041</x:v>
      </x:c>
      <x:c r="B67" s="5" t="s">
        <x:v>969</x:v>
      </x:c>
      <x:c r="C67" s="5" t="s">
        <x:v>683</x:v>
      </x:c>
      <x:c r="D67" s="5" t="s">
        <x:v>1016</x:v>
      </x:c>
      <x:c r="E67" s="5" t="s">
        <x:v>994</x:v>
      </x:c>
      <x:c r="F67" s="5">
        <x:v>6</x:v>
      </x:c>
      <x:c r="G67" s="5">
        <x:v>1603952859</x:v>
      </x:c>
      <x:c r="H67" s="5" t="s">
        <x:v>665</x:v>
      </x:c>
      <x:c r="I67" s="5" t="s">
        <x:v>25</x:v>
      </x:c>
      <x:c r="J67" s="5"/>
      <x:c r="K67" s="5"/>
      <x:c r="L67" s="5"/>
      <x:c r="M67" s="5" t="s">
        <x:v>41</x:v>
      </x:c>
      <x:c r="N67" s="5" t="s">
        <x:v>972</x:v>
      </x:c>
      <x:c r="O67" s="5" t="s">
        <x:v>972</x:v>
      </x:c>
      <x:c r="P67" s="5" t="s">
        <x:v>40</x:v>
      </x:c>
      <x:c r="Q67" s="5"/>
    </x:row>
    <x:row r="68" ht="27.600000381469727">
      <x:c r="A68" s="5" t="s">
        <x:v>1042</x:v>
      </x:c>
      <x:c r="B68" s="5" t="s">
        <x:v>969</x:v>
      </x:c>
      <x:c r="C68" s="5" t="s">
        <x:v>683</x:v>
      </x:c>
      <x:c r="D68" s="5" t="s">
        <x:v>1016</x:v>
      </x:c>
      <x:c r="E68" s="5" t="s">
        <x:v>994</x:v>
      </x:c>
      <x:c r="F68" s="5">
        <x:v>7</x:v>
      </x:c>
      <x:c r="G68" s="5">
        <x:v>1878351743</x:v>
      </x:c>
      <x:c r="H68" s="5" t="s">
        <x:v>665</x:v>
      </x:c>
      <x:c r="I68" s="5" t="s">
        <x:v>25</x:v>
      </x:c>
      <x:c r="J68" s="5"/>
      <x:c r="K68" s="5"/>
      <x:c r="L68" s="5"/>
      <x:c r="M68" s="5" t="s">
        <x:v>41</x:v>
      </x:c>
      <x:c r="N68" s="5" t="s">
        <x:v>972</x:v>
      </x:c>
      <x:c r="O68" s="5" t="s">
        <x:v>972</x:v>
      </x:c>
      <x:c r="P68" s="5" t="s">
        <x:v>40</x:v>
      </x:c>
      <x:c r="Q68" s="5"/>
    </x:row>
    <x:row r="69" ht="27.600000381469727">
      <x:c r="A69" s="5" t="s">
        <x:v>1043</x:v>
      </x:c>
      <x:c r="B69" s="5" t="s">
        <x:v>969</x:v>
      </x:c>
      <x:c r="C69" s="5" t="s">
        <x:v>683</x:v>
      </x:c>
      <x:c r="D69" s="5" t="s">
        <x:v>1016</x:v>
      </x:c>
      <x:c r="E69" s="5" t="s">
        <x:v>994</x:v>
      </x:c>
      <x:c r="F69" s="5">
        <x:v>8</x:v>
      </x:c>
      <x:c r="G69" s="5">
        <x:v>875651179</x:v>
      </x:c>
      <x:c r="H69" s="5" t="s">
        <x:v>665</x:v>
      </x:c>
      <x:c r="I69" s="5" t="s">
        <x:v>25</x:v>
      </x:c>
      <x:c r="J69" s="5"/>
      <x:c r="K69" s="5"/>
      <x:c r="L69" s="5"/>
      <x:c r="M69" s="5" t="s">
        <x:v>41</x:v>
      </x:c>
      <x:c r="N69" s="5" t="s">
        <x:v>972</x:v>
      </x:c>
      <x:c r="O69" s="5" t="s">
        <x:v>972</x:v>
      </x:c>
      <x:c r="P69" s="5" t="s">
        <x:v>40</x:v>
      </x:c>
      <x:c r="Q69" s="5"/>
    </x:row>
    <x:row r="70" ht="27.600000381469727">
      <x:c r="A70" s="5" t="s">
        <x:v>1044</x:v>
      </x:c>
      <x:c r="B70" s="5" t="s">
        <x:v>969</x:v>
      </x:c>
      <x:c r="C70" s="5" t="s">
        <x:v>683</x:v>
      </x:c>
      <x:c r="D70" s="5" t="s">
        <x:v>1016</x:v>
      </x:c>
      <x:c r="E70" s="5" t="s">
        <x:v>994</x:v>
      </x:c>
      <x:c r="F70" s="5">
        <x:v>9</x:v>
      </x:c>
      <x:c r="G70" s="5">
        <x:v>477581743</x:v>
      </x:c>
      <x:c r="H70" s="5" t="s">
        <x:v>665</x:v>
      </x:c>
      <x:c r="I70" s="5" t="s">
        <x:v>25</x:v>
      </x:c>
      <x:c r="J70" s="5"/>
      <x:c r="K70" s="5"/>
      <x:c r="L70" s="5"/>
      <x:c r="M70" s="5" t="s">
        <x:v>41</x:v>
      </x:c>
      <x:c r="N70" s="5" t="s">
        <x:v>972</x:v>
      </x:c>
      <x:c r="O70" s="5" t="s">
        <x:v>972</x:v>
      </x:c>
      <x:c r="P70" s="5" t="s">
        <x:v>40</x:v>
      </x:c>
      <x:c r="Q70" s="5"/>
    </x:row>
    <x:row r="71" ht="27.600000381469727">
      <x:c r="A71" s="5" t="s">
        <x:v>1045</x:v>
      </x:c>
      <x:c r="B71" s="5" t="s">
        <x:v>969</x:v>
      </x:c>
      <x:c r="C71" s="5" t="s">
        <x:v>683</x:v>
      </x:c>
      <x:c r="D71" s="5" t="s">
        <x:v>1016</x:v>
      </x:c>
      <x:c r="E71" s="5" t="s">
        <x:v>994</x:v>
      </x:c>
      <x:c r="F71" s="5">
        <x:v>10</x:v>
      </x:c>
      <x:c r="G71" s="5">
        <x:v>869675675</x:v>
      </x:c>
      <x:c r="H71" s="5" t="s">
        <x:v>665</x:v>
      </x:c>
      <x:c r="I71" s="5" t="s">
        <x:v>25</x:v>
      </x:c>
      <x:c r="J71" s="5"/>
      <x:c r="K71" s="5"/>
      <x:c r="L71" s="5"/>
      <x:c r="M71" s="5" t="s">
        <x:v>41</x:v>
      </x:c>
      <x:c r="N71" s="5" t="s">
        <x:v>972</x:v>
      </x:c>
      <x:c r="O71" s="5" t="s">
        <x:v>972</x:v>
      </x:c>
      <x:c r="P71" s="5" t="s">
        <x:v>40</x:v>
      </x:c>
      <x:c r="Q71" s="5"/>
    </x:row>
    <x:row r="72" ht="27.600000381469727">
      <x:c r="A72" s="5" t="s">
        <x:v>1046</x:v>
      </x:c>
      <x:c r="B72" s="5" t="s">
        <x:v>969</x:v>
      </x:c>
      <x:c r="C72" s="5" t="s">
        <x:v>683</x:v>
      </x:c>
      <x:c r="D72" s="5" t="s">
        <x:v>1016</x:v>
      </x:c>
      <x:c r="E72" s="5" t="s">
        <x:v>1005</x:v>
      </x:c>
      <x:c r="F72" s="5">
        <x:v>1</x:v>
      </x:c>
      <x:c r="G72" s="5">
        <x:v>204886845</x:v>
      </x:c>
      <x:c r="H72" s="5" t="s">
        <x:v>665</x:v>
      </x:c>
      <x:c r="I72" s="5" t="s">
        <x:v>25</x:v>
      </x:c>
      <x:c r="J72" s="5"/>
      <x:c r="K72" s="5"/>
      <x:c r="L72" s="5"/>
      <x:c r="M72" s="5" t="s">
        <x:v>41</x:v>
      </x:c>
      <x:c r="N72" s="5" t="s">
        <x:v>972</x:v>
      </x:c>
      <x:c r="O72" s="5" t="s">
        <x:v>972</x:v>
      </x:c>
      <x:c r="P72" s="5" t="s">
        <x:v>40</x:v>
      </x:c>
      <x:c r="Q72" s="5"/>
    </x:row>
    <x:row r="73" ht="27.600000381469727">
      <x:c r="A73" s="5" t="s">
        <x:v>1047</x:v>
      </x:c>
      <x:c r="B73" s="5" t="s">
        <x:v>969</x:v>
      </x:c>
      <x:c r="C73" s="5" t="s">
        <x:v>683</x:v>
      </x:c>
      <x:c r="D73" s="5" t="s">
        <x:v>1016</x:v>
      </x:c>
      <x:c r="E73" s="5" t="s">
        <x:v>1005</x:v>
      </x:c>
      <x:c r="F73" s="5">
        <x:v>2</x:v>
      </x:c>
      <x:c r="G73" s="5">
        <x:v>1480646854</x:v>
      </x:c>
      <x:c r="H73" s="5" t="s">
        <x:v>665</x:v>
      </x:c>
      <x:c r="I73" s="5" t="s">
        <x:v>25</x:v>
      </x:c>
      <x:c r="J73" s="5"/>
      <x:c r="K73" s="5"/>
      <x:c r="L73" s="5"/>
      <x:c r="M73" s="5" t="s">
        <x:v>41</x:v>
      </x:c>
      <x:c r="N73" s="5" t="s">
        <x:v>972</x:v>
      </x:c>
      <x:c r="O73" s="5" t="s">
        <x:v>972</x:v>
      </x:c>
      <x:c r="P73" s="5" t="s">
        <x:v>40</x:v>
      </x:c>
      <x:c r="Q73" s="5"/>
    </x:row>
    <x:row r="74" ht="27.600000381469727">
      <x:c r="A74" s="5" t="s">
        <x:v>1048</x:v>
      </x:c>
      <x:c r="B74" s="5" t="s">
        <x:v>969</x:v>
      </x:c>
      <x:c r="C74" s="5" t="s">
        <x:v>683</x:v>
      </x:c>
      <x:c r="D74" s="5" t="s">
        <x:v>1016</x:v>
      </x:c>
      <x:c r="E74" s="5" t="s">
        <x:v>1005</x:v>
      </x:c>
      <x:c r="F74" s="5">
        <x:v>3</x:v>
      </x:c>
      <x:c r="G74" s="5">
        <x:v>1798418854</x:v>
      </x:c>
      <x:c r="H74" s="5" t="s">
        <x:v>665</x:v>
      </x:c>
      <x:c r="I74" s="5" t="s">
        <x:v>25</x:v>
      </x:c>
      <x:c r="J74" s="5"/>
      <x:c r="K74" s="5"/>
      <x:c r="L74" s="5"/>
      <x:c r="M74" s="5" t="s">
        <x:v>41</x:v>
      </x:c>
      <x:c r="N74" s="5" t="s">
        <x:v>972</x:v>
      </x:c>
      <x:c r="O74" s="5" t="s">
        <x:v>972</x:v>
      </x:c>
      <x:c r="P74" s="5" t="s">
        <x:v>40</x:v>
      </x:c>
      <x:c r="Q74" s="5"/>
    </x:row>
    <x:row r="75" ht="27.600000381469727">
      <x:c r="A75" s="5" t="s">
        <x:v>1049</x:v>
      </x:c>
      <x:c r="B75" s="5" t="s">
        <x:v>969</x:v>
      </x:c>
      <x:c r="C75" s="5" t="s">
        <x:v>683</x:v>
      </x:c>
      <x:c r="D75" s="5" t="s">
        <x:v>1016</x:v>
      </x:c>
      <x:c r="E75" s="5" t="s">
        <x:v>1005</x:v>
      </x:c>
      <x:c r="F75" s="5">
        <x:v>4</x:v>
      </x:c>
      <x:c r="G75" s="5">
        <x:v>2045683682</x:v>
      </x:c>
      <x:c r="H75" s="5" t="s">
        <x:v>665</x:v>
      </x:c>
      <x:c r="I75" s="5" t="s">
        <x:v>25</x:v>
      </x:c>
      <x:c r="J75" s="5"/>
      <x:c r="K75" s="5"/>
      <x:c r="L75" s="5"/>
      <x:c r="M75" s="5" t="s">
        <x:v>41</x:v>
      </x:c>
      <x:c r="N75" s="5" t="s">
        <x:v>972</x:v>
      </x:c>
      <x:c r="O75" s="5" t="s">
        <x:v>972</x:v>
      </x:c>
      <x:c r="P75" s="5" t="s">
        <x:v>40</x:v>
      </x:c>
      <x:c r="Q75" s="5"/>
    </x:row>
    <x:row r="76" ht="27.600000381469727">
      <x:c r="A76" s="5" t="s">
        <x:v>1050</x:v>
      </x:c>
      <x:c r="B76" s="5" t="s">
        <x:v>969</x:v>
      </x:c>
      <x:c r="C76" s="5" t="s">
        <x:v>683</x:v>
      </x:c>
      <x:c r="D76" s="5" t="s">
        <x:v>1016</x:v>
      </x:c>
      <x:c r="E76" s="5" t="s">
        <x:v>1005</x:v>
      </x:c>
      <x:c r="F76" s="5">
        <x:v>5</x:v>
      </x:c>
      <x:c r="G76" s="5">
        <x:v>1814859839</x:v>
      </x:c>
      <x:c r="H76" s="5" t="s">
        <x:v>665</x:v>
      </x:c>
      <x:c r="I76" s="5" t="s">
        <x:v>25</x:v>
      </x:c>
      <x:c r="J76" s="5"/>
      <x:c r="K76" s="5"/>
      <x:c r="L76" s="5"/>
      <x:c r="M76" s="5" t="s">
        <x:v>41</x:v>
      </x:c>
      <x:c r="N76" s="5" t="s">
        <x:v>972</x:v>
      </x:c>
      <x:c r="O76" s="5" t="s">
        <x:v>972</x:v>
      </x:c>
      <x:c r="P76" s="5" t="s">
        <x:v>40</x:v>
      </x:c>
      <x:c r="Q76" s="5"/>
    </x:row>
    <x:row r="77" ht="27.600000381469727">
      <x:c r="A77" s="5" t="s">
        <x:v>1051</x:v>
      </x:c>
      <x:c r="B77" s="5" t="s">
        <x:v>969</x:v>
      </x:c>
      <x:c r="C77" s="5" t="s">
        <x:v>683</x:v>
      </x:c>
      <x:c r="D77" s="5" t="s">
        <x:v>1016</x:v>
      </x:c>
      <x:c r="E77" s="5" t="s">
        <x:v>1005</x:v>
      </x:c>
      <x:c r="F77" s="5">
        <x:v>6</x:v>
      </x:c>
      <x:c r="G77" s="5">
        <x:v>1603952859</x:v>
      </x:c>
      <x:c r="H77" s="5" t="s">
        <x:v>665</x:v>
      </x:c>
      <x:c r="I77" s="5" t="s">
        <x:v>25</x:v>
      </x:c>
      <x:c r="J77" s="5"/>
      <x:c r="K77" s="5"/>
      <x:c r="L77" s="5"/>
      <x:c r="M77" s="5" t="s">
        <x:v>41</x:v>
      </x:c>
      <x:c r="N77" s="5" t="s">
        <x:v>972</x:v>
      </x:c>
      <x:c r="O77" s="5" t="s">
        <x:v>972</x:v>
      </x:c>
      <x:c r="P77" s="5" t="s">
        <x:v>40</x:v>
      </x:c>
      <x:c r="Q77" s="5"/>
    </x:row>
    <x:row r="78" ht="27.600000381469727">
      <x:c r="A78" s="5" t="s">
        <x:v>1052</x:v>
      </x:c>
      <x:c r="B78" s="5" t="s">
        <x:v>969</x:v>
      </x:c>
      <x:c r="C78" s="5" t="s">
        <x:v>683</x:v>
      </x:c>
      <x:c r="D78" s="5" t="s">
        <x:v>1016</x:v>
      </x:c>
      <x:c r="E78" s="5" t="s">
        <x:v>1005</x:v>
      </x:c>
      <x:c r="F78" s="5">
        <x:v>7</x:v>
      </x:c>
      <x:c r="G78" s="5">
        <x:v>1878351743</x:v>
      </x:c>
      <x:c r="H78" s="5" t="s">
        <x:v>665</x:v>
      </x:c>
      <x:c r="I78" s="5" t="s">
        <x:v>25</x:v>
      </x:c>
      <x:c r="J78" s="5"/>
      <x:c r="K78" s="5"/>
      <x:c r="L78" s="5"/>
      <x:c r="M78" s="5" t="s">
        <x:v>41</x:v>
      </x:c>
      <x:c r="N78" s="5" t="s">
        <x:v>972</x:v>
      </x:c>
      <x:c r="O78" s="5" t="s">
        <x:v>972</x:v>
      </x:c>
      <x:c r="P78" s="5" t="s">
        <x:v>40</x:v>
      </x:c>
      <x:c r="Q78" s="5"/>
    </x:row>
    <x:row r="79" ht="27.600000381469727">
      <x:c r="A79" s="5" t="s">
        <x:v>1053</x:v>
      </x:c>
      <x:c r="B79" s="5" t="s">
        <x:v>969</x:v>
      </x:c>
      <x:c r="C79" s="5" t="s">
        <x:v>683</x:v>
      </x:c>
      <x:c r="D79" s="5" t="s">
        <x:v>1016</x:v>
      </x:c>
      <x:c r="E79" s="5" t="s">
        <x:v>1005</x:v>
      </x:c>
      <x:c r="F79" s="5">
        <x:v>8</x:v>
      </x:c>
      <x:c r="G79" s="5">
        <x:v>875651179</x:v>
      </x:c>
      <x:c r="H79" s="5" t="s">
        <x:v>665</x:v>
      </x:c>
      <x:c r="I79" s="5" t="s">
        <x:v>25</x:v>
      </x:c>
      <x:c r="J79" s="5"/>
      <x:c r="K79" s="5"/>
      <x:c r="L79" s="5"/>
      <x:c r="M79" s="5" t="s">
        <x:v>41</x:v>
      </x:c>
      <x:c r="N79" s="5" t="s">
        <x:v>972</x:v>
      </x:c>
      <x:c r="O79" s="5" t="s">
        <x:v>972</x:v>
      </x:c>
      <x:c r="P79" s="5" t="s">
        <x:v>40</x:v>
      </x:c>
      <x:c r="Q79" s="5"/>
    </x:row>
    <x:row r="80" ht="27.600000381469727">
      <x:c r="A80" s="5" t="s">
        <x:v>1054</x:v>
      </x:c>
      <x:c r="B80" s="5" t="s">
        <x:v>969</x:v>
      </x:c>
      <x:c r="C80" s="5" t="s">
        <x:v>683</x:v>
      </x:c>
      <x:c r="D80" s="5" t="s">
        <x:v>1016</x:v>
      </x:c>
      <x:c r="E80" s="5" t="s">
        <x:v>1005</x:v>
      </x:c>
      <x:c r="F80" s="5">
        <x:v>9</x:v>
      </x:c>
      <x:c r="G80" s="5">
        <x:v>477581743</x:v>
      </x:c>
      <x:c r="H80" s="5" t="s">
        <x:v>665</x:v>
      </x:c>
      <x:c r="I80" s="5" t="s">
        <x:v>25</x:v>
      </x:c>
      <x:c r="J80" s="5"/>
      <x:c r="K80" s="5"/>
      <x:c r="L80" s="5"/>
      <x:c r="M80" s="5" t="s">
        <x:v>41</x:v>
      </x:c>
      <x:c r="N80" s="5" t="s">
        <x:v>972</x:v>
      </x:c>
      <x:c r="O80" s="5" t="s">
        <x:v>972</x:v>
      </x:c>
      <x:c r="P80" s="5" t="s">
        <x:v>40</x:v>
      </x:c>
      <x:c r="Q80" s="5"/>
    </x:row>
    <x:row r="81" ht="27.600000381469727">
      <x:c r="A81" s="5" t="s">
        <x:v>1055</x:v>
      </x:c>
      <x:c r="B81" s="5" t="s">
        <x:v>969</x:v>
      </x:c>
      <x:c r="C81" s="5" t="s">
        <x:v>683</x:v>
      </x:c>
      <x:c r="D81" s="5" t="s">
        <x:v>1016</x:v>
      </x:c>
      <x:c r="E81" s="5" t="s">
        <x:v>1005</x:v>
      </x:c>
      <x:c r="F81" s="5">
        <x:v>10</x:v>
      </x:c>
      <x:c r="G81" s="5">
        <x:v>869675675</x:v>
      </x:c>
      <x:c r="H81" s="5" t="s">
        <x:v>665</x:v>
      </x:c>
      <x:c r="I81" s="5" t="s">
        <x:v>25</x:v>
      </x:c>
      <x:c r="J81" s="5"/>
      <x:c r="K81" s="5"/>
      <x:c r="L81" s="5"/>
      <x:c r="M81" s="5" t="s">
        <x:v>41</x:v>
      </x:c>
      <x:c r="N81" s="5" t="s">
        <x:v>972</x:v>
      </x:c>
      <x:c r="O81" s="5" t="s">
        <x:v>972</x:v>
      </x:c>
      <x:c r="P81" s="5" t="s">
        <x:v>40</x:v>
      </x:c>
      <x:c r="Q81" s="5"/>
    </x:row>
    <x:row r="82">
      <x:c r="A82" s="5" t="s">
        <x:v>1056</x:v>
      </x:c>
      <x:c r="B82" s="5" t="s">
        <x:v>969</x:v>
      </x:c>
      <x:c r="C82" s="5" t="s">
        <x:v>694</x:v>
      </x:c>
      <x:c r="D82" s="5" t="s">
        <x:v>970</x:v>
      </x:c>
      <x:c r="E82" s="5" t="s">
        <x:v>971</x:v>
      </x:c>
      <x:c r="F82" s="5">
        <x:v>1</x:v>
      </x:c>
      <x:c r="G82" s="5">
        <x:v>204886845</x:v>
      </x:c>
      <x:c r="H82" s="5" t="s">
        <x:v>665</x:v>
      </x:c>
      <x:c r="I82" s="5" t="s">
        <x:v>25</x:v>
      </x:c>
      <x:c r="J82" s="5"/>
      <x:c r="K82" s="5"/>
      <x:c r="L82" s="5"/>
      <x:c r="M82" s="5" t="s">
        <x:v>810</x:v>
      </x:c>
      <x:c r="N82" s="5" t="s">
        <x:v>972</x:v>
      </x:c>
      <x:c r="O82" s="5" t="s">
        <x:v>972</x:v>
      </x:c>
      <x:c r="P82" s="5" t="s">
        <x:v>40</x:v>
      </x:c>
      <x:c r="Q82" s="5"/>
    </x:row>
    <x:row r="83">
      <x:c r="A83" s="5" t="s">
        <x:v>1057</x:v>
      </x:c>
      <x:c r="B83" s="5" t="s">
        <x:v>969</x:v>
      </x:c>
      <x:c r="C83" s="5" t="s">
        <x:v>694</x:v>
      </x:c>
      <x:c r="D83" s="5" t="s">
        <x:v>970</x:v>
      </x:c>
      <x:c r="E83" s="5" t="s">
        <x:v>971</x:v>
      </x:c>
      <x:c r="F83" s="5">
        <x:v>2</x:v>
      </x:c>
      <x:c r="G83" s="5">
        <x:v>1480646854</x:v>
      </x:c>
      <x:c r="H83" s="5" t="s">
        <x:v>665</x:v>
      </x:c>
      <x:c r="I83" s="5" t="s">
        <x:v>25</x:v>
      </x:c>
      <x:c r="J83" s="5"/>
      <x:c r="K83" s="5"/>
      <x:c r="L83" s="5"/>
      <x:c r="M83" s="5" t="s">
        <x:v>810</x:v>
      </x:c>
      <x:c r="N83" s="5" t="s">
        <x:v>972</x:v>
      </x:c>
      <x:c r="O83" s="5" t="s">
        <x:v>972</x:v>
      </x:c>
      <x:c r="P83" s="5" t="s">
        <x:v>40</x:v>
      </x:c>
      <x:c r="Q83" s="5"/>
    </x:row>
    <x:row r="84">
      <x:c r="A84" s="5" t="s">
        <x:v>1058</x:v>
      </x:c>
      <x:c r="B84" s="5" t="s">
        <x:v>969</x:v>
      </x:c>
      <x:c r="C84" s="5" t="s">
        <x:v>694</x:v>
      </x:c>
      <x:c r="D84" s="5" t="s">
        <x:v>970</x:v>
      </x:c>
      <x:c r="E84" s="5" t="s">
        <x:v>971</x:v>
      </x:c>
      <x:c r="F84" s="5">
        <x:v>3</x:v>
      </x:c>
      <x:c r="G84" s="5">
        <x:v>1798418854</x:v>
      </x:c>
      <x:c r="H84" s="5" t="s">
        <x:v>665</x:v>
      </x:c>
      <x:c r="I84" s="5" t="s">
        <x:v>25</x:v>
      </x:c>
      <x:c r="J84" s="5"/>
      <x:c r="K84" s="5"/>
      <x:c r="L84" s="5"/>
      <x:c r="M84" s="5" t="s">
        <x:v>810</x:v>
      </x:c>
      <x:c r="N84" s="5" t="s">
        <x:v>972</x:v>
      </x:c>
      <x:c r="O84" s="5" t="s">
        <x:v>972</x:v>
      </x:c>
      <x:c r="P84" s="5" t="s">
        <x:v>40</x:v>
      </x:c>
      <x:c r="Q84" s="5"/>
    </x:row>
    <x:row r="85">
      <x:c r="A85" s="5" t="s">
        <x:v>1059</x:v>
      </x:c>
      <x:c r="B85" s="5" t="s">
        <x:v>969</x:v>
      </x:c>
      <x:c r="C85" s="5" t="s">
        <x:v>694</x:v>
      </x:c>
      <x:c r="D85" s="5" t="s">
        <x:v>970</x:v>
      </x:c>
      <x:c r="E85" s="5" t="s">
        <x:v>971</x:v>
      </x:c>
      <x:c r="F85" s="5">
        <x:v>4</x:v>
      </x:c>
      <x:c r="G85" s="5">
        <x:v>2045683682</x:v>
      </x:c>
      <x:c r="H85" s="5" t="s">
        <x:v>665</x:v>
      </x:c>
      <x:c r="I85" s="5" t="s">
        <x:v>25</x:v>
      </x:c>
      <x:c r="J85" s="5"/>
      <x:c r="K85" s="5"/>
      <x:c r="L85" s="5"/>
      <x:c r="M85" s="5" t="s">
        <x:v>810</x:v>
      </x:c>
      <x:c r="N85" s="5" t="s">
        <x:v>972</x:v>
      </x:c>
      <x:c r="O85" s="5" t="s">
        <x:v>972</x:v>
      </x:c>
      <x:c r="P85" s="5" t="s">
        <x:v>40</x:v>
      </x:c>
      <x:c r="Q85" s="5"/>
    </x:row>
    <x:row r="86">
      <x:c r="A86" s="5" t="s">
        <x:v>1060</x:v>
      </x:c>
      <x:c r="B86" s="5" t="s">
        <x:v>969</x:v>
      </x:c>
      <x:c r="C86" s="5" t="s">
        <x:v>694</x:v>
      </x:c>
      <x:c r="D86" s="5" t="s">
        <x:v>970</x:v>
      </x:c>
      <x:c r="E86" s="5" t="s">
        <x:v>971</x:v>
      </x:c>
      <x:c r="F86" s="5">
        <x:v>5</x:v>
      </x:c>
      <x:c r="G86" s="5">
        <x:v>1814859839</x:v>
      </x:c>
      <x:c r="H86" s="5" t="s">
        <x:v>665</x:v>
      </x:c>
      <x:c r="I86" s="5" t="s">
        <x:v>25</x:v>
      </x:c>
      <x:c r="J86" s="5"/>
      <x:c r="K86" s="5"/>
      <x:c r="L86" s="5"/>
      <x:c r="M86" s="5" t="s">
        <x:v>810</x:v>
      </x:c>
      <x:c r="N86" s="5" t="s">
        <x:v>972</x:v>
      </x:c>
      <x:c r="O86" s="5" t="s">
        <x:v>972</x:v>
      </x:c>
      <x:c r="P86" s="5" t="s">
        <x:v>40</x:v>
      </x:c>
      <x:c r="Q86" s="5"/>
    </x:row>
    <x:row r="87">
      <x:c r="A87" s="5" t="s">
        <x:v>1061</x:v>
      </x:c>
      <x:c r="B87" s="5" t="s">
        <x:v>969</x:v>
      </x:c>
      <x:c r="C87" s="5" t="s">
        <x:v>694</x:v>
      </x:c>
      <x:c r="D87" s="5" t="s">
        <x:v>970</x:v>
      </x:c>
      <x:c r="E87" s="5" t="s">
        <x:v>971</x:v>
      </x:c>
      <x:c r="F87" s="5">
        <x:v>6</x:v>
      </x:c>
      <x:c r="G87" s="5">
        <x:v>1603952859</x:v>
      </x:c>
      <x:c r="H87" s="5" t="s">
        <x:v>665</x:v>
      </x:c>
      <x:c r="I87" s="5" t="s">
        <x:v>25</x:v>
      </x:c>
      <x:c r="J87" s="5"/>
      <x:c r="K87" s="5"/>
      <x:c r="L87" s="5"/>
      <x:c r="M87" s="5" t="s">
        <x:v>810</x:v>
      </x:c>
      <x:c r="N87" s="5" t="s">
        <x:v>972</x:v>
      </x:c>
      <x:c r="O87" s="5" t="s">
        <x:v>972</x:v>
      </x:c>
      <x:c r="P87" s="5" t="s">
        <x:v>40</x:v>
      </x:c>
      <x:c r="Q87" s="5"/>
    </x:row>
    <x:row r="88">
      <x:c r="A88" s="5" t="s">
        <x:v>1062</x:v>
      </x:c>
      <x:c r="B88" s="5" t="s">
        <x:v>969</x:v>
      </x:c>
      <x:c r="C88" s="5" t="s">
        <x:v>694</x:v>
      </x:c>
      <x:c r="D88" s="5" t="s">
        <x:v>970</x:v>
      </x:c>
      <x:c r="E88" s="5" t="s">
        <x:v>971</x:v>
      </x:c>
      <x:c r="F88" s="5">
        <x:v>7</x:v>
      </x:c>
      <x:c r="G88" s="5">
        <x:v>1878351743</x:v>
      </x:c>
      <x:c r="H88" s="5" t="s">
        <x:v>665</x:v>
      </x:c>
      <x:c r="I88" s="5" t="s">
        <x:v>25</x:v>
      </x:c>
      <x:c r="J88" s="5"/>
      <x:c r="K88" s="5"/>
      <x:c r="L88" s="5"/>
      <x:c r="M88" s="5" t="s">
        <x:v>810</x:v>
      </x:c>
      <x:c r="N88" s="5" t="s">
        <x:v>972</x:v>
      </x:c>
      <x:c r="O88" s="5" t="s">
        <x:v>972</x:v>
      </x:c>
      <x:c r="P88" s="5" t="s">
        <x:v>40</x:v>
      </x:c>
      <x:c r="Q88" s="5"/>
    </x:row>
    <x:row r="89">
      <x:c r="A89" s="5" t="s">
        <x:v>1063</x:v>
      </x:c>
      <x:c r="B89" s="5" t="s">
        <x:v>969</x:v>
      </x:c>
      <x:c r="C89" s="5" t="s">
        <x:v>694</x:v>
      </x:c>
      <x:c r="D89" s="5" t="s">
        <x:v>970</x:v>
      </x:c>
      <x:c r="E89" s="5" t="s">
        <x:v>971</x:v>
      </x:c>
      <x:c r="F89" s="5">
        <x:v>8</x:v>
      </x:c>
      <x:c r="G89" s="5">
        <x:v>875651179</x:v>
      </x:c>
      <x:c r="H89" s="5" t="s">
        <x:v>665</x:v>
      </x:c>
      <x:c r="I89" s="5" t="s">
        <x:v>25</x:v>
      </x:c>
      <x:c r="J89" s="5"/>
      <x:c r="K89" s="5"/>
      <x:c r="L89" s="5"/>
      <x:c r="M89" s="5" t="s">
        <x:v>810</x:v>
      </x:c>
      <x:c r="N89" s="5" t="s">
        <x:v>972</x:v>
      </x:c>
      <x:c r="O89" s="5" t="s">
        <x:v>972</x:v>
      </x:c>
      <x:c r="P89" s="5" t="s">
        <x:v>40</x:v>
      </x:c>
      <x:c r="Q89" s="5"/>
    </x:row>
    <x:row r="90">
      <x:c r="A90" s="5" t="s">
        <x:v>1064</x:v>
      </x:c>
      <x:c r="B90" s="5" t="s">
        <x:v>969</x:v>
      </x:c>
      <x:c r="C90" s="5" t="s">
        <x:v>694</x:v>
      </x:c>
      <x:c r="D90" s="5" t="s">
        <x:v>970</x:v>
      </x:c>
      <x:c r="E90" s="5" t="s">
        <x:v>971</x:v>
      </x:c>
      <x:c r="F90" s="5">
        <x:v>9</x:v>
      </x:c>
      <x:c r="G90" s="5">
        <x:v>477581743</x:v>
      </x:c>
      <x:c r="H90" s="5" t="s">
        <x:v>665</x:v>
      </x:c>
      <x:c r="I90" s="5" t="s">
        <x:v>25</x:v>
      </x:c>
      <x:c r="J90" s="5"/>
      <x:c r="K90" s="5"/>
      <x:c r="L90" s="5"/>
      <x:c r="M90" s="5" t="s">
        <x:v>810</x:v>
      </x:c>
      <x:c r="N90" s="5" t="s">
        <x:v>972</x:v>
      </x:c>
      <x:c r="O90" s="5" t="s">
        <x:v>972</x:v>
      </x:c>
      <x:c r="P90" s="5" t="s">
        <x:v>40</x:v>
      </x:c>
      <x:c r="Q90" s="5"/>
    </x:row>
    <x:row r="91">
      <x:c r="A91" s="5" t="s">
        <x:v>1065</x:v>
      </x:c>
      <x:c r="B91" s="5" t="s">
        <x:v>969</x:v>
      </x:c>
      <x:c r="C91" s="5" t="s">
        <x:v>694</x:v>
      </x:c>
      <x:c r="D91" s="5" t="s">
        <x:v>970</x:v>
      </x:c>
      <x:c r="E91" s="5" t="s">
        <x:v>971</x:v>
      </x:c>
      <x:c r="F91" s="5">
        <x:v>10</x:v>
      </x:c>
      <x:c r="G91" s="5">
        <x:v>869675675</x:v>
      </x:c>
      <x:c r="H91" s="5" t="s">
        <x:v>665</x:v>
      </x:c>
      <x:c r="I91" s="5" t="s">
        <x:v>25</x:v>
      </x:c>
      <x:c r="J91" s="5"/>
      <x:c r="K91" s="5"/>
      <x:c r="L91" s="5"/>
      <x:c r="M91" s="5" t="s">
        <x:v>810</x:v>
      </x:c>
      <x:c r="N91" s="5" t="s">
        <x:v>972</x:v>
      </x:c>
      <x:c r="O91" s="5" t="s">
        <x:v>972</x:v>
      </x:c>
      <x:c r="P91" s="5" t="s">
        <x:v>40</x:v>
      </x:c>
      <x:c r="Q91" s="5"/>
    </x:row>
    <x:row r="92">
      <x:c r="A92" s="5" t="s">
        <x:v>1066</x:v>
      </x:c>
      <x:c r="B92" s="5" t="s">
        <x:v>969</x:v>
      </x:c>
      <x:c r="C92" s="5" t="s">
        <x:v>694</x:v>
      </x:c>
      <x:c r="D92" s="5" t="s">
        <x:v>970</x:v>
      </x:c>
      <x:c r="E92" s="5" t="s">
        <x:v>983</x:v>
      </x:c>
      <x:c r="F92" s="5">
        <x:v>1</x:v>
      </x:c>
      <x:c r="G92" s="5">
        <x:v>204886845</x:v>
      </x:c>
      <x:c r="H92" s="5" t="s">
        <x:v>665</x:v>
      </x:c>
      <x:c r="I92" s="5" t="s">
        <x:v>25</x:v>
      </x:c>
      <x:c r="J92" s="5"/>
      <x:c r="K92" s="5"/>
      <x:c r="L92" s="5"/>
      <x:c r="M92" s="5" t="s">
        <x:v>810</x:v>
      </x:c>
      <x:c r="N92" s="5" t="s">
        <x:v>972</x:v>
      </x:c>
      <x:c r="O92" s="5" t="s">
        <x:v>972</x:v>
      </x:c>
      <x:c r="P92" s="5" t="s">
        <x:v>40</x:v>
      </x:c>
      <x:c r="Q92" s="5"/>
    </x:row>
    <x:row r="93">
      <x:c r="A93" s="5" t="s">
        <x:v>1067</x:v>
      </x:c>
      <x:c r="B93" s="5" t="s">
        <x:v>969</x:v>
      </x:c>
      <x:c r="C93" s="5" t="s">
        <x:v>694</x:v>
      </x:c>
      <x:c r="D93" s="5" t="s">
        <x:v>970</x:v>
      </x:c>
      <x:c r="E93" s="5" t="s">
        <x:v>983</x:v>
      </x:c>
      <x:c r="F93" s="5">
        <x:v>2</x:v>
      </x:c>
      <x:c r="G93" s="5">
        <x:v>1480646854</x:v>
      </x:c>
      <x:c r="H93" s="5" t="s">
        <x:v>665</x:v>
      </x:c>
      <x:c r="I93" s="5" t="s">
        <x:v>25</x:v>
      </x:c>
      <x:c r="J93" s="5"/>
      <x:c r="K93" s="5"/>
      <x:c r="L93" s="5"/>
      <x:c r="M93" s="5" t="s">
        <x:v>810</x:v>
      </x:c>
      <x:c r="N93" s="5" t="s">
        <x:v>972</x:v>
      </x:c>
      <x:c r="O93" s="5" t="s">
        <x:v>972</x:v>
      </x:c>
      <x:c r="P93" s="5" t="s">
        <x:v>40</x:v>
      </x:c>
      <x:c r="Q93" s="5"/>
    </x:row>
    <x:row r="94">
      <x:c r="A94" s="5" t="s">
        <x:v>1068</x:v>
      </x:c>
      <x:c r="B94" s="5" t="s">
        <x:v>969</x:v>
      </x:c>
      <x:c r="C94" s="5" t="s">
        <x:v>694</x:v>
      </x:c>
      <x:c r="D94" s="5" t="s">
        <x:v>970</x:v>
      </x:c>
      <x:c r="E94" s="5" t="s">
        <x:v>983</x:v>
      </x:c>
      <x:c r="F94" s="5">
        <x:v>3</x:v>
      </x:c>
      <x:c r="G94" s="5">
        <x:v>1798418854</x:v>
      </x:c>
      <x:c r="H94" s="5" t="s">
        <x:v>665</x:v>
      </x:c>
      <x:c r="I94" s="5" t="s">
        <x:v>25</x:v>
      </x:c>
      <x:c r="J94" s="5"/>
      <x:c r="K94" s="5"/>
      <x:c r="L94" s="5"/>
      <x:c r="M94" s="5" t="s">
        <x:v>810</x:v>
      </x:c>
      <x:c r="N94" s="5" t="s">
        <x:v>972</x:v>
      </x:c>
      <x:c r="O94" s="5" t="s">
        <x:v>972</x:v>
      </x:c>
      <x:c r="P94" s="5" t="s">
        <x:v>40</x:v>
      </x:c>
      <x:c r="Q94" s="5"/>
    </x:row>
    <x:row r="95">
      <x:c r="A95" s="5" t="s">
        <x:v>1069</x:v>
      </x:c>
      <x:c r="B95" s="5" t="s">
        <x:v>969</x:v>
      </x:c>
      <x:c r="C95" s="5" t="s">
        <x:v>694</x:v>
      </x:c>
      <x:c r="D95" s="5" t="s">
        <x:v>970</x:v>
      </x:c>
      <x:c r="E95" s="5" t="s">
        <x:v>983</x:v>
      </x:c>
      <x:c r="F95" s="5">
        <x:v>4</x:v>
      </x:c>
      <x:c r="G95" s="5">
        <x:v>2045683682</x:v>
      </x:c>
      <x:c r="H95" s="5" t="s">
        <x:v>665</x:v>
      </x:c>
      <x:c r="I95" s="5" t="s">
        <x:v>25</x:v>
      </x:c>
      <x:c r="J95" s="5"/>
      <x:c r="K95" s="5"/>
      <x:c r="L95" s="5"/>
      <x:c r="M95" s="5" t="s">
        <x:v>810</x:v>
      </x:c>
      <x:c r="N95" s="5" t="s">
        <x:v>972</x:v>
      </x:c>
      <x:c r="O95" s="5" t="s">
        <x:v>972</x:v>
      </x:c>
      <x:c r="P95" s="5" t="s">
        <x:v>40</x:v>
      </x:c>
      <x:c r="Q95" s="5"/>
    </x:row>
    <x:row r="96">
      <x:c r="A96" s="5" t="s">
        <x:v>1070</x:v>
      </x:c>
      <x:c r="B96" s="5" t="s">
        <x:v>969</x:v>
      </x:c>
      <x:c r="C96" s="5" t="s">
        <x:v>694</x:v>
      </x:c>
      <x:c r="D96" s="5" t="s">
        <x:v>970</x:v>
      </x:c>
      <x:c r="E96" s="5" t="s">
        <x:v>983</x:v>
      </x:c>
      <x:c r="F96" s="5">
        <x:v>5</x:v>
      </x:c>
      <x:c r="G96" s="5">
        <x:v>1814859839</x:v>
      </x:c>
      <x:c r="H96" s="5" t="s">
        <x:v>665</x:v>
      </x:c>
      <x:c r="I96" s="5" t="s">
        <x:v>25</x:v>
      </x:c>
      <x:c r="J96" s="5"/>
      <x:c r="K96" s="5"/>
      <x:c r="L96" s="5"/>
      <x:c r="M96" s="5" t="s">
        <x:v>810</x:v>
      </x:c>
      <x:c r="N96" s="5" t="s">
        <x:v>972</x:v>
      </x:c>
      <x:c r="O96" s="5" t="s">
        <x:v>972</x:v>
      </x:c>
      <x:c r="P96" s="5" t="s">
        <x:v>40</x:v>
      </x:c>
      <x:c r="Q96" s="5"/>
    </x:row>
    <x:row r="97">
      <x:c r="A97" s="5" t="s">
        <x:v>1071</x:v>
      </x:c>
      <x:c r="B97" s="5" t="s">
        <x:v>969</x:v>
      </x:c>
      <x:c r="C97" s="5" t="s">
        <x:v>694</x:v>
      </x:c>
      <x:c r="D97" s="5" t="s">
        <x:v>970</x:v>
      </x:c>
      <x:c r="E97" s="5" t="s">
        <x:v>983</x:v>
      </x:c>
      <x:c r="F97" s="5">
        <x:v>6</x:v>
      </x:c>
      <x:c r="G97" s="5">
        <x:v>1603952859</x:v>
      </x:c>
      <x:c r="H97" s="5" t="s">
        <x:v>665</x:v>
      </x:c>
      <x:c r="I97" s="5" t="s">
        <x:v>25</x:v>
      </x:c>
      <x:c r="J97" s="5"/>
      <x:c r="K97" s="5"/>
      <x:c r="L97" s="5"/>
      <x:c r="M97" s="5" t="s">
        <x:v>810</x:v>
      </x:c>
      <x:c r="N97" s="5" t="s">
        <x:v>972</x:v>
      </x:c>
      <x:c r="O97" s="5" t="s">
        <x:v>972</x:v>
      </x:c>
      <x:c r="P97" s="5" t="s">
        <x:v>40</x:v>
      </x:c>
      <x:c r="Q97" s="5"/>
    </x:row>
    <x:row r="98">
      <x:c r="A98" s="5" t="s">
        <x:v>1072</x:v>
      </x:c>
      <x:c r="B98" s="5" t="s">
        <x:v>969</x:v>
      </x:c>
      <x:c r="C98" s="5" t="s">
        <x:v>694</x:v>
      </x:c>
      <x:c r="D98" s="5" t="s">
        <x:v>970</x:v>
      </x:c>
      <x:c r="E98" s="5" t="s">
        <x:v>983</x:v>
      </x:c>
      <x:c r="F98" s="5">
        <x:v>7</x:v>
      </x:c>
      <x:c r="G98" s="5">
        <x:v>1878351743</x:v>
      </x:c>
      <x:c r="H98" s="5" t="s">
        <x:v>665</x:v>
      </x:c>
      <x:c r="I98" s="5" t="s">
        <x:v>25</x:v>
      </x:c>
      <x:c r="J98" s="5"/>
      <x:c r="K98" s="5"/>
      <x:c r="L98" s="5"/>
      <x:c r="M98" s="5" t="s">
        <x:v>810</x:v>
      </x:c>
      <x:c r="N98" s="5" t="s">
        <x:v>972</x:v>
      </x:c>
      <x:c r="O98" s="5" t="s">
        <x:v>972</x:v>
      </x:c>
      <x:c r="P98" s="5" t="s">
        <x:v>40</x:v>
      </x:c>
      <x:c r="Q98" s="5"/>
    </x:row>
    <x:row r="99">
      <x:c r="A99" s="5" t="s">
        <x:v>1073</x:v>
      </x:c>
      <x:c r="B99" s="5" t="s">
        <x:v>969</x:v>
      </x:c>
      <x:c r="C99" s="5" t="s">
        <x:v>694</x:v>
      </x:c>
      <x:c r="D99" s="5" t="s">
        <x:v>970</x:v>
      </x:c>
      <x:c r="E99" s="5" t="s">
        <x:v>983</x:v>
      </x:c>
      <x:c r="F99" s="5">
        <x:v>8</x:v>
      </x:c>
      <x:c r="G99" s="5">
        <x:v>875651179</x:v>
      </x:c>
      <x:c r="H99" s="5" t="s">
        <x:v>665</x:v>
      </x:c>
      <x:c r="I99" s="5" t="s">
        <x:v>25</x:v>
      </x:c>
      <x:c r="J99" s="5"/>
      <x:c r="K99" s="5"/>
      <x:c r="L99" s="5"/>
      <x:c r="M99" s="5" t="s">
        <x:v>810</x:v>
      </x:c>
      <x:c r="N99" s="5" t="s">
        <x:v>972</x:v>
      </x:c>
      <x:c r="O99" s="5" t="s">
        <x:v>972</x:v>
      </x:c>
      <x:c r="P99" s="5" t="s">
        <x:v>40</x:v>
      </x:c>
      <x:c r="Q99" s="5"/>
    </x:row>
    <x:row r="100">
      <x:c r="A100" s="5" t="s">
        <x:v>1074</x:v>
      </x:c>
      <x:c r="B100" s="5" t="s">
        <x:v>969</x:v>
      </x:c>
      <x:c r="C100" s="5" t="s">
        <x:v>694</x:v>
      </x:c>
      <x:c r="D100" s="5" t="s">
        <x:v>970</x:v>
      </x:c>
      <x:c r="E100" s="5" t="s">
        <x:v>983</x:v>
      </x:c>
      <x:c r="F100" s="5">
        <x:v>9</x:v>
      </x:c>
      <x:c r="G100" s="5">
        <x:v>477581743</x:v>
      </x:c>
      <x:c r="H100" s="5" t="s">
        <x:v>665</x:v>
      </x:c>
      <x:c r="I100" s="5" t="s">
        <x:v>25</x:v>
      </x:c>
      <x:c r="J100" s="5"/>
      <x:c r="K100" s="5"/>
      <x:c r="L100" s="5"/>
      <x:c r="M100" s="5" t="s">
        <x:v>810</x:v>
      </x:c>
      <x:c r="N100" s="5" t="s">
        <x:v>972</x:v>
      </x:c>
      <x:c r="O100" s="5" t="s">
        <x:v>972</x:v>
      </x:c>
      <x:c r="P100" s="5" t="s">
        <x:v>40</x:v>
      </x:c>
      <x:c r="Q100" s="5"/>
    </x:row>
    <x:row r="101">
      <x:c r="A101" s="5" t="s">
        <x:v>1075</x:v>
      </x:c>
      <x:c r="B101" s="5" t="s">
        <x:v>969</x:v>
      </x:c>
      <x:c r="C101" s="5" t="s">
        <x:v>694</x:v>
      </x:c>
      <x:c r="D101" s="5" t="s">
        <x:v>970</x:v>
      </x:c>
      <x:c r="E101" s="5" t="s">
        <x:v>983</x:v>
      </x:c>
      <x:c r="F101" s="5">
        <x:v>10</x:v>
      </x:c>
      <x:c r="G101" s="5">
        <x:v>869675675</x:v>
      </x:c>
      <x:c r="H101" s="5" t="s">
        <x:v>665</x:v>
      </x:c>
      <x:c r="I101" s="5" t="s">
        <x:v>25</x:v>
      </x:c>
      <x:c r="J101" s="5"/>
      <x:c r="K101" s="5"/>
      <x:c r="L101" s="5"/>
      <x:c r="M101" s="5" t="s">
        <x:v>810</x:v>
      </x:c>
      <x:c r="N101" s="5" t="s">
        <x:v>972</x:v>
      </x:c>
      <x:c r="O101" s="5" t="s">
        <x:v>972</x:v>
      </x:c>
      <x:c r="P101" s="5" t="s">
        <x:v>40</x:v>
      </x:c>
      <x:c r="Q101" s="5"/>
    </x:row>
    <x:row r="102">
      <x:c r="A102" s="5" t="s">
        <x:v>1076</x:v>
      </x:c>
      <x:c r="B102" s="5" t="s">
        <x:v>969</x:v>
      </x:c>
      <x:c r="C102" s="5" t="s">
        <x:v>694</x:v>
      </x:c>
      <x:c r="D102" s="5" t="s">
        <x:v>970</x:v>
      </x:c>
      <x:c r="E102" s="5" t="s">
        <x:v>994</x:v>
      </x:c>
      <x:c r="F102" s="5">
        <x:v>1</x:v>
      </x:c>
      <x:c r="G102" s="5">
        <x:v>204886845</x:v>
      </x:c>
      <x:c r="H102" s="5" t="s">
        <x:v>665</x:v>
      </x:c>
      <x:c r="I102" s="5" t="s">
        <x:v>25</x:v>
      </x:c>
      <x:c r="J102" s="5"/>
      <x:c r="K102" s="5"/>
      <x:c r="L102" s="5"/>
      <x:c r="M102" s="5" t="s">
        <x:v>810</x:v>
      </x:c>
      <x:c r="N102" s="5" t="s">
        <x:v>972</x:v>
      </x:c>
      <x:c r="O102" s="5" t="s">
        <x:v>972</x:v>
      </x:c>
      <x:c r="P102" s="5" t="s">
        <x:v>40</x:v>
      </x:c>
      <x:c r="Q102" s="5"/>
    </x:row>
    <x:row r="103">
      <x:c r="A103" s="5" t="s">
        <x:v>1077</x:v>
      </x:c>
      <x:c r="B103" s="5" t="s">
        <x:v>969</x:v>
      </x:c>
      <x:c r="C103" s="5" t="s">
        <x:v>694</x:v>
      </x:c>
      <x:c r="D103" s="5" t="s">
        <x:v>970</x:v>
      </x:c>
      <x:c r="E103" s="5" t="s">
        <x:v>994</x:v>
      </x:c>
      <x:c r="F103" s="5">
        <x:v>2</x:v>
      </x:c>
      <x:c r="G103" s="5">
        <x:v>1480646854</x:v>
      </x:c>
      <x:c r="H103" s="5" t="s">
        <x:v>665</x:v>
      </x:c>
      <x:c r="I103" s="5" t="s">
        <x:v>25</x:v>
      </x:c>
      <x:c r="J103" s="5"/>
      <x:c r="K103" s="5"/>
      <x:c r="L103" s="5"/>
      <x:c r="M103" s="5" t="s">
        <x:v>810</x:v>
      </x:c>
      <x:c r="N103" s="5" t="s">
        <x:v>972</x:v>
      </x:c>
      <x:c r="O103" s="5" t="s">
        <x:v>972</x:v>
      </x:c>
      <x:c r="P103" s="5" t="s">
        <x:v>40</x:v>
      </x:c>
      <x:c r="Q103" s="5"/>
    </x:row>
    <x:row r="104">
      <x:c r="A104" s="5" t="s">
        <x:v>1078</x:v>
      </x:c>
      <x:c r="B104" s="5" t="s">
        <x:v>969</x:v>
      </x:c>
      <x:c r="C104" s="5" t="s">
        <x:v>694</x:v>
      </x:c>
      <x:c r="D104" s="5" t="s">
        <x:v>970</x:v>
      </x:c>
      <x:c r="E104" s="5" t="s">
        <x:v>994</x:v>
      </x:c>
      <x:c r="F104" s="5">
        <x:v>3</x:v>
      </x:c>
      <x:c r="G104" s="5">
        <x:v>1798418854</x:v>
      </x:c>
      <x:c r="H104" s="5" t="s">
        <x:v>665</x:v>
      </x:c>
      <x:c r="I104" s="5" t="s">
        <x:v>25</x:v>
      </x:c>
      <x:c r="J104" s="5"/>
      <x:c r="K104" s="5"/>
      <x:c r="L104" s="5"/>
      <x:c r="M104" s="5" t="s">
        <x:v>810</x:v>
      </x:c>
      <x:c r="N104" s="5" t="s">
        <x:v>972</x:v>
      </x:c>
      <x:c r="O104" s="5" t="s">
        <x:v>972</x:v>
      </x:c>
      <x:c r="P104" s="5" t="s">
        <x:v>40</x:v>
      </x:c>
      <x:c r="Q104" s="5"/>
    </x:row>
    <x:row r="105">
      <x:c r="A105" s="5" t="s">
        <x:v>1079</x:v>
      </x:c>
      <x:c r="B105" s="5" t="s">
        <x:v>969</x:v>
      </x:c>
      <x:c r="C105" s="5" t="s">
        <x:v>694</x:v>
      </x:c>
      <x:c r="D105" s="5" t="s">
        <x:v>970</x:v>
      </x:c>
      <x:c r="E105" s="5" t="s">
        <x:v>994</x:v>
      </x:c>
      <x:c r="F105" s="5">
        <x:v>4</x:v>
      </x:c>
      <x:c r="G105" s="5">
        <x:v>2045683682</x:v>
      </x:c>
      <x:c r="H105" s="5" t="s">
        <x:v>665</x:v>
      </x:c>
      <x:c r="I105" s="5" t="s">
        <x:v>25</x:v>
      </x:c>
      <x:c r="J105" s="5"/>
      <x:c r="K105" s="5"/>
      <x:c r="L105" s="5"/>
      <x:c r="M105" s="5" t="s">
        <x:v>810</x:v>
      </x:c>
      <x:c r="N105" s="5" t="s">
        <x:v>972</x:v>
      </x:c>
      <x:c r="O105" s="5" t="s">
        <x:v>972</x:v>
      </x:c>
      <x:c r="P105" s="5" t="s">
        <x:v>40</x:v>
      </x:c>
      <x:c r="Q105" s="5"/>
    </x:row>
    <x:row r="106">
      <x:c r="A106" s="5" t="s">
        <x:v>1080</x:v>
      </x:c>
      <x:c r="B106" s="5" t="s">
        <x:v>969</x:v>
      </x:c>
      <x:c r="C106" s="5" t="s">
        <x:v>694</x:v>
      </x:c>
      <x:c r="D106" s="5" t="s">
        <x:v>970</x:v>
      </x:c>
      <x:c r="E106" s="5" t="s">
        <x:v>994</x:v>
      </x:c>
      <x:c r="F106" s="5">
        <x:v>5</x:v>
      </x:c>
      <x:c r="G106" s="5">
        <x:v>1814859839</x:v>
      </x:c>
      <x:c r="H106" s="5" t="s">
        <x:v>665</x:v>
      </x:c>
      <x:c r="I106" s="5" t="s">
        <x:v>25</x:v>
      </x:c>
      <x:c r="J106" s="5"/>
      <x:c r="K106" s="5"/>
      <x:c r="L106" s="5"/>
      <x:c r="M106" s="5" t="s">
        <x:v>810</x:v>
      </x:c>
      <x:c r="N106" s="5" t="s">
        <x:v>972</x:v>
      </x:c>
      <x:c r="O106" s="5" t="s">
        <x:v>972</x:v>
      </x:c>
      <x:c r="P106" s="5" t="s">
        <x:v>40</x:v>
      </x:c>
      <x:c r="Q106" s="5"/>
    </x:row>
    <x:row r="107">
      <x:c r="A107" s="5" t="s">
        <x:v>1081</x:v>
      </x:c>
      <x:c r="B107" s="5" t="s">
        <x:v>969</x:v>
      </x:c>
      <x:c r="C107" s="5" t="s">
        <x:v>694</x:v>
      </x:c>
      <x:c r="D107" s="5" t="s">
        <x:v>970</x:v>
      </x:c>
      <x:c r="E107" s="5" t="s">
        <x:v>994</x:v>
      </x:c>
      <x:c r="F107" s="5">
        <x:v>6</x:v>
      </x:c>
      <x:c r="G107" s="5">
        <x:v>1603952859</x:v>
      </x:c>
      <x:c r="H107" s="5" t="s">
        <x:v>665</x:v>
      </x:c>
      <x:c r="I107" s="5" t="s">
        <x:v>25</x:v>
      </x:c>
      <x:c r="J107" s="5"/>
      <x:c r="K107" s="5"/>
      <x:c r="L107" s="5"/>
      <x:c r="M107" s="5" t="s">
        <x:v>810</x:v>
      </x:c>
      <x:c r="N107" s="5" t="s">
        <x:v>972</x:v>
      </x:c>
      <x:c r="O107" s="5" t="s">
        <x:v>972</x:v>
      </x:c>
      <x:c r="P107" s="5" t="s">
        <x:v>40</x:v>
      </x:c>
      <x:c r="Q107" s="5"/>
    </x:row>
    <x:row r="108">
      <x:c r="A108" s="5" t="s">
        <x:v>1082</x:v>
      </x:c>
      <x:c r="B108" s="5" t="s">
        <x:v>969</x:v>
      </x:c>
      <x:c r="C108" s="5" t="s">
        <x:v>694</x:v>
      </x:c>
      <x:c r="D108" s="5" t="s">
        <x:v>970</x:v>
      </x:c>
      <x:c r="E108" s="5" t="s">
        <x:v>994</x:v>
      </x:c>
      <x:c r="F108" s="5">
        <x:v>7</x:v>
      </x:c>
      <x:c r="G108" s="5">
        <x:v>1878351743</x:v>
      </x:c>
      <x:c r="H108" s="5" t="s">
        <x:v>665</x:v>
      </x:c>
      <x:c r="I108" s="5" t="s">
        <x:v>25</x:v>
      </x:c>
      <x:c r="J108" s="5"/>
      <x:c r="K108" s="5"/>
      <x:c r="L108" s="5"/>
      <x:c r="M108" s="5" t="s">
        <x:v>810</x:v>
      </x:c>
      <x:c r="N108" s="5" t="s">
        <x:v>972</x:v>
      </x:c>
      <x:c r="O108" s="5" t="s">
        <x:v>972</x:v>
      </x:c>
      <x:c r="P108" s="5" t="s">
        <x:v>40</x:v>
      </x:c>
      <x:c r="Q108" s="5"/>
    </x:row>
    <x:row r="109">
      <x:c r="A109" s="5" t="s">
        <x:v>1083</x:v>
      </x:c>
      <x:c r="B109" s="5" t="s">
        <x:v>969</x:v>
      </x:c>
      <x:c r="C109" s="5" t="s">
        <x:v>694</x:v>
      </x:c>
      <x:c r="D109" s="5" t="s">
        <x:v>970</x:v>
      </x:c>
      <x:c r="E109" s="5" t="s">
        <x:v>994</x:v>
      </x:c>
      <x:c r="F109" s="5">
        <x:v>8</x:v>
      </x:c>
      <x:c r="G109" s="5">
        <x:v>875651179</x:v>
      </x:c>
      <x:c r="H109" s="5" t="s">
        <x:v>665</x:v>
      </x:c>
      <x:c r="I109" s="5" t="s">
        <x:v>25</x:v>
      </x:c>
      <x:c r="J109" s="5"/>
      <x:c r="K109" s="5"/>
      <x:c r="L109" s="5"/>
      <x:c r="M109" s="5" t="s">
        <x:v>810</x:v>
      </x:c>
      <x:c r="N109" s="5" t="s">
        <x:v>972</x:v>
      </x:c>
      <x:c r="O109" s="5" t="s">
        <x:v>972</x:v>
      </x:c>
      <x:c r="P109" s="5" t="s">
        <x:v>40</x:v>
      </x:c>
      <x:c r="Q109" s="5"/>
    </x:row>
    <x:row r="110">
      <x:c r="A110" s="5" t="s">
        <x:v>1084</x:v>
      </x:c>
      <x:c r="B110" s="5" t="s">
        <x:v>969</x:v>
      </x:c>
      <x:c r="C110" s="5" t="s">
        <x:v>694</x:v>
      </x:c>
      <x:c r="D110" s="5" t="s">
        <x:v>970</x:v>
      </x:c>
      <x:c r="E110" s="5" t="s">
        <x:v>994</x:v>
      </x:c>
      <x:c r="F110" s="5">
        <x:v>9</x:v>
      </x:c>
      <x:c r="G110" s="5">
        <x:v>477581743</x:v>
      </x:c>
      <x:c r="H110" s="5" t="s">
        <x:v>665</x:v>
      </x:c>
      <x:c r="I110" s="5" t="s">
        <x:v>25</x:v>
      </x:c>
      <x:c r="J110" s="5"/>
      <x:c r="K110" s="5"/>
      <x:c r="L110" s="5"/>
      <x:c r="M110" s="5" t="s">
        <x:v>810</x:v>
      </x:c>
      <x:c r="N110" s="5" t="s">
        <x:v>972</x:v>
      </x:c>
      <x:c r="O110" s="5" t="s">
        <x:v>972</x:v>
      </x:c>
      <x:c r="P110" s="5" t="s">
        <x:v>40</x:v>
      </x:c>
      <x:c r="Q110" s="5"/>
    </x:row>
    <x:row r="111">
      <x:c r="A111" s="5" t="s">
        <x:v>1085</x:v>
      </x:c>
      <x:c r="B111" s="5" t="s">
        <x:v>969</x:v>
      </x:c>
      <x:c r="C111" s="5" t="s">
        <x:v>694</x:v>
      </x:c>
      <x:c r="D111" s="5" t="s">
        <x:v>970</x:v>
      </x:c>
      <x:c r="E111" s="5" t="s">
        <x:v>994</x:v>
      </x:c>
      <x:c r="F111" s="5">
        <x:v>10</x:v>
      </x:c>
      <x:c r="G111" s="5">
        <x:v>869675675</x:v>
      </x:c>
      <x:c r="H111" s="5" t="s">
        <x:v>665</x:v>
      </x:c>
      <x:c r="I111" s="5" t="s">
        <x:v>25</x:v>
      </x:c>
      <x:c r="J111" s="5"/>
      <x:c r="K111" s="5"/>
      <x:c r="L111" s="5"/>
      <x:c r="M111" s="5" t="s">
        <x:v>810</x:v>
      </x:c>
      <x:c r="N111" s="5" t="s">
        <x:v>972</x:v>
      </x:c>
      <x:c r="O111" s="5" t="s">
        <x:v>972</x:v>
      </x:c>
      <x:c r="P111" s="5" t="s">
        <x:v>40</x:v>
      </x:c>
      <x:c r="Q111" s="5"/>
    </x:row>
    <x:row r="112">
      <x:c r="A112" s="5" t="s">
        <x:v>1086</x:v>
      </x:c>
      <x:c r="B112" s="5" t="s">
        <x:v>969</x:v>
      </x:c>
      <x:c r="C112" s="5" t="s">
        <x:v>694</x:v>
      </x:c>
      <x:c r="D112" s="5" t="s">
        <x:v>970</x:v>
      </x:c>
      <x:c r="E112" s="5" t="s">
        <x:v>1005</x:v>
      </x:c>
      <x:c r="F112" s="5">
        <x:v>1</x:v>
      </x:c>
      <x:c r="G112" s="5">
        <x:v>204886845</x:v>
      </x:c>
      <x:c r="H112" s="5" t="s">
        <x:v>665</x:v>
      </x:c>
      <x:c r="I112" s="5" t="s">
        <x:v>25</x:v>
      </x:c>
      <x:c r="J112" s="5"/>
      <x:c r="K112" s="5"/>
      <x:c r="L112" s="5"/>
      <x:c r="M112" s="5" t="s">
        <x:v>810</x:v>
      </x:c>
      <x:c r="N112" s="5" t="s">
        <x:v>972</x:v>
      </x:c>
      <x:c r="O112" s="5" t="s">
        <x:v>972</x:v>
      </x:c>
      <x:c r="P112" s="5" t="s">
        <x:v>40</x:v>
      </x:c>
      <x:c r="Q112" s="5"/>
    </x:row>
    <x:row r="113">
      <x:c r="A113" s="5" t="s">
        <x:v>1087</x:v>
      </x:c>
      <x:c r="B113" s="5" t="s">
        <x:v>969</x:v>
      </x:c>
      <x:c r="C113" s="5" t="s">
        <x:v>694</x:v>
      </x:c>
      <x:c r="D113" s="5" t="s">
        <x:v>970</x:v>
      </x:c>
      <x:c r="E113" s="5" t="s">
        <x:v>1005</x:v>
      </x:c>
      <x:c r="F113" s="5">
        <x:v>2</x:v>
      </x:c>
      <x:c r="G113" s="5">
        <x:v>1480646854</x:v>
      </x:c>
      <x:c r="H113" s="5" t="s">
        <x:v>665</x:v>
      </x:c>
      <x:c r="I113" s="5" t="s">
        <x:v>25</x:v>
      </x:c>
      <x:c r="J113" s="5"/>
      <x:c r="K113" s="5"/>
      <x:c r="L113" s="5"/>
      <x:c r="M113" s="5" t="s">
        <x:v>810</x:v>
      </x:c>
      <x:c r="N113" s="5" t="s">
        <x:v>972</x:v>
      </x:c>
      <x:c r="O113" s="5" t="s">
        <x:v>972</x:v>
      </x:c>
      <x:c r="P113" s="5" t="s">
        <x:v>40</x:v>
      </x:c>
      <x:c r="Q113" s="5"/>
    </x:row>
    <x:row r="114">
      <x:c r="A114" s="5" t="s">
        <x:v>1088</x:v>
      </x:c>
      <x:c r="B114" s="5" t="s">
        <x:v>969</x:v>
      </x:c>
      <x:c r="C114" s="5" t="s">
        <x:v>694</x:v>
      </x:c>
      <x:c r="D114" s="5" t="s">
        <x:v>970</x:v>
      </x:c>
      <x:c r="E114" s="5" t="s">
        <x:v>1005</x:v>
      </x:c>
      <x:c r="F114" s="5">
        <x:v>3</x:v>
      </x:c>
      <x:c r="G114" s="5">
        <x:v>1798418854</x:v>
      </x:c>
      <x:c r="H114" s="5" t="s">
        <x:v>665</x:v>
      </x:c>
      <x:c r="I114" s="5" t="s">
        <x:v>25</x:v>
      </x:c>
      <x:c r="J114" s="5"/>
      <x:c r="K114" s="5"/>
      <x:c r="L114" s="5"/>
      <x:c r="M114" s="5" t="s">
        <x:v>810</x:v>
      </x:c>
      <x:c r="N114" s="5" t="s">
        <x:v>972</x:v>
      </x:c>
      <x:c r="O114" s="5" t="s">
        <x:v>972</x:v>
      </x:c>
      <x:c r="P114" s="5" t="s">
        <x:v>40</x:v>
      </x:c>
      <x:c r="Q114" s="5"/>
    </x:row>
    <x:row r="115">
      <x:c r="A115" s="5" t="s">
        <x:v>1089</x:v>
      </x:c>
      <x:c r="B115" s="5" t="s">
        <x:v>969</x:v>
      </x:c>
      <x:c r="C115" s="5" t="s">
        <x:v>694</x:v>
      </x:c>
      <x:c r="D115" s="5" t="s">
        <x:v>970</x:v>
      </x:c>
      <x:c r="E115" s="5" t="s">
        <x:v>1005</x:v>
      </x:c>
      <x:c r="F115" s="5">
        <x:v>4</x:v>
      </x:c>
      <x:c r="G115" s="5">
        <x:v>2045683682</x:v>
      </x:c>
      <x:c r="H115" s="5" t="s">
        <x:v>665</x:v>
      </x:c>
      <x:c r="I115" s="5" t="s">
        <x:v>25</x:v>
      </x:c>
      <x:c r="J115" s="5"/>
      <x:c r="K115" s="5"/>
      <x:c r="L115" s="5"/>
      <x:c r="M115" s="5" t="s">
        <x:v>810</x:v>
      </x:c>
      <x:c r="N115" s="5" t="s">
        <x:v>972</x:v>
      </x:c>
      <x:c r="O115" s="5" t="s">
        <x:v>972</x:v>
      </x:c>
      <x:c r="P115" s="5" t="s">
        <x:v>40</x:v>
      </x:c>
      <x:c r="Q115" s="5"/>
    </x:row>
    <x:row r="116">
      <x:c r="A116" s="5" t="s">
        <x:v>1090</x:v>
      </x:c>
      <x:c r="B116" s="5" t="s">
        <x:v>969</x:v>
      </x:c>
      <x:c r="C116" s="5" t="s">
        <x:v>694</x:v>
      </x:c>
      <x:c r="D116" s="5" t="s">
        <x:v>970</x:v>
      </x:c>
      <x:c r="E116" s="5" t="s">
        <x:v>1005</x:v>
      </x:c>
      <x:c r="F116" s="5">
        <x:v>5</x:v>
      </x:c>
      <x:c r="G116" s="5">
        <x:v>1814859839</x:v>
      </x:c>
      <x:c r="H116" s="5" t="s">
        <x:v>665</x:v>
      </x:c>
      <x:c r="I116" s="5" t="s">
        <x:v>25</x:v>
      </x:c>
      <x:c r="J116" s="5"/>
      <x:c r="K116" s="5"/>
      <x:c r="L116" s="5"/>
      <x:c r="M116" s="5" t="s">
        <x:v>810</x:v>
      </x:c>
      <x:c r="N116" s="5" t="s">
        <x:v>972</x:v>
      </x:c>
      <x:c r="O116" s="5" t="s">
        <x:v>972</x:v>
      </x:c>
      <x:c r="P116" s="5" t="s">
        <x:v>40</x:v>
      </x:c>
      <x:c r="Q116" s="5"/>
    </x:row>
    <x:row r="117">
      <x:c r="A117" s="5" t="s">
        <x:v>1091</x:v>
      </x:c>
      <x:c r="B117" s="5" t="s">
        <x:v>969</x:v>
      </x:c>
      <x:c r="C117" s="5" t="s">
        <x:v>694</x:v>
      </x:c>
      <x:c r="D117" s="5" t="s">
        <x:v>970</x:v>
      </x:c>
      <x:c r="E117" s="5" t="s">
        <x:v>1005</x:v>
      </x:c>
      <x:c r="F117" s="5">
        <x:v>6</x:v>
      </x:c>
      <x:c r="G117" s="5">
        <x:v>1603952859</x:v>
      </x:c>
      <x:c r="H117" s="5" t="s">
        <x:v>665</x:v>
      </x:c>
      <x:c r="I117" s="5" t="s">
        <x:v>25</x:v>
      </x:c>
      <x:c r="J117" s="5"/>
      <x:c r="K117" s="5"/>
      <x:c r="L117" s="5"/>
      <x:c r="M117" s="5" t="s">
        <x:v>810</x:v>
      </x:c>
      <x:c r="N117" s="5" t="s">
        <x:v>972</x:v>
      </x:c>
      <x:c r="O117" s="5" t="s">
        <x:v>972</x:v>
      </x:c>
      <x:c r="P117" s="5" t="s">
        <x:v>40</x:v>
      </x:c>
      <x:c r="Q117" s="5"/>
    </x:row>
    <x:row r="118">
      <x:c r="A118" s="5" t="s">
        <x:v>1092</x:v>
      </x:c>
      <x:c r="B118" s="5" t="s">
        <x:v>969</x:v>
      </x:c>
      <x:c r="C118" s="5" t="s">
        <x:v>694</x:v>
      </x:c>
      <x:c r="D118" s="5" t="s">
        <x:v>970</x:v>
      </x:c>
      <x:c r="E118" s="5" t="s">
        <x:v>1005</x:v>
      </x:c>
      <x:c r="F118" s="5">
        <x:v>7</x:v>
      </x:c>
      <x:c r="G118" s="5">
        <x:v>1878351743</x:v>
      </x:c>
      <x:c r="H118" s="5" t="s">
        <x:v>665</x:v>
      </x:c>
      <x:c r="I118" s="5" t="s">
        <x:v>25</x:v>
      </x:c>
      <x:c r="J118" s="5"/>
      <x:c r="K118" s="5"/>
      <x:c r="L118" s="5"/>
      <x:c r="M118" s="5" t="s">
        <x:v>810</x:v>
      </x:c>
      <x:c r="N118" s="5" t="s">
        <x:v>972</x:v>
      </x:c>
      <x:c r="O118" s="5" t="s">
        <x:v>972</x:v>
      </x:c>
      <x:c r="P118" s="5" t="s">
        <x:v>40</x:v>
      </x:c>
      <x:c r="Q118" s="5"/>
    </x:row>
    <x:row r="119">
      <x:c r="A119" s="5" t="s">
        <x:v>1093</x:v>
      </x:c>
      <x:c r="B119" s="5" t="s">
        <x:v>969</x:v>
      </x:c>
      <x:c r="C119" s="5" t="s">
        <x:v>694</x:v>
      </x:c>
      <x:c r="D119" s="5" t="s">
        <x:v>970</x:v>
      </x:c>
      <x:c r="E119" s="5" t="s">
        <x:v>1005</x:v>
      </x:c>
      <x:c r="F119" s="5">
        <x:v>8</x:v>
      </x:c>
      <x:c r="G119" s="5">
        <x:v>875651179</x:v>
      </x:c>
      <x:c r="H119" s="5" t="s">
        <x:v>665</x:v>
      </x:c>
      <x:c r="I119" s="5" t="s">
        <x:v>25</x:v>
      </x:c>
      <x:c r="J119" s="5"/>
      <x:c r="K119" s="5"/>
      <x:c r="L119" s="5"/>
      <x:c r="M119" s="5" t="s">
        <x:v>810</x:v>
      </x:c>
      <x:c r="N119" s="5" t="s">
        <x:v>972</x:v>
      </x:c>
      <x:c r="O119" s="5" t="s">
        <x:v>972</x:v>
      </x:c>
      <x:c r="P119" s="5" t="s">
        <x:v>40</x:v>
      </x:c>
      <x:c r="Q119" s="5"/>
    </x:row>
    <x:row r="120">
      <x:c r="A120" s="5" t="s">
        <x:v>1094</x:v>
      </x:c>
      <x:c r="B120" s="5" t="s">
        <x:v>969</x:v>
      </x:c>
      <x:c r="C120" s="5" t="s">
        <x:v>694</x:v>
      </x:c>
      <x:c r="D120" s="5" t="s">
        <x:v>970</x:v>
      </x:c>
      <x:c r="E120" s="5" t="s">
        <x:v>1005</x:v>
      </x:c>
      <x:c r="F120" s="5">
        <x:v>9</x:v>
      </x:c>
      <x:c r="G120" s="5">
        <x:v>477581743</x:v>
      </x:c>
      <x:c r="H120" s="5" t="s">
        <x:v>665</x:v>
      </x:c>
      <x:c r="I120" s="5" t="s">
        <x:v>25</x:v>
      </x:c>
      <x:c r="J120" s="5"/>
      <x:c r="K120" s="5"/>
      <x:c r="L120" s="5"/>
      <x:c r="M120" s="5" t="s">
        <x:v>810</x:v>
      </x:c>
      <x:c r="N120" s="5" t="s">
        <x:v>972</x:v>
      </x:c>
      <x:c r="O120" s="5" t="s">
        <x:v>972</x:v>
      </x:c>
      <x:c r="P120" s="5" t="s">
        <x:v>40</x:v>
      </x:c>
      <x:c r="Q120" s="5"/>
    </x:row>
    <x:row r="121">
      <x:c r="A121" s="5" t="s">
        <x:v>1095</x:v>
      </x:c>
      <x:c r="B121" s="5" t="s">
        <x:v>969</x:v>
      </x:c>
      <x:c r="C121" s="5" t="s">
        <x:v>694</x:v>
      </x:c>
      <x:c r="D121" s="5" t="s">
        <x:v>970</x:v>
      </x:c>
      <x:c r="E121" s="5" t="s">
        <x:v>1005</x:v>
      </x:c>
      <x:c r="F121" s="5">
        <x:v>10</x:v>
      </x:c>
      <x:c r="G121" s="5">
        <x:v>869675675</x:v>
      </x:c>
      <x:c r="H121" s="5" t="s">
        <x:v>665</x:v>
      </x:c>
      <x:c r="I121" s="5" t="s">
        <x:v>25</x:v>
      </x:c>
      <x:c r="J121" s="5"/>
      <x:c r="K121" s="5"/>
      <x:c r="L121" s="5"/>
      <x:c r="M121" s="5" t="s">
        <x:v>810</x:v>
      </x:c>
      <x:c r="N121" s="5" t="s">
        <x:v>972</x:v>
      </x:c>
      <x:c r="O121" s="5" t="s">
        <x:v>972</x:v>
      </x:c>
      <x:c r="P121" s="5" t="s">
        <x:v>40</x:v>
      </x:c>
      <x:c r="Q121" s="5"/>
    </x:row>
    <x:row r="122">
      <x:c r="A122" s="5" t="s">
        <x:v>1096</x:v>
      </x:c>
      <x:c r="B122" s="5" t="s">
        <x:v>969</x:v>
      </x:c>
      <x:c r="C122" s="5" t="s">
        <x:v>694</x:v>
      </x:c>
      <x:c r="D122" s="5" t="s">
        <x:v>1016</x:v>
      </x:c>
      <x:c r="E122" s="5" t="s">
        <x:v>971</x:v>
      </x:c>
      <x:c r="F122" s="5">
        <x:v>1</x:v>
      </x:c>
      <x:c r="G122" s="5">
        <x:v>204886845</x:v>
      </x:c>
      <x:c r="H122" s="5" t="s">
        <x:v>665</x:v>
      </x:c>
      <x:c r="I122" s="5" t="s">
        <x:v>25</x:v>
      </x:c>
      <x:c r="J122" s="5"/>
      <x:c r="K122" s="5"/>
      <x:c r="L122" s="5"/>
      <x:c r="M122" s="5" t="s">
        <x:v>810</x:v>
      </x:c>
      <x:c r="N122" s="5" t="s">
        <x:v>972</x:v>
      </x:c>
      <x:c r="O122" s="5" t="s">
        <x:v>972</x:v>
      </x:c>
      <x:c r="P122" s="5" t="s">
        <x:v>40</x:v>
      </x:c>
      <x:c r="Q122" s="5"/>
    </x:row>
    <x:row r="123">
      <x:c r="A123" s="5" t="s">
        <x:v>1097</x:v>
      </x:c>
      <x:c r="B123" s="5" t="s">
        <x:v>969</x:v>
      </x:c>
      <x:c r="C123" s="5" t="s">
        <x:v>694</x:v>
      </x:c>
      <x:c r="D123" s="5" t="s">
        <x:v>1016</x:v>
      </x:c>
      <x:c r="E123" s="5" t="s">
        <x:v>971</x:v>
      </x:c>
      <x:c r="F123" s="5">
        <x:v>2</x:v>
      </x:c>
      <x:c r="G123" s="5">
        <x:v>1480646854</x:v>
      </x:c>
      <x:c r="H123" s="5" t="s">
        <x:v>665</x:v>
      </x:c>
      <x:c r="I123" s="5" t="s">
        <x:v>25</x:v>
      </x:c>
      <x:c r="J123" s="5"/>
      <x:c r="K123" s="5"/>
      <x:c r="L123" s="5"/>
      <x:c r="M123" s="5" t="s">
        <x:v>810</x:v>
      </x:c>
      <x:c r="N123" s="5" t="s">
        <x:v>972</x:v>
      </x:c>
      <x:c r="O123" s="5" t="s">
        <x:v>972</x:v>
      </x:c>
      <x:c r="P123" s="5" t="s">
        <x:v>40</x:v>
      </x:c>
      <x:c r="Q123" s="5"/>
    </x:row>
    <x:row r="124">
      <x:c r="A124" s="5" t="s">
        <x:v>1098</x:v>
      </x:c>
      <x:c r="B124" s="5" t="s">
        <x:v>969</x:v>
      </x:c>
      <x:c r="C124" s="5" t="s">
        <x:v>694</x:v>
      </x:c>
      <x:c r="D124" s="5" t="s">
        <x:v>1016</x:v>
      </x:c>
      <x:c r="E124" s="5" t="s">
        <x:v>971</x:v>
      </x:c>
      <x:c r="F124" s="5">
        <x:v>3</x:v>
      </x:c>
      <x:c r="G124" s="5">
        <x:v>1798418854</x:v>
      </x:c>
      <x:c r="H124" s="5" t="s">
        <x:v>665</x:v>
      </x:c>
      <x:c r="I124" s="5" t="s">
        <x:v>25</x:v>
      </x:c>
      <x:c r="J124" s="5"/>
      <x:c r="K124" s="5"/>
      <x:c r="L124" s="5"/>
      <x:c r="M124" s="5" t="s">
        <x:v>810</x:v>
      </x:c>
      <x:c r="N124" s="5" t="s">
        <x:v>972</x:v>
      </x:c>
      <x:c r="O124" s="5" t="s">
        <x:v>972</x:v>
      </x:c>
      <x:c r="P124" s="5" t="s">
        <x:v>40</x:v>
      </x:c>
      <x:c r="Q124" s="5"/>
    </x:row>
    <x:row r="125">
      <x:c r="A125" s="5" t="s">
        <x:v>1099</x:v>
      </x:c>
      <x:c r="B125" s="5" t="s">
        <x:v>969</x:v>
      </x:c>
      <x:c r="C125" s="5" t="s">
        <x:v>694</x:v>
      </x:c>
      <x:c r="D125" s="5" t="s">
        <x:v>1016</x:v>
      </x:c>
      <x:c r="E125" s="5" t="s">
        <x:v>971</x:v>
      </x:c>
      <x:c r="F125" s="5">
        <x:v>4</x:v>
      </x:c>
      <x:c r="G125" s="5">
        <x:v>2045683682</x:v>
      </x:c>
      <x:c r="H125" s="5" t="s">
        <x:v>665</x:v>
      </x:c>
      <x:c r="I125" s="5" t="s">
        <x:v>25</x:v>
      </x:c>
      <x:c r="J125" s="5"/>
      <x:c r="K125" s="5"/>
      <x:c r="L125" s="5"/>
      <x:c r="M125" s="5" t="s">
        <x:v>810</x:v>
      </x:c>
      <x:c r="N125" s="5" t="s">
        <x:v>972</x:v>
      </x:c>
      <x:c r="O125" s="5" t="s">
        <x:v>972</x:v>
      </x:c>
      <x:c r="P125" s="5" t="s">
        <x:v>40</x:v>
      </x:c>
      <x:c r="Q125" s="5"/>
    </x:row>
    <x:row r="126">
      <x:c r="A126" s="5" t="s">
        <x:v>1100</x:v>
      </x:c>
      <x:c r="B126" s="5" t="s">
        <x:v>969</x:v>
      </x:c>
      <x:c r="C126" s="5" t="s">
        <x:v>694</x:v>
      </x:c>
      <x:c r="D126" s="5" t="s">
        <x:v>1016</x:v>
      </x:c>
      <x:c r="E126" s="5" t="s">
        <x:v>971</x:v>
      </x:c>
      <x:c r="F126" s="5">
        <x:v>5</x:v>
      </x:c>
      <x:c r="G126" s="5">
        <x:v>1814859839</x:v>
      </x:c>
      <x:c r="H126" s="5" t="s">
        <x:v>665</x:v>
      </x:c>
      <x:c r="I126" s="5" t="s">
        <x:v>25</x:v>
      </x:c>
      <x:c r="J126" s="5"/>
      <x:c r="K126" s="5"/>
      <x:c r="L126" s="5"/>
      <x:c r="M126" s="5" t="s">
        <x:v>810</x:v>
      </x:c>
      <x:c r="N126" s="5" t="s">
        <x:v>972</x:v>
      </x:c>
      <x:c r="O126" s="5" t="s">
        <x:v>972</x:v>
      </x:c>
      <x:c r="P126" s="5" t="s">
        <x:v>40</x:v>
      </x:c>
      <x:c r="Q126" s="5"/>
    </x:row>
    <x:row r="127">
      <x:c r="A127" s="5" t="s">
        <x:v>1101</x:v>
      </x:c>
      <x:c r="B127" s="5" t="s">
        <x:v>969</x:v>
      </x:c>
      <x:c r="C127" s="5" t="s">
        <x:v>694</x:v>
      </x:c>
      <x:c r="D127" s="5" t="s">
        <x:v>1016</x:v>
      </x:c>
      <x:c r="E127" s="5" t="s">
        <x:v>971</x:v>
      </x:c>
      <x:c r="F127" s="5">
        <x:v>6</x:v>
      </x:c>
      <x:c r="G127" s="5">
        <x:v>1603952859</x:v>
      </x:c>
      <x:c r="H127" s="5" t="s">
        <x:v>665</x:v>
      </x:c>
      <x:c r="I127" s="5" t="s">
        <x:v>25</x:v>
      </x:c>
      <x:c r="J127" s="5"/>
      <x:c r="K127" s="5"/>
      <x:c r="L127" s="5"/>
      <x:c r="M127" s="5" t="s">
        <x:v>810</x:v>
      </x:c>
      <x:c r="N127" s="5" t="s">
        <x:v>972</x:v>
      </x:c>
      <x:c r="O127" s="5" t="s">
        <x:v>972</x:v>
      </x:c>
      <x:c r="P127" s="5" t="s">
        <x:v>40</x:v>
      </x:c>
      <x:c r="Q127" s="5"/>
    </x:row>
    <x:row r="128">
      <x:c r="A128" s="5" t="s">
        <x:v>1102</x:v>
      </x:c>
      <x:c r="B128" s="5" t="s">
        <x:v>969</x:v>
      </x:c>
      <x:c r="C128" s="5" t="s">
        <x:v>694</x:v>
      </x:c>
      <x:c r="D128" s="5" t="s">
        <x:v>1016</x:v>
      </x:c>
      <x:c r="E128" s="5" t="s">
        <x:v>971</x:v>
      </x:c>
      <x:c r="F128" s="5">
        <x:v>7</x:v>
      </x:c>
      <x:c r="G128" s="5">
        <x:v>1878351743</x:v>
      </x:c>
      <x:c r="H128" s="5" t="s">
        <x:v>665</x:v>
      </x:c>
      <x:c r="I128" s="5" t="s">
        <x:v>25</x:v>
      </x:c>
      <x:c r="J128" s="5"/>
      <x:c r="K128" s="5"/>
      <x:c r="L128" s="5"/>
      <x:c r="M128" s="5" t="s">
        <x:v>810</x:v>
      </x:c>
      <x:c r="N128" s="5" t="s">
        <x:v>972</x:v>
      </x:c>
      <x:c r="O128" s="5" t="s">
        <x:v>972</x:v>
      </x:c>
      <x:c r="P128" s="5" t="s">
        <x:v>40</x:v>
      </x:c>
      <x:c r="Q128" s="5"/>
    </x:row>
    <x:row r="129">
      <x:c r="A129" s="5" t="s">
        <x:v>1103</x:v>
      </x:c>
      <x:c r="B129" s="5" t="s">
        <x:v>969</x:v>
      </x:c>
      <x:c r="C129" s="5" t="s">
        <x:v>694</x:v>
      </x:c>
      <x:c r="D129" s="5" t="s">
        <x:v>1016</x:v>
      </x:c>
      <x:c r="E129" s="5" t="s">
        <x:v>971</x:v>
      </x:c>
      <x:c r="F129" s="5">
        <x:v>8</x:v>
      </x:c>
      <x:c r="G129" s="5">
        <x:v>875651179</x:v>
      </x:c>
      <x:c r="H129" s="5" t="s">
        <x:v>665</x:v>
      </x:c>
      <x:c r="I129" s="5" t="s">
        <x:v>25</x:v>
      </x:c>
      <x:c r="J129" s="5"/>
      <x:c r="K129" s="5"/>
      <x:c r="L129" s="5"/>
      <x:c r="M129" s="5" t="s">
        <x:v>810</x:v>
      </x:c>
      <x:c r="N129" s="5" t="s">
        <x:v>972</x:v>
      </x:c>
      <x:c r="O129" s="5" t="s">
        <x:v>972</x:v>
      </x:c>
      <x:c r="P129" s="5" t="s">
        <x:v>40</x:v>
      </x:c>
      <x:c r="Q129" s="5"/>
    </x:row>
    <x:row r="130">
      <x:c r="A130" s="5" t="s">
        <x:v>1104</x:v>
      </x:c>
      <x:c r="B130" s="5" t="s">
        <x:v>969</x:v>
      </x:c>
      <x:c r="C130" s="5" t="s">
        <x:v>694</x:v>
      </x:c>
      <x:c r="D130" s="5" t="s">
        <x:v>1016</x:v>
      </x:c>
      <x:c r="E130" s="5" t="s">
        <x:v>971</x:v>
      </x:c>
      <x:c r="F130" s="5">
        <x:v>9</x:v>
      </x:c>
      <x:c r="G130" s="5">
        <x:v>477581743</x:v>
      </x:c>
      <x:c r="H130" s="5" t="s">
        <x:v>665</x:v>
      </x:c>
      <x:c r="I130" s="5" t="s">
        <x:v>25</x:v>
      </x:c>
      <x:c r="J130" s="5"/>
      <x:c r="K130" s="5"/>
      <x:c r="L130" s="5"/>
      <x:c r="M130" s="5" t="s">
        <x:v>810</x:v>
      </x:c>
      <x:c r="N130" s="5" t="s">
        <x:v>972</x:v>
      </x:c>
      <x:c r="O130" s="5" t="s">
        <x:v>972</x:v>
      </x:c>
      <x:c r="P130" s="5" t="s">
        <x:v>40</x:v>
      </x:c>
      <x:c r="Q130" s="5"/>
    </x:row>
    <x:row r="131">
      <x:c r="A131" s="5" t="s">
        <x:v>1105</x:v>
      </x:c>
      <x:c r="B131" s="5" t="s">
        <x:v>969</x:v>
      </x:c>
      <x:c r="C131" s="5" t="s">
        <x:v>694</x:v>
      </x:c>
      <x:c r="D131" s="5" t="s">
        <x:v>1016</x:v>
      </x:c>
      <x:c r="E131" s="5" t="s">
        <x:v>971</x:v>
      </x:c>
      <x:c r="F131" s="5">
        <x:v>10</x:v>
      </x:c>
      <x:c r="G131" s="5">
        <x:v>869675675</x:v>
      </x:c>
      <x:c r="H131" s="5" t="s">
        <x:v>665</x:v>
      </x:c>
      <x:c r="I131" s="5" t="s">
        <x:v>25</x:v>
      </x:c>
      <x:c r="J131" s="5"/>
      <x:c r="K131" s="5"/>
      <x:c r="L131" s="5"/>
      <x:c r="M131" s="5" t="s">
        <x:v>810</x:v>
      </x:c>
      <x:c r="N131" s="5" t="s">
        <x:v>972</x:v>
      </x:c>
      <x:c r="O131" s="5" t="s">
        <x:v>972</x:v>
      </x:c>
      <x:c r="P131" s="5" t="s">
        <x:v>40</x:v>
      </x:c>
      <x:c r="Q131" s="5"/>
    </x:row>
    <x:row r="132">
      <x:c r="A132" s="5" t="s">
        <x:v>1106</x:v>
      </x:c>
      <x:c r="B132" s="5" t="s">
        <x:v>969</x:v>
      </x:c>
      <x:c r="C132" s="5" t="s">
        <x:v>694</x:v>
      </x:c>
      <x:c r="D132" s="5" t="s">
        <x:v>1016</x:v>
      </x:c>
      <x:c r="E132" s="5" t="s">
        <x:v>983</x:v>
      </x:c>
      <x:c r="F132" s="5">
        <x:v>1</x:v>
      </x:c>
      <x:c r="G132" s="5">
        <x:v>204886845</x:v>
      </x:c>
      <x:c r="H132" s="5" t="s">
        <x:v>665</x:v>
      </x:c>
      <x:c r="I132" s="5" t="s">
        <x:v>25</x:v>
      </x:c>
      <x:c r="J132" s="5"/>
      <x:c r="K132" s="5"/>
      <x:c r="L132" s="5"/>
      <x:c r="M132" s="5" t="s">
        <x:v>810</x:v>
      </x:c>
      <x:c r="N132" s="5" t="s">
        <x:v>972</x:v>
      </x:c>
      <x:c r="O132" s="5" t="s">
        <x:v>972</x:v>
      </x:c>
      <x:c r="P132" s="5" t="s">
        <x:v>40</x:v>
      </x:c>
      <x:c r="Q132" s="5"/>
    </x:row>
    <x:row r="133">
      <x:c r="A133" s="5" t="s">
        <x:v>1107</x:v>
      </x:c>
      <x:c r="B133" s="5" t="s">
        <x:v>969</x:v>
      </x:c>
      <x:c r="C133" s="5" t="s">
        <x:v>694</x:v>
      </x:c>
      <x:c r="D133" s="5" t="s">
        <x:v>1016</x:v>
      </x:c>
      <x:c r="E133" s="5" t="s">
        <x:v>983</x:v>
      </x:c>
      <x:c r="F133" s="5">
        <x:v>2</x:v>
      </x:c>
      <x:c r="G133" s="5">
        <x:v>1480646854</x:v>
      </x:c>
      <x:c r="H133" s="5" t="s">
        <x:v>665</x:v>
      </x:c>
      <x:c r="I133" s="5" t="s">
        <x:v>25</x:v>
      </x:c>
      <x:c r="J133" s="5"/>
      <x:c r="K133" s="5"/>
      <x:c r="L133" s="5"/>
      <x:c r="M133" s="5" t="s">
        <x:v>810</x:v>
      </x:c>
      <x:c r="N133" s="5" t="s">
        <x:v>972</x:v>
      </x:c>
      <x:c r="O133" s="5" t="s">
        <x:v>972</x:v>
      </x:c>
      <x:c r="P133" s="5" t="s">
        <x:v>40</x:v>
      </x:c>
      <x:c r="Q133" s="5"/>
    </x:row>
    <x:row r="134">
      <x:c r="A134" s="5" t="s">
        <x:v>1108</x:v>
      </x:c>
      <x:c r="B134" s="5" t="s">
        <x:v>969</x:v>
      </x:c>
      <x:c r="C134" s="5" t="s">
        <x:v>694</x:v>
      </x:c>
      <x:c r="D134" s="5" t="s">
        <x:v>1016</x:v>
      </x:c>
      <x:c r="E134" s="5" t="s">
        <x:v>983</x:v>
      </x:c>
      <x:c r="F134" s="5">
        <x:v>3</x:v>
      </x:c>
      <x:c r="G134" s="5">
        <x:v>1798418854</x:v>
      </x:c>
      <x:c r="H134" s="5" t="s">
        <x:v>665</x:v>
      </x:c>
      <x:c r="I134" s="5" t="s">
        <x:v>25</x:v>
      </x:c>
      <x:c r="J134" s="5"/>
      <x:c r="K134" s="5"/>
      <x:c r="L134" s="5"/>
      <x:c r="M134" s="5" t="s">
        <x:v>810</x:v>
      </x:c>
      <x:c r="N134" s="5" t="s">
        <x:v>972</x:v>
      </x:c>
      <x:c r="O134" s="5" t="s">
        <x:v>972</x:v>
      </x:c>
      <x:c r="P134" s="5" t="s">
        <x:v>40</x:v>
      </x:c>
      <x:c r="Q134" s="5"/>
    </x:row>
    <x:row r="135">
      <x:c r="A135" s="5" t="s">
        <x:v>1109</x:v>
      </x:c>
      <x:c r="B135" s="5" t="s">
        <x:v>969</x:v>
      </x:c>
      <x:c r="C135" s="5" t="s">
        <x:v>694</x:v>
      </x:c>
      <x:c r="D135" s="5" t="s">
        <x:v>1016</x:v>
      </x:c>
      <x:c r="E135" s="5" t="s">
        <x:v>983</x:v>
      </x:c>
      <x:c r="F135" s="5">
        <x:v>4</x:v>
      </x:c>
      <x:c r="G135" s="5">
        <x:v>2045683682</x:v>
      </x:c>
      <x:c r="H135" s="5" t="s">
        <x:v>665</x:v>
      </x:c>
      <x:c r="I135" s="5" t="s">
        <x:v>25</x:v>
      </x:c>
      <x:c r="J135" s="5"/>
      <x:c r="K135" s="5"/>
      <x:c r="L135" s="5"/>
      <x:c r="M135" s="5" t="s">
        <x:v>810</x:v>
      </x:c>
      <x:c r="N135" s="5" t="s">
        <x:v>972</x:v>
      </x:c>
      <x:c r="O135" s="5" t="s">
        <x:v>972</x:v>
      </x:c>
      <x:c r="P135" s="5" t="s">
        <x:v>40</x:v>
      </x:c>
      <x:c r="Q135" s="5"/>
    </x:row>
    <x:row r="136">
      <x:c r="A136" s="5" t="s">
        <x:v>1110</x:v>
      </x:c>
      <x:c r="B136" s="5" t="s">
        <x:v>969</x:v>
      </x:c>
      <x:c r="C136" s="5" t="s">
        <x:v>694</x:v>
      </x:c>
      <x:c r="D136" s="5" t="s">
        <x:v>1016</x:v>
      </x:c>
      <x:c r="E136" s="5" t="s">
        <x:v>983</x:v>
      </x:c>
      <x:c r="F136" s="5">
        <x:v>5</x:v>
      </x:c>
      <x:c r="G136" s="5">
        <x:v>1814859839</x:v>
      </x:c>
      <x:c r="H136" s="5" t="s">
        <x:v>665</x:v>
      </x:c>
      <x:c r="I136" s="5" t="s">
        <x:v>25</x:v>
      </x:c>
      <x:c r="J136" s="5"/>
      <x:c r="K136" s="5"/>
      <x:c r="L136" s="5"/>
      <x:c r="M136" s="5" t="s">
        <x:v>810</x:v>
      </x:c>
      <x:c r="N136" s="5" t="s">
        <x:v>972</x:v>
      </x:c>
      <x:c r="O136" s="5" t="s">
        <x:v>972</x:v>
      </x:c>
      <x:c r="P136" s="5" t="s">
        <x:v>40</x:v>
      </x:c>
      <x:c r="Q136" s="5"/>
    </x:row>
    <x:row r="137">
      <x:c r="A137" s="5" t="s">
        <x:v>1111</x:v>
      </x:c>
      <x:c r="B137" s="5" t="s">
        <x:v>969</x:v>
      </x:c>
      <x:c r="C137" s="5" t="s">
        <x:v>694</x:v>
      </x:c>
      <x:c r="D137" s="5" t="s">
        <x:v>1016</x:v>
      </x:c>
      <x:c r="E137" s="5" t="s">
        <x:v>983</x:v>
      </x:c>
      <x:c r="F137" s="5">
        <x:v>6</x:v>
      </x:c>
      <x:c r="G137" s="5">
        <x:v>1603952859</x:v>
      </x:c>
      <x:c r="H137" s="5" t="s">
        <x:v>665</x:v>
      </x:c>
      <x:c r="I137" s="5" t="s">
        <x:v>25</x:v>
      </x:c>
      <x:c r="J137" s="5"/>
      <x:c r="K137" s="5"/>
      <x:c r="L137" s="5"/>
      <x:c r="M137" s="5" t="s">
        <x:v>810</x:v>
      </x:c>
      <x:c r="N137" s="5" t="s">
        <x:v>972</x:v>
      </x:c>
      <x:c r="O137" s="5" t="s">
        <x:v>972</x:v>
      </x:c>
      <x:c r="P137" s="5" t="s">
        <x:v>40</x:v>
      </x:c>
      <x:c r="Q137" s="5"/>
    </x:row>
    <x:row r="138">
      <x:c r="A138" s="5" t="s">
        <x:v>1112</x:v>
      </x:c>
      <x:c r="B138" s="5" t="s">
        <x:v>969</x:v>
      </x:c>
      <x:c r="C138" s="5" t="s">
        <x:v>694</x:v>
      </x:c>
      <x:c r="D138" s="5" t="s">
        <x:v>1016</x:v>
      </x:c>
      <x:c r="E138" s="5" t="s">
        <x:v>983</x:v>
      </x:c>
      <x:c r="F138" s="5">
        <x:v>7</x:v>
      </x:c>
      <x:c r="G138" s="5">
        <x:v>1878351743</x:v>
      </x:c>
      <x:c r="H138" s="5" t="s">
        <x:v>665</x:v>
      </x:c>
      <x:c r="I138" s="5" t="s">
        <x:v>25</x:v>
      </x:c>
      <x:c r="J138" s="5"/>
      <x:c r="K138" s="5"/>
      <x:c r="L138" s="5"/>
      <x:c r="M138" s="5" t="s">
        <x:v>810</x:v>
      </x:c>
      <x:c r="N138" s="5" t="s">
        <x:v>972</x:v>
      </x:c>
      <x:c r="O138" s="5" t="s">
        <x:v>972</x:v>
      </x:c>
      <x:c r="P138" s="5" t="s">
        <x:v>40</x:v>
      </x:c>
      <x:c r="Q138" s="5"/>
    </x:row>
    <x:row r="139">
      <x:c r="A139" s="5" t="s">
        <x:v>1113</x:v>
      </x:c>
      <x:c r="B139" s="5" t="s">
        <x:v>969</x:v>
      </x:c>
      <x:c r="C139" s="5" t="s">
        <x:v>694</x:v>
      </x:c>
      <x:c r="D139" s="5" t="s">
        <x:v>1016</x:v>
      </x:c>
      <x:c r="E139" s="5" t="s">
        <x:v>983</x:v>
      </x:c>
      <x:c r="F139" s="5">
        <x:v>8</x:v>
      </x:c>
      <x:c r="G139" s="5">
        <x:v>875651179</x:v>
      </x:c>
      <x:c r="H139" s="5" t="s">
        <x:v>665</x:v>
      </x:c>
      <x:c r="I139" s="5" t="s">
        <x:v>25</x:v>
      </x:c>
      <x:c r="J139" s="5"/>
      <x:c r="K139" s="5"/>
      <x:c r="L139" s="5"/>
      <x:c r="M139" s="5" t="s">
        <x:v>810</x:v>
      </x:c>
      <x:c r="N139" s="5" t="s">
        <x:v>972</x:v>
      </x:c>
      <x:c r="O139" s="5" t="s">
        <x:v>972</x:v>
      </x:c>
      <x:c r="P139" s="5" t="s">
        <x:v>40</x:v>
      </x:c>
      <x:c r="Q139" s="5"/>
    </x:row>
    <x:row r="140">
      <x:c r="A140" s="5" t="s">
        <x:v>1114</x:v>
      </x:c>
      <x:c r="B140" s="5" t="s">
        <x:v>969</x:v>
      </x:c>
      <x:c r="C140" s="5" t="s">
        <x:v>694</x:v>
      </x:c>
      <x:c r="D140" s="5" t="s">
        <x:v>1016</x:v>
      </x:c>
      <x:c r="E140" s="5" t="s">
        <x:v>983</x:v>
      </x:c>
      <x:c r="F140" s="5">
        <x:v>9</x:v>
      </x:c>
      <x:c r="G140" s="5">
        <x:v>477581743</x:v>
      </x:c>
      <x:c r="H140" s="5" t="s">
        <x:v>665</x:v>
      </x:c>
      <x:c r="I140" s="5" t="s">
        <x:v>25</x:v>
      </x:c>
      <x:c r="J140" s="5"/>
      <x:c r="K140" s="5"/>
      <x:c r="L140" s="5"/>
      <x:c r="M140" s="5" t="s">
        <x:v>810</x:v>
      </x:c>
      <x:c r="N140" s="5" t="s">
        <x:v>972</x:v>
      </x:c>
      <x:c r="O140" s="5" t="s">
        <x:v>972</x:v>
      </x:c>
      <x:c r="P140" s="5" t="s">
        <x:v>40</x:v>
      </x:c>
      <x:c r="Q140" s="5"/>
    </x:row>
    <x:row r="141">
      <x:c r="A141" s="5" t="s">
        <x:v>1115</x:v>
      </x:c>
      <x:c r="B141" s="5" t="s">
        <x:v>969</x:v>
      </x:c>
      <x:c r="C141" s="5" t="s">
        <x:v>694</x:v>
      </x:c>
      <x:c r="D141" s="5" t="s">
        <x:v>1016</x:v>
      </x:c>
      <x:c r="E141" s="5" t="s">
        <x:v>983</x:v>
      </x:c>
      <x:c r="F141" s="5">
        <x:v>10</x:v>
      </x:c>
      <x:c r="G141" s="5">
        <x:v>869675675</x:v>
      </x:c>
      <x:c r="H141" s="5" t="s">
        <x:v>665</x:v>
      </x:c>
      <x:c r="I141" s="5" t="s">
        <x:v>25</x:v>
      </x:c>
      <x:c r="J141" s="5"/>
      <x:c r="K141" s="5"/>
      <x:c r="L141" s="5"/>
      <x:c r="M141" s="5" t="s">
        <x:v>810</x:v>
      </x:c>
      <x:c r="N141" s="5" t="s">
        <x:v>972</x:v>
      </x:c>
      <x:c r="O141" s="5" t="s">
        <x:v>972</x:v>
      </x:c>
      <x:c r="P141" s="5" t="s">
        <x:v>40</x:v>
      </x:c>
      <x:c r="Q141" s="5"/>
    </x:row>
    <x:row r="142">
      <x:c r="A142" s="5" t="s">
        <x:v>1116</x:v>
      </x:c>
      <x:c r="B142" s="5" t="s">
        <x:v>969</x:v>
      </x:c>
      <x:c r="C142" s="5" t="s">
        <x:v>694</x:v>
      </x:c>
      <x:c r="D142" s="5" t="s">
        <x:v>1016</x:v>
      </x:c>
      <x:c r="E142" s="5" t="s">
        <x:v>994</x:v>
      </x:c>
      <x:c r="F142" s="5">
        <x:v>1</x:v>
      </x:c>
      <x:c r="G142" s="5">
        <x:v>204886845</x:v>
      </x:c>
      <x:c r="H142" s="5" t="s">
        <x:v>665</x:v>
      </x:c>
      <x:c r="I142" s="5" t="s">
        <x:v>25</x:v>
      </x:c>
      <x:c r="J142" s="5"/>
      <x:c r="K142" s="5"/>
      <x:c r="L142" s="5"/>
      <x:c r="M142" s="5" t="s">
        <x:v>810</x:v>
      </x:c>
      <x:c r="N142" s="5" t="s">
        <x:v>972</x:v>
      </x:c>
      <x:c r="O142" s="5" t="s">
        <x:v>972</x:v>
      </x:c>
      <x:c r="P142" s="5" t="s">
        <x:v>40</x:v>
      </x:c>
      <x:c r="Q142" s="5"/>
    </x:row>
    <x:row r="143">
      <x:c r="A143" s="5" t="s">
        <x:v>1117</x:v>
      </x:c>
      <x:c r="B143" s="5" t="s">
        <x:v>969</x:v>
      </x:c>
      <x:c r="C143" s="5" t="s">
        <x:v>694</x:v>
      </x:c>
      <x:c r="D143" s="5" t="s">
        <x:v>1016</x:v>
      </x:c>
      <x:c r="E143" s="5" t="s">
        <x:v>994</x:v>
      </x:c>
      <x:c r="F143" s="5">
        <x:v>2</x:v>
      </x:c>
      <x:c r="G143" s="5">
        <x:v>1480646854</x:v>
      </x:c>
      <x:c r="H143" s="5" t="s">
        <x:v>665</x:v>
      </x:c>
      <x:c r="I143" s="5" t="s">
        <x:v>25</x:v>
      </x:c>
      <x:c r="J143" s="5"/>
      <x:c r="K143" s="5"/>
      <x:c r="L143" s="5"/>
      <x:c r="M143" s="5" t="s">
        <x:v>810</x:v>
      </x:c>
      <x:c r="N143" s="5" t="s">
        <x:v>972</x:v>
      </x:c>
      <x:c r="O143" s="5" t="s">
        <x:v>972</x:v>
      </x:c>
      <x:c r="P143" s="5" t="s">
        <x:v>40</x:v>
      </x:c>
      <x:c r="Q143" s="5"/>
    </x:row>
    <x:row r="144">
      <x:c r="A144" s="5" t="s">
        <x:v>1118</x:v>
      </x:c>
      <x:c r="B144" s="5" t="s">
        <x:v>969</x:v>
      </x:c>
      <x:c r="C144" s="5" t="s">
        <x:v>694</x:v>
      </x:c>
      <x:c r="D144" s="5" t="s">
        <x:v>1016</x:v>
      </x:c>
      <x:c r="E144" s="5" t="s">
        <x:v>994</x:v>
      </x:c>
      <x:c r="F144" s="5">
        <x:v>3</x:v>
      </x:c>
      <x:c r="G144" s="5">
        <x:v>1798418854</x:v>
      </x:c>
      <x:c r="H144" s="5" t="s">
        <x:v>665</x:v>
      </x:c>
      <x:c r="I144" s="5" t="s">
        <x:v>25</x:v>
      </x:c>
      <x:c r="J144" s="5"/>
      <x:c r="K144" s="5"/>
      <x:c r="L144" s="5"/>
      <x:c r="M144" s="5" t="s">
        <x:v>810</x:v>
      </x:c>
      <x:c r="N144" s="5" t="s">
        <x:v>972</x:v>
      </x:c>
      <x:c r="O144" s="5" t="s">
        <x:v>972</x:v>
      </x:c>
      <x:c r="P144" s="5" t="s">
        <x:v>40</x:v>
      </x:c>
      <x:c r="Q144" s="5"/>
    </x:row>
    <x:row r="145">
      <x:c r="A145" s="5" t="s">
        <x:v>1119</x:v>
      </x:c>
      <x:c r="B145" s="5" t="s">
        <x:v>969</x:v>
      </x:c>
      <x:c r="C145" s="5" t="s">
        <x:v>694</x:v>
      </x:c>
      <x:c r="D145" s="5" t="s">
        <x:v>1016</x:v>
      </x:c>
      <x:c r="E145" s="5" t="s">
        <x:v>994</x:v>
      </x:c>
      <x:c r="F145" s="5">
        <x:v>4</x:v>
      </x:c>
      <x:c r="G145" s="5">
        <x:v>2045683682</x:v>
      </x:c>
      <x:c r="H145" s="5" t="s">
        <x:v>665</x:v>
      </x:c>
      <x:c r="I145" s="5" t="s">
        <x:v>25</x:v>
      </x:c>
      <x:c r="J145" s="5"/>
      <x:c r="K145" s="5"/>
      <x:c r="L145" s="5"/>
      <x:c r="M145" s="5" t="s">
        <x:v>810</x:v>
      </x:c>
      <x:c r="N145" s="5" t="s">
        <x:v>972</x:v>
      </x:c>
      <x:c r="O145" s="5" t="s">
        <x:v>972</x:v>
      </x:c>
      <x:c r="P145" s="5" t="s">
        <x:v>40</x:v>
      </x:c>
      <x:c r="Q145" s="5"/>
    </x:row>
    <x:row r="146">
      <x:c r="A146" s="5" t="s">
        <x:v>1120</x:v>
      </x:c>
      <x:c r="B146" s="5" t="s">
        <x:v>969</x:v>
      </x:c>
      <x:c r="C146" s="5" t="s">
        <x:v>694</x:v>
      </x:c>
      <x:c r="D146" s="5" t="s">
        <x:v>1016</x:v>
      </x:c>
      <x:c r="E146" s="5" t="s">
        <x:v>994</x:v>
      </x:c>
      <x:c r="F146" s="5">
        <x:v>5</x:v>
      </x:c>
      <x:c r="G146" s="5">
        <x:v>1814859839</x:v>
      </x:c>
      <x:c r="H146" s="5" t="s">
        <x:v>665</x:v>
      </x:c>
      <x:c r="I146" s="5" t="s">
        <x:v>25</x:v>
      </x:c>
      <x:c r="J146" s="5"/>
      <x:c r="K146" s="5"/>
      <x:c r="L146" s="5"/>
      <x:c r="M146" s="5" t="s">
        <x:v>810</x:v>
      </x:c>
      <x:c r="N146" s="5" t="s">
        <x:v>972</x:v>
      </x:c>
      <x:c r="O146" s="5" t="s">
        <x:v>972</x:v>
      </x:c>
      <x:c r="P146" s="5" t="s">
        <x:v>40</x:v>
      </x:c>
      <x:c r="Q146" s="5"/>
    </x:row>
    <x:row r="147">
      <x:c r="A147" s="5" t="s">
        <x:v>1121</x:v>
      </x:c>
      <x:c r="B147" s="5" t="s">
        <x:v>969</x:v>
      </x:c>
      <x:c r="C147" s="5" t="s">
        <x:v>694</x:v>
      </x:c>
      <x:c r="D147" s="5" t="s">
        <x:v>1016</x:v>
      </x:c>
      <x:c r="E147" s="5" t="s">
        <x:v>994</x:v>
      </x:c>
      <x:c r="F147" s="5">
        <x:v>6</x:v>
      </x:c>
      <x:c r="G147" s="5">
        <x:v>1603952859</x:v>
      </x:c>
      <x:c r="H147" s="5" t="s">
        <x:v>665</x:v>
      </x:c>
      <x:c r="I147" s="5" t="s">
        <x:v>25</x:v>
      </x:c>
      <x:c r="J147" s="5"/>
      <x:c r="K147" s="5"/>
      <x:c r="L147" s="5"/>
      <x:c r="M147" s="5" t="s">
        <x:v>810</x:v>
      </x:c>
      <x:c r="N147" s="5" t="s">
        <x:v>972</x:v>
      </x:c>
      <x:c r="O147" s="5" t="s">
        <x:v>972</x:v>
      </x:c>
      <x:c r="P147" s="5" t="s">
        <x:v>40</x:v>
      </x:c>
      <x:c r="Q147" s="5"/>
    </x:row>
    <x:row r="148">
      <x:c r="A148" s="5" t="s">
        <x:v>1122</x:v>
      </x:c>
      <x:c r="B148" s="5" t="s">
        <x:v>969</x:v>
      </x:c>
      <x:c r="C148" s="5" t="s">
        <x:v>694</x:v>
      </x:c>
      <x:c r="D148" s="5" t="s">
        <x:v>1016</x:v>
      </x:c>
      <x:c r="E148" s="5" t="s">
        <x:v>994</x:v>
      </x:c>
      <x:c r="F148" s="5">
        <x:v>7</x:v>
      </x:c>
      <x:c r="G148" s="5">
        <x:v>1878351743</x:v>
      </x:c>
      <x:c r="H148" s="5" t="s">
        <x:v>665</x:v>
      </x:c>
      <x:c r="I148" s="5" t="s">
        <x:v>25</x:v>
      </x:c>
      <x:c r="J148" s="5"/>
      <x:c r="K148" s="5"/>
      <x:c r="L148" s="5"/>
      <x:c r="M148" s="5" t="s">
        <x:v>810</x:v>
      </x:c>
      <x:c r="N148" s="5" t="s">
        <x:v>972</x:v>
      </x:c>
      <x:c r="O148" s="5" t="s">
        <x:v>972</x:v>
      </x:c>
      <x:c r="P148" s="5" t="s">
        <x:v>40</x:v>
      </x:c>
      <x:c r="Q148" s="5"/>
    </x:row>
    <x:row r="149">
      <x:c r="A149" s="5" t="s">
        <x:v>1123</x:v>
      </x:c>
      <x:c r="B149" s="5" t="s">
        <x:v>969</x:v>
      </x:c>
      <x:c r="C149" s="5" t="s">
        <x:v>694</x:v>
      </x:c>
      <x:c r="D149" s="5" t="s">
        <x:v>1016</x:v>
      </x:c>
      <x:c r="E149" s="5" t="s">
        <x:v>994</x:v>
      </x:c>
      <x:c r="F149" s="5">
        <x:v>8</x:v>
      </x:c>
      <x:c r="G149" s="5">
        <x:v>875651179</x:v>
      </x:c>
      <x:c r="H149" s="5" t="s">
        <x:v>665</x:v>
      </x:c>
      <x:c r="I149" s="5" t="s">
        <x:v>25</x:v>
      </x:c>
      <x:c r="J149" s="5"/>
      <x:c r="K149" s="5"/>
      <x:c r="L149" s="5"/>
      <x:c r="M149" s="5" t="s">
        <x:v>810</x:v>
      </x:c>
      <x:c r="N149" s="5" t="s">
        <x:v>972</x:v>
      </x:c>
      <x:c r="O149" s="5" t="s">
        <x:v>972</x:v>
      </x:c>
      <x:c r="P149" s="5" t="s">
        <x:v>40</x:v>
      </x:c>
      <x:c r="Q149" s="5"/>
    </x:row>
    <x:row r="150">
      <x:c r="A150" s="5" t="s">
        <x:v>1124</x:v>
      </x:c>
      <x:c r="B150" s="5" t="s">
        <x:v>969</x:v>
      </x:c>
      <x:c r="C150" s="5" t="s">
        <x:v>694</x:v>
      </x:c>
      <x:c r="D150" s="5" t="s">
        <x:v>1016</x:v>
      </x:c>
      <x:c r="E150" s="5" t="s">
        <x:v>994</x:v>
      </x:c>
      <x:c r="F150" s="5">
        <x:v>9</x:v>
      </x:c>
      <x:c r="G150" s="5">
        <x:v>477581743</x:v>
      </x:c>
      <x:c r="H150" s="5" t="s">
        <x:v>665</x:v>
      </x:c>
      <x:c r="I150" s="5" t="s">
        <x:v>25</x:v>
      </x:c>
      <x:c r="J150" s="5"/>
      <x:c r="K150" s="5"/>
      <x:c r="L150" s="5"/>
      <x:c r="M150" s="5" t="s">
        <x:v>810</x:v>
      </x:c>
      <x:c r="N150" s="5" t="s">
        <x:v>972</x:v>
      </x:c>
      <x:c r="O150" s="5" t="s">
        <x:v>972</x:v>
      </x:c>
      <x:c r="P150" s="5" t="s">
        <x:v>40</x:v>
      </x:c>
      <x:c r="Q150" s="5"/>
    </x:row>
    <x:row r="151">
      <x:c r="A151" s="5" t="s">
        <x:v>1125</x:v>
      </x:c>
      <x:c r="B151" s="5" t="s">
        <x:v>969</x:v>
      </x:c>
      <x:c r="C151" s="5" t="s">
        <x:v>694</x:v>
      </x:c>
      <x:c r="D151" s="5" t="s">
        <x:v>1016</x:v>
      </x:c>
      <x:c r="E151" s="5" t="s">
        <x:v>994</x:v>
      </x:c>
      <x:c r="F151" s="5">
        <x:v>10</x:v>
      </x:c>
      <x:c r="G151" s="5">
        <x:v>869675675</x:v>
      </x:c>
      <x:c r="H151" s="5" t="s">
        <x:v>665</x:v>
      </x:c>
      <x:c r="I151" s="5" t="s">
        <x:v>25</x:v>
      </x:c>
      <x:c r="J151" s="5"/>
      <x:c r="K151" s="5"/>
      <x:c r="L151" s="5"/>
      <x:c r="M151" s="5" t="s">
        <x:v>810</x:v>
      </x:c>
      <x:c r="N151" s="5" t="s">
        <x:v>972</x:v>
      </x:c>
      <x:c r="O151" s="5" t="s">
        <x:v>972</x:v>
      </x:c>
      <x:c r="P151" s="5" t="s">
        <x:v>40</x:v>
      </x:c>
      <x:c r="Q151" s="5"/>
    </x:row>
    <x:row r="152">
      <x:c r="A152" s="5" t="s">
        <x:v>1126</x:v>
      </x:c>
      <x:c r="B152" s="5" t="s">
        <x:v>969</x:v>
      </x:c>
      <x:c r="C152" s="5" t="s">
        <x:v>694</x:v>
      </x:c>
      <x:c r="D152" s="5" t="s">
        <x:v>1016</x:v>
      </x:c>
      <x:c r="E152" s="5" t="s">
        <x:v>1005</x:v>
      </x:c>
      <x:c r="F152" s="5">
        <x:v>1</x:v>
      </x:c>
      <x:c r="G152" s="5">
        <x:v>204886845</x:v>
      </x:c>
      <x:c r="H152" s="5" t="s">
        <x:v>665</x:v>
      </x:c>
      <x:c r="I152" s="5" t="s">
        <x:v>25</x:v>
      </x:c>
      <x:c r="J152" s="5"/>
      <x:c r="K152" s="5"/>
      <x:c r="L152" s="5"/>
      <x:c r="M152" s="5" t="s">
        <x:v>810</x:v>
      </x:c>
      <x:c r="N152" s="5" t="s">
        <x:v>972</x:v>
      </x:c>
      <x:c r="O152" s="5" t="s">
        <x:v>972</x:v>
      </x:c>
      <x:c r="P152" s="5" t="s">
        <x:v>40</x:v>
      </x:c>
      <x:c r="Q152" s="5"/>
    </x:row>
    <x:row r="153">
      <x:c r="A153" s="5" t="s">
        <x:v>1127</x:v>
      </x:c>
      <x:c r="B153" s="5" t="s">
        <x:v>969</x:v>
      </x:c>
      <x:c r="C153" s="5" t="s">
        <x:v>694</x:v>
      </x:c>
      <x:c r="D153" s="5" t="s">
        <x:v>1016</x:v>
      </x:c>
      <x:c r="E153" s="5" t="s">
        <x:v>1005</x:v>
      </x:c>
      <x:c r="F153" s="5">
        <x:v>2</x:v>
      </x:c>
      <x:c r="G153" s="5">
        <x:v>1480646854</x:v>
      </x:c>
      <x:c r="H153" s="5" t="s">
        <x:v>665</x:v>
      </x:c>
      <x:c r="I153" s="5" t="s">
        <x:v>25</x:v>
      </x:c>
      <x:c r="J153" s="5"/>
      <x:c r="K153" s="5"/>
      <x:c r="L153" s="5"/>
      <x:c r="M153" s="5" t="s">
        <x:v>810</x:v>
      </x:c>
      <x:c r="N153" s="5" t="s">
        <x:v>972</x:v>
      </x:c>
      <x:c r="O153" s="5" t="s">
        <x:v>972</x:v>
      </x:c>
      <x:c r="P153" s="5" t="s">
        <x:v>40</x:v>
      </x:c>
      <x:c r="Q153" s="5"/>
    </x:row>
    <x:row r="154">
      <x:c r="A154" s="5" t="s">
        <x:v>1128</x:v>
      </x:c>
      <x:c r="B154" s="5" t="s">
        <x:v>969</x:v>
      </x:c>
      <x:c r="C154" s="5" t="s">
        <x:v>694</x:v>
      </x:c>
      <x:c r="D154" s="5" t="s">
        <x:v>1016</x:v>
      </x:c>
      <x:c r="E154" s="5" t="s">
        <x:v>1005</x:v>
      </x:c>
      <x:c r="F154" s="5">
        <x:v>3</x:v>
      </x:c>
      <x:c r="G154" s="5">
        <x:v>1798418854</x:v>
      </x:c>
      <x:c r="H154" s="5" t="s">
        <x:v>665</x:v>
      </x:c>
      <x:c r="I154" s="5" t="s">
        <x:v>25</x:v>
      </x:c>
      <x:c r="J154" s="5"/>
      <x:c r="K154" s="5"/>
      <x:c r="L154" s="5"/>
      <x:c r="M154" s="5" t="s">
        <x:v>810</x:v>
      </x:c>
      <x:c r="N154" s="5" t="s">
        <x:v>972</x:v>
      </x:c>
      <x:c r="O154" s="5" t="s">
        <x:v>972</x:v>
      </x:c>
      <x:c r="P154" s="5" t="s">
        <x:v>40</x:v>
      </x:c>
      <x:c r="Q154" s="5"/>
    </x:row>
    <x:row r="155">
      <x:c r="A155" s="5" t="s">
        <x:v>1129</x:v>
      </x:c>
      <x:c r="B155" s="5" t="s">
        <x:v>969</x:v>
      </x:c>
      <x:c r="C155" s="5" t="s">
        <x:v>694</x:v>
      </x:c>
      <x:c r="D155" s="5" t="s">
        <x:v>1016</x:v>
      </x:c>
      <x:c r="E155" s="5" t="s">
        <x:v>1005</x:v>
      </x:c>
      <x:c r="F155" s="5">
        <x:v>4</x:v>
      </x:c>
      <x:c r="G155" s="5">
        <x:v>2045683682</x:v>
      </x:c>
      <x:c r="H155" s="5" t="s">
        <x:v>665</x:v>
      </x:c>
      <x:c r="I155" s="5" t="s">
        <x:v>25</x:v>
      </x:c>
      <x:c r="J155" s="5"/>
      <x:c r="K155" s="5"/>
      <x:c r="L155" s="5"/>
      <x:c r="M155" s="5" t="s">
        <x:v>810</x:v>
      </x:c>
      <x:c r="N155" s="5" t="s">
        <x:v>972</x:v>
      </x:c>
      <x:c r="O155" s="5" t="s">
        <x:v>972</x:v>
      </x:c>
      <x:c r="P155" s="5" t="s">
        <x:v>40</x:v>
      </x:c>
      <x:c r="Q155" s="5"/>
    </x:row>
    <x:row r="156">
      <x:c r="A156" s="5" t="s">
        <x:v>1130</x:v>
      </x:c>
      <x:c r="B156" s="5" t="s">
        <x:v>969</x:v>
      </x:c>
      <x:c r="C156" s="5" t="s">
        <x:v>694</x:v>
      </x:c>
      <x:c r="D156" s="5" t="s">
        <x:v>1016</x:v>
      </x:c>
      <x:c r="E156" s="5" t="s">
        <x:v>1005</x:v>
      </x:c>
      <x:c r="F156" s="5">
        <x:v>5</x:v>
      </x:c>
      <x:c r="G156" s="5">
        <x:v>1814859839</x:v>
      </x:c>
      <x:c r="H156" s="5" t="s">
        <x:v>665</x:v>
      </x:c>
      <x:c r="I156" s="5" t="s">
        <x:v>25</x:v>
      </x:c>
      <x:c r="J156" s="5"/>
      <x:c r="K156" s="5"/>
      <x:c r="L156" s="5"/>
      <x:c r="M156" s="5" t="s">
        <x:v>810</x:v>
      </x:c>
      <x:c r="N156" s="5" t="s">
        <x:v>972</x:v>
      </x:c>
      <x:c r="O156" s="5" t="s">
        <x:v>972</x:v>
      </x:c>
      <x:c r="P156" s="5" t="s">
        <x:v>40</x:v>
      </x:c>
      <x:c r="Q156" s="5"/>
    </x:row>
    <x:row r="157">
      <x:c r="A157" s="5" t="s">
        <x:v>1131</x:v>
      </x:c>
      <x:c r="B157" s="5" t="s">
        <x:v>969</x:v>
      </x:c>
      <x:c r="C157" s="5" t="s">
        <x:v>694</x:v>
      </x:c>
      <x:c r="D157" s="5" t="s">
        <x:v>1016</x:v>
      </x:c>
      <x:c r="E157" s="5" t="s">
        <x:v>1005</x:v>
      </x:c>
      <x:c r="F157" s="5">
        <x:v>6</x:v>
      </x:c>
      <x:c r="G157" s="5">
        <x:v>1603952859</x:v>
      </x:c>
      <x:c r="H157" s="5" t="s">
        <x:v>665</x:v>
      </x:c>
      <x:c r="I157" s="5" t="s">
        <x:v>25</x:v>
      </x:c>
      <x:c r="J157" s="5"/>
      <x:c r="K157" s="5"/>
      <x:c r="L157" s="5"/>
      <x:c r="M157" s="5" t="s">
        <x:v>810</x:v>
      </x:c>
      <x:c r="N157" s="5" t="s">
        <x:v>972</x:v>
      </x:c>
      <x:c r="O157" s="5" t="s">
        <x:v>972</x:v>
      </x:c>
      <x:c r="P157" s="5" t="s">
        <x:v>40</x:v>
      </x:c>
      <x:c r="Q157" s="5"/>
    </x:row>
    <x:row r="158">
      <x:c r="A158" s="5" t="s">
        <x:v>1132</x:v>
      </x:c>
      <x:c r="B158" s="5" t="s">
        <x:v>969</x:v>
      </x:c>
      <x:c r="C158" s="5" t="s">
        <x:v>694</x:v>
      </x:c>
      <x:c r="D158" s="5" t="s">
        <x:v>1016</x:v>
      </x:c>
      <x:c r="E158" s="5" t="s">
        <x:v>1005</x:v>
      </x:c>
      <x:c r="F158" s="5">
        <x:v>7</x:v>
      </x:c>
      <x:c r="G158" s="5">
        <x:v>1878351743</x:v>
      </x:c>
      <x:c r="H158" s="5" t="s">
        <x:v>665</x:v>
      </x:c>
      <x:c r="I158" s="5" t="s">
        <x:v>25</x:v>
      </x:c>
      <x:c r="J158" s="5"/>
      <x:c r="K158" s="5"/>
      <x:c r="L158" s="5"/>
      <x:c r="M158" s="5" t="s">
        <x:v>810</x:v>
      </x:c>
      <x:c r="N158" s="5" t="s">
        <x:v>972</x:v>
      </x:c>
      <x:c r="O158" s="5" t="s">
        <x:v>972</x:v>
      </x:c>
      <x:c r="P158" s="5" t="s">
        <x:v>40</x:v>
      </x:c>
      <x:c r="Q158" s="5"/>
    </x:row>
    <x:row r="159">
      <x:c r="A159" s="5" t="s">
        <x:v>1133</x:v>
      </x:c>
      <x:c r="B159" s="5" t="s">
        <x:v>969</x:v>
      </x:c>
      <x:c r="C159" s="5" t="s">
        <x:v>694</x:v>
      </x:c>
      <x:c r="D159" s="5" t="s">
        <x:v>1016</x:v>
      </x:c>
      <x:c r="E159" s="5" t="s">
        <x:v>1005</x:v>
      </x:c>
      <x:c r="F159" s="5">
        <x:v>8</x:v>
      </x:c>
      <x:c r="G159" s="5">
        <x:v>875651179</x:v>
      </x:c>
      <x:c r="H159" s="5" t="s">
        <x:v>665</x:v>
      </x:c>
      <x:c r="I159" s="5" t="s">
        <x:v>25</x:v>
      </x:c>
      <x:c r="J159" s="5"/>
      <x:c r="K159" s="5"/>
      <x:c r="L159" s="5"/>
      <x:c r="M159" s="5" t="s">
        <x:v>810</x:v>
      </x:c>
      <x:c r="N159" s="5" t="s">
        <x:v>972</x:v>
      </x:c>
      <x:c r="O159" s="5" t="s">
        <x:v>972</x:v>
      </x:c>
      <x:c r="P159" s="5" t="s">
        <x:v>40</x:v>
      </x:c>
      <x:c r="Q159" s="5"/>
    </x:row>
    <x:row r="160">
      <x:c r="A160" s="5" t="s">
        <x:v>1134</x:v>
      </x:c>
      <x:c r="B160" s="5" t="s">
        <x:v>969</x:v>
      </x:c>
      <x:c r="C160" s="5" t="s">
        <x:v>694</x:v>
      </x:c>
      <x:c r="D160" s="5" t="s">
        <x:v>1016</x:v>
      </x:c>
      <x:c r="E160" s="5" t="s">
        <x:v>1005</x:v>
      </x:c>
      <x:c r="F160" s="5">
        <x:v>9</x:v>
      </x:c>
      <x:c r="G160" s="5">
        <x:v>477581743</x:v>
      </x:c>
      <x:c r="H160" s="5" t="s">
        <x:v>665</x:v>
      </x:c>
      <x:c r="I160" s="5" t="s">
        <x:v>25</x:v>
      </x:c>
      <x:c r="J160" s="5"/>
      <x:c r="K160" s="5"/>
      <x:c r="L160" s="5"/>
      <x:c r="M160" s="5" t="s">
        <x:v>810</x:v>
      </x:c>
      <x:c r="N160" s="5" t="s">
        <x:v>972</x:v>
      </x:c>
      <x:c r="O160" s="5" t="s">
        <x:v>972</x:v>
      </x:c>
      <x:c r="P160" s="5" t="s">
        <x:v>40</x:v>
      </x:c>
      <x:c r="Q160" s="5"/>
    </x:row>
    <x:row r="161">
      <x:c r="A161" s="5" t="s">
        <x:v>1135</x:v>
      </x:c>
      <x:c r="B161" s="5" t="s">
        <x:v>969</x:v>
      </x:c>
      <x:c r="C161" s="5" t="s">
        <x:v>694</x:v>
      </x:c>
      <x:c r="D161" s="5" t="s">
        <x:v>1016</x:v>
      </x:c>
      <x:c r="E161" s="5" t="s">
        <x:v>1005</x:v>
      </x:c>
      <x:c r="F161" s="5">
        <x:v>10</x:v>
      </x:c>
      <x:c r="G161" s="5">
        <x:v>869675675</x:v>
      </x:c>
      <x:c r="H161" s="5" t="s">
        <x:v>665</x:v>
      </x:c>
      <x:c r="I161" s="5" t="s">
        <x:v>25</x:v>
      </x:c>
      <x:c r="J161" s="5"/>
      <x:c r="K161" s="5"/>
      <x:c r="L161" s="5"/>
      <x:c r="M161" s="5" t="s">
        <x:v>810</x:v>
      </x:c>
      <x:c r="N161" s="5" t="s">
        <x:v>972</x:v>
      </x:c>
      <x:c r="O161" s="5" t="s">
        <x:v>972</x:v>
      </x:c>
      <x:c r="P161" s="5" t="s">
        <x:v>40</x:v>
      </x:c>
      <x:c r="Q161" s="5"/>
    </x:row>
    <x:row r="162" ht="27.600000381469727">
      <x:c r="A162" s="5" t="s">
        <x:v>1136</x:v>
      </x:c>
      <x:c r="B162" s="5" t="s">
        <x:v>1137</x:v>
      </x:c>
      <x:c r="C162" s="5" t="s">
        <x:v>683</x:v>
      </x:c>
      <x:c r="D162" s="5" t="s">
        <x:v>970</x:v>
      </x:c>
      <x:c r="E162" s="5" t="s">
        <x:v>1138</x:v>
      </x:c>
      <x:c r="F162" s="5">
        <x:v>1</x:v>
      </x:c>
      <x:c r="G162" s="5">
        <x:v>204886845</x:v>
      </x:c>
      <x:c r="H162" s="5" t="s">
        <x:v>665</x:v>
      </x:c>
      <x:c r="I162" s="5" t="s">
        <x:v>25</x:v>
      </x:c>
      <x:c r="J162" s="5"/>
      <x:c r="K162" s="5"/>
      <x:c r="L162" s="5"/>
      <x:c r="M162" s="5" t="s">
        <x:v>41</x:v>
      </x:c>
      <x:c r="N162" s="5" t="s">
        <x:v>972</x:v>
      </x:c>
      <x:c r="O162" s="5" t="s">
        <x:v>972</x:v>
      </x:c>
      <x:c r="P162" s="5" t="s">
        <x:v>40</x:v>
      </x:c>
      <x:c r="Q162" s="5"/>
    </x:row>
    <x:row r="163" ht="27.600000381469727">
      <x:c r="A163" s="5" t="s">
        <x:v>1139</x:v>
      </x:c>
      <x:c r="B163" s="5" t="s">
        <x:v>1137</x:v>
      </x:c>
      <x:c r="C163" s="5" t="s">
        <x:v>683</x:v>
      </x:c>
      <x:c r="D163" s="5" t="s">
        <x:v>970</x:v>
      </x:c>
      <x:c r="E163" s="5" t="s">
        <x:v>1138</x:v>
      </x:c>
      <x:c r="F163" s="5">
        <x:v>2</x:v>
      </x:c>
      <x:c r="G163" s="5">
        <x:v>1480646854</x:v>
      </x:c>
      <x:c r="H163" s="5" t="s">
        <x:v>665</x:v>
      </x:c>
      <x:c r="I163" s="5" t="s">
        <x:v>25</x:v>
      </x:c>
      <x:c r="J163" s="5"/>
      <x:c r="K163" s="5"/>
      <x:c r="L163" s="5"/>
      <x:c r="M163" s="5" t="s">
        <x:v>41</x:v>
      </x:c>
      <x:c r="N163" s="5" t="s">
        <x:v>972</x:v>
      </x:c>
      <x:c r="O163" s="5" t="s">
        <x:v>972</x:v>
      </x:c>
      <x:c r="P163" s="5" t="s">
        <x:v>40</x:v>
      </x:c>
      <x:c r="Q163" s="5"/>
    </x:row>
    <x:row r="164" ht="27.600000381469727">
      <x:c r="A164" s="5" t="s">
        <x:v>1140</x:v>
      </x:c>
      <x:c r="B164" s="5" t="s">
        <x:v>1137</x:v>
      </x:c>
      <x:c r="C164" s="5" t="s">
        <x:v>683</x:v>
      </x:c>
      <x:c r="D164" s="5" t="s">
        <x:v>970</x:v>
      </x:c>
      <x:c r="E164" s="5" t="s">
        <x:v>1138</x:v>
      </x:c>
      <x:c r="F164" s="5">
        <x:v>3</x:v>
      </x:c>
      <x:c r="G164" s="5">
        <x:v>1798418854</x:v>
      </x:c>
      <x:c r="H164" s="5" t="s">
        <x:v>665</x:v>
      </x:c>
      <x:c r="I164" s="5" t="s">
        <x:v>25</x:v>
      </x:c>
      <x:c r="J164" s="5"/>
      <x:c r="K164" s="5"/>
      <x:c r="L164" s="5"/>
      <x:c r="M164" s="5" t="s">
        <x:v>41</x:v>
      </x:c>
      <x:c r="N164" s="5" t="s">
        <x:v>972</x:v>
      </x:c>
      <x:c r="O164" s="5" t="s">
        <x:v>972</x:v>
      </x:c>
      <x:c r="P164" s="5" t="s">
        <x:v>40</x:v>
      </x:c>
      <x:c r="Q164" s="5"/>
    </x:row>
    <x:row r="165" ht="27.600000381469727">
      <x:c r="A165" s="5" t="s">
        <x:v>1141</x:v>
      </x:c>
      <x:c r="B165" s="5" t="s">
        <x:v>1137</x:v>
      </x:c>
      <x:c r="C165" s="5" t="s">
        <x:v>683</x:v>
      </x:c>
      <x:c r="D165" s="5" t="s">
        <x:v>970</x:v>
      </x:c>
      <x:c r="E165" s="5" t="s">
        <x:v>1138</x:v>
      </x:c>
      <x:c r="F165" s="5">
        <x:v>4</x:v>
      </x:c>
      <x:c r="G165" s="5">
        <x:v>2045683682</x:v>
      </x:c>
      <x:c r="H165" s="5" t="s">
        <x:v>665</x:v>
      </x:c>
      <x:c r="I165" s="5" t="s">
        <x:v>25</x:v>
      </x:c>
      <x:c r="J165" s="5"/>
      <x:c r="K165" s="5"/>
      <x:c r="L165" s="5"/>
      <x:c r="M165" s="5" t="s">
        <x:v>41</x:v>
      </x:c>
      <x:c r="N165" s="5" t="s">
        <x:v>972</x:v>
      </x:c>
      <x:c r="O165" s="5" t="s">
        <x:v>972</x:v>
      </x:c>
      <x:c r="P165" s="5" t="s">
        <x:v>40</x:v>
      </x:c>
      <x:c r="Q165" s="5"/>
    </x:row>
    <x:row r="166" ht="27.600000381469727">
      <x:c r="A166" s="5" t="s">
        <x:v>1142</x:v>
      </x:c>
      <x:c r="B166" s="5" t="s">
        <x:v>1137</x:v>
      </x:c>
      <x:c r="C166" s="5" t="s">
        <x:v>683</x:v>
      </x:c>
      <x:c r="D166" s="5" t="s">
        <x:v>970</x:v>
      </x:c>
      <x:c r="E166" s="5" t="s">
        <x:v>1138</x:v>
      </x:c>
      <x:c r="F166" s="5">
        <x:v>5</x:v>
      </x:c>
      <x:c r="G166" s="5">
        <x:v>1814859839</x:v>
      </x:c>
      <x:c r="H166" s="5" t="s">
        <x:v>665</x:v>
      </x:c>
      <x:c r="I166" s="5" t="s">
        <x:v>25</x:v>
      </x:c>
      <x:c r="J166" s="5"/>
      <x:c r="K166" s="5"/>
      <x:c r="L166" s="5"/>
      <x:c r="M166" s="5" t="s">
        <x:v>41</x:v>
      </x:c>
      <x:c r="N166" s="5" t="s">
        <x:v>972</x:v>
      </x:c>
      <x:c r="O166" s="5" t="s">
        <x:v>972</x:v>
      </x:c>
      <x:c r="P166" s="5" t="s">
        <x:v>40</x:v>
      </x:c>
      <x:c r="Q166" s="5"/>
    </x:row>
    <x:row r="167" ht="27.600000381469727">
      <x:c r="A167" s="5" t="s">
        <x:v>1143</x:v>
      </x:c>
      <x:c r="B167" s="5" t="s">
        <x:v>1137</x:v>
      </x:c>
      <x:c r="C167" s="5" t="s">
        <x:v>683</x:v>
      </x:c>
      <x:c r="D167" s="5" t="s">
        <x:v>970</x:v>
      </x:c>
      <x:c r="E167" s="5" t="s">
        <x:v>1138</x:v>
      </x:c>
      <x:c r="F167" s="5">
        <x:v>6</x:v>
      </x:c>
      <x:c r="G167" s="5">
        <x:v>1603952859</x:v>
      </x:c>
      <x:c r="H167" s="5" t="s">
        <x:v>665</x:v>
      </x:c>
      <x:c r="I167" s="5" t="s">
        <x:v>25</x:v>
      </x:c>
      <x:c r="J167" s="5"/>
      <x:c r="K167" s="5"/>
      <x:c r="L167" s="5"/>
      <x:c r="M167" s="5" t="s">
        <x:v>41</x:v>
      </x:c>
      <x:c r="N167" s="5" t="s">
        <x:v>972</x:v>
      </x:c>
      <x:c r="O167" s="5" t="s">
        <x:v>972</x:v>
      </x:c>
      <x:c r="P167" s="5" t="s">
        <x:v>40</x:v>
      </x:c>
      <x:c r="Q167" s="5"/>
    </x:row>
    <x:row r="168" ht="27.600000381469727">
      <x:c r="A168" s="5" t="s">
        <x:v>1144</x:v>
      </x:c>
      <x:c r="B168" s="5" t="s">
        <x:v>1137</x:v>
      </x:c>
      <x:c r="C168" s="5" t="s">
        <x:v>683</x:v>
      </x:c>
      <x:c r="D168" s="5" t="s">
        <x:v>970</x:v>
      </x:c>
      <x:c r="E168" s="5" t="s">
        <x:v>1138</x:v>
      </x:c>
      <x:c r="F168" s="5">
        <x:v>7</x:v>
      </x:c>
      <x:c r="G168" s="5">
        <x:v>1878351743</x:v>
      </x:c>
      <x:c r="H168" s="5" t="s">
        <x:v>665</x:v>
      </x:c>
      <x:c r="I168" s="5" t="s">
        <x:v>25</x:v>
      </x:c>
      <x:c r="J168" s="5"/>
      <x:c r="K168" s="5"/>
      <x:c r="L168" s="5"/>
      <x:c r="M168" s="5" t="s">
        <x:v>41</x:v>
      </x:c>
      <x:c r="N168" s="5" t="s">
        <x:v>972</x:v>
      </x:c>
      <x:c r="O168" s="5" t="s">
        <x:v>972</x:v>
      </x:c>
      <x:c r="P168" s="5" t="s">
        <x:v>40</x:v>
      </x:c>
      <x:c r="Q168" s="5"/>
    </x:row>
    <x:row r="169" ht="27.600000381469727">
      <x:c r="A169" s="5" t="s">
        <x:v>1145</x:v>
      </x:c>
      <x:c r="B169" s="5" t="s">
        <x:v>1137</x:v>
      </x:c>
      <x:c r="C169" s="5" t="s">
        <x:v>683</x:v>
      </x:c>
      <x:c r="D169" s="5" t="s">
        <x:v>970</x:v>
      </x:c>
      <x:c r="E169" s="5" t="s">
        <x:v>1138</x:v>
      </x:c>
      <x:c r="F169" s="5">
        <x:v>8</x:v>
      </x:c>
      <x:c r="G169" s="5">
        <x:v>875651179</x:v>
      </x:c>
      <x:c r="H169" s="5" t="s">
        <x:v>665</x:v>
      </x:c>
      <x:c r="I169" s="5" t="s">
        <x:v>25</x:v>
      </x:c>
      <x:c r="J169" s="5"/>
      <x:c r="K169" s="5"/>
      <x:c r="L169" s="5"/>
      <x:c r="M169" s="5" t="s">
        <x:v>41</x:v>
      </x:c>
      <x:c r="N169" s="5" t="s">
        <x:v>972</x:v>
      </x:c>
      <x:c r="O169" s="5" t="s">
        <x:v>972</x:v>
      </x:c>
      <x:c r="P169" s="5" t="s">
        <x:v>40</x:v>
      </x:c>
      <x:c r="Q169" s="5"/>
    </x:row>
    <x:row r="170" ht="27.600000381469727">
      <x:c r="A170" s="5" t="s">
        <x:v>1146</x:v>
      </x:c>
      <x:c r="B170" s="5" t="s">
        <x:v>1137</x:v>
      </x:c>
      <x:c r="C170" s="5" t="s">
        <x:v>683</x:v>
      </x:c>
      <x:c r="D170" s="5" t="s">
        <x:v>970</x:v>
      </x:c>
      <x:c r="E170" s="5" t="s">
        <x:v>1138</x:v>
      </x:c>
      <x:c r="F170" s="5">
        <x:v>9</x:v>
      </x:c>
      <x:c r="G170" s="5">
        <x:v>477581743</x:v>
      </x:c>
      <x:c r="H170" s="5" t="s">
        <x:v>665</x:v>
      </x:c>
      <x:c r="I170" s="5" t="s">
        <x:v>25</x:v>
      </x:c>
      <x:c r="J170" s="5"/>
      <x:c r="K170" s="5"/>
      <x:c r="L170" s="5"/>
      <x:c r="M170" s="5" t="s">
        <x:v>41</x:v>
      </x:c>
      <x:c r="N170" s="5" t="s">
        <x:v>972</x:v>
      </x:c>
      <x:c r="O170" s="5" t="s">
        <x:v>972</x:v>
      </x:c>
      <x:c r="P170" s="5" t="s">
        <x:v>40</x:v>
      </x:c>
      <x:c r="Q170" s="5"/>
    </x:row>
    <x:row r="171" ht="27.600000381469727">
      <x:c r="A171" s="5" t="s">
        <x:v>1147</x:v>
      </x:c>
      <x:c r="B171" s="5" t="s">
        <x:v>1137</x:v>
      </x:c>
      <x:c r="C171" s="5" t="s">
        <x:v>683</x:v>
      </x:c>
      <x:c r="D171" s="5" t="s">
        <x:v>970</x:v>
      </x:c>
      <x:c r="E171" s="5" t="s">
        <x:v>1138</x:v>
      </x:c>
      <x:c r="F171" s="5">
        <x:v>10</x:v>
      </x:c>
      <x:c r="G171" s="5">
        <x:v>869675675</x:v>
      </x:c>
      <x:c r="H171" s="5" t="s">
        <x:v>665</x:v>
      </x:c>
      <x:c r="I171" s="5" t="s">
        <x:v>25</x:v>
      </x:c>
      <x:c r="J171" s="5"/>
      <x:c r="K171" s="5"/>
      <x:c r="L171" s="5"/>
      <x:c r="M171" s="5" t="s">
        <x:v>41</x:v>
      </x:c>
      <x:c r="N171" s="5" t="s">
        <x:v>972</x:v>
      </x:c>
      <x:c r="O171" s="5" t="s">
        <x:v>972</x:v>
      </x:c>
      <x:c r="P171" s="5" t="s">
        <x:v>40</x:v>
      </x:c>
      <x:c r="Q171" s="5"/>
    </x:row>
    <x:row r="172" ht="27.600000381469727">
      <x:c r="A172" s="5" t="s">
        <x:v>1148</x:v>
      </x:c>
      <x:c r="B172" s="5" t="s">
        <x:v>1137</x:v>
      </x:c>
      <x:c r="C172" s="5" t="s">
        <x:v>683</x:v>
      </x:c>
      <x:c r="D172" s="5" t="s">
        <x:v>1016</x:v>
      </x:c>
      <x:c r="E172" s="5" t="s">
        <x:v>1138</x:v>
      </x:c>
      <x:c r="F172" s="5">
        <x:v>1</x:v>
      </x:c>
      <x:c r="G172" s="5">
        <x:v>204886845</x:v>
      </x:c>
      <x:c r="H172" s="5" t="s">
        <x:v>665</x:v>
      </x:c>
      <x:c r="I172" s="5" t="s">
        <x:v>25</x:v>
      </x:c>
      <x:c r="J172" s="5"/>
      <x:c r="K172" s="5"/>
      <x:c r="L172" s="5"/>
      <x:c r="M172" s="5" t="s">
        <x:v>41</x:v>
      </x:c>
      <x:c r="N172" s="5" t="s">
        <x:v>972</x:v>
      </x:c>
      <x:c r="O172" s="5" t="s">
        <x:v>972</x:v>
      </x:c>
      <x:c r="P172" s="5" t="s">
        <x:v>40</x:v>
      </x:c>
      <x:c r="Q172" s="5"/>
    </x:row>
    <x:row r="173" ht="27.600000381469727">
      <x:c r="A173" s="5" t="s">
        <x:v>1149</x:v>
      </x:c>
      <x:c r="B173" s="5" t="s">
        <x:v>1137</x:v>
      </x:c>
      <x:c r="C173" s="5" t="s">
        <x:v>683</x:v>
      </x:c>
      <x:c r="D173" s="5" t="s">
        <x:v>1016</x:v>
      </x:c>
      <x:c r="E173" s="5" t="s">
        <x:v>1138</x:v>
      </x:c>
      <x:c r="F173" s="5">
        <x:v>2</x:v>
      </x:c>
      <x:c r="G173" s="5">
        <x:v>1480646854</x:v>
      </x:c>
      <x:c r="H173" s="5" t="s">
        <x:v>665</x:v>
      </x:c>
      <x:c r="I173" s="5" t="s">
        <x:v>25</x:v>
      </x:c>
      <x:c r="J173" s="5"/>
      <x:c r="K173" s="5"/>
      <x:c r="L173" s="5"/>
      <x:c r="M173" s="5" t="s">
        <x:v>41</x:v>
      </x:c>
      <x:c r="N173" s="5" t="s">
        <x:v>972</x:v>
      </x:c>
      <x:c r="O173" s="5" t="s">
        <x:v>972</x:v>
      </x:c>
      <x:c r="P173" s="5" t="s">
        <x:v>40</x:v>
      </x:c>
      <x:c r="Q173" s="5"/>
    </x:row>
    <x:row r="174" ht="27.600000381469727">
      <x:c r="A174" s="5" t="s">
        <x:v>1150</x:v>
      </x:c>
      <x:c r="B174" s="5" t="s">
        <x:v>1137</x:v>
      </x:c>
      <x:c r="C174" s="5" t="s">
        <x:v>683</x:v>
      </x:c>
      <x:c r="D174" s="5" t="s">
        <x:v>1016</x:v>
      </x:c>
      <x:c r="E174" s="5" t="s">
        <x:v>1138</x:v>
      </x:c>
      <x:c r="F174" s="5">
        <x:v>3</x:v>
      </x:c>
      <x:c r="G174" s="5">
        <x:v>1798418854</x:v>
      </x:c>
      <x:c r="H174" s="5" t="s">
        <x:v>665</x:v>
      </x:c>
      <x:c r="I174" s="5" t="s">
        <x:v>25</x:v>
      </x:c>
      <x:c r="J174" s="5"/>
      <x:c r="K174" s="5"/>
      <x:c r="L174" s="5"/>
      <x:c r="M174" s="5" t="s">
        <x:v>41</x:v>
      </x:c>
      <x:c r="N174" s="5" t="s">
        <x:v>972</x:v>
      </x:c>
      <x:c r="O174" s="5" t="s">
        <x:v>972</x:v>
      </x:c>
      <x:c r="P174" s="5" t="s">
        <x:v>40</x:v>
      </x:c>
      <x:c r="Q174" s="5"/>
    </x:row>
    <x:row r="175" ht="27.600000381469727">
      <x:c r="A175" s="5" t="s">
        <x:v>1151</x:v>
      </x:c>
      <x:c r="B175" s="5" t="s">
        <x:v>1137</x:v>
      </x:c>
      <x:c r="C175" s="5" t="s">
        <x:v>683</x:v>
      </x:c>
      <x:c r="D175" s="5" t="s">
        <x:v>1016</x:v>
      </x:c>
      <x:c r="E175" s="5" t="s">
        <x:v>1138</x:v>
      </x:c>
      <x:c r="F175" s="5">
        <x:v>4</x:v>
      </x:c>
      <x:c r="G175" s="5">
        <x:v>2045683682</x:v>
      </x:c>
      <x:c r="H175" s="5" t="s">
        <x:v>665</x:v>
      </x:c>
      <x:c r="I175" s="5" t="s">
        <x:v>25</x:v>
      </x:c>
      <x:c r="J175" s="5"/>
      <x:c r="K175" s="5"/>
      <x:c r="L175" s="5"/>
      <x:c r="M175" s="5" t="s">
        <x:v>41</x:v>
      </x:c>
      <x:c r="N175" s="5" t="s">
        <x:v>972</x:v>
      </x:c>
      <x:c r="O175" s="5" t="s">
        <x:v>972</x:v>
      </x:c>
      <x:c r="P175" s="5" t="s">
        <x:v>40</x:v>
      </x:c>
      <x:c r="Q175" s="5"/>
    </x:row>
    <x:row r="176" ht="27.600000381469727">
      <x:c r="A176" s="5" t="s">
        <x:v>1152</x:v>
      </x:c>
      <x:c r="B176" s="5" t="s">
        <x:v>1137</x:v>
      </x:c>
      <x:c r="C176" s="5" t="s">
        <x:v>683</x:v>
      </x:c>
      <x:c r="D176" s="5" t="s">
        <x:v>1016</x:v>
      </x:c>
      <x:c r="E176" s="5" t="s">
        <x:v>1138</x:v>
      </x:c>
      <x:c r="F176" s="5">
        <x:v>5</x:v>
      </x:c>
      <x:c r="G176" s="5">
        <x:v>1814859839</x:v>
      </x:c>
      <x:c r="H176" s="5" t="s">
        <x:v>665</x:v>
      </x:c>
      <x:c r="I176" s="5" t="s">
        <x:v>25</x:v>
      </x:c>
      <x:c r="J176" s="5"/>
      <x:c r="K176" s="5"/>
      <x:c r="L176" s="5"/>
      <x:c r="M176" s="5" t="s">
        <x:v>41</x:v>
      </x:c>
      <x:c r="N176" s="5" t="s">
        <x:v>972</x:v>
      </x:c>
      <x:c r="O176" s="5" t="s">
        <x:v>972</x:v>
      </x:c>
      <x:c r="P176" s="5" t="s">
        <x:v>40</x:v>
      </x:c>
      <x:c r="Q176" s="5"/>
    </x:row>
    <x:row r="177" ht="27.600000381469727">
      <x:c r="A177" s="5" t="s">
        <x:v>1153</x:v>
      </x:c>
      <x:c r="B177" s="5" t="s">
        <x:v>1137</x:v>
      </x:c>
      <x:c r="C177" s="5" t="s">
        <x:v>683</x:v>
      </x:c>
      <x:c r="D177" s="5" t="s">
        <x:v>1016</x:v>
      </x:c>
      <x:c r="E177" s="5" t="s">
        <x:v>1138</x:v>
      </x:c>
      <x:c r="F177" s="5">
        <x:v>6</x:v>
      </x:c>
      <x:c r="G177" s="5">
        <x:v>1603952859</x:v>
      </x:c>
      <x:c r="H177" s="5" t="s">
        <x:v>665</x:v>
      </x:c>
      <x:c r="I177" s="5" t="s">
        <x:v>25</x:v>
      </x:c>
      <x:c r="J177" s="5"/>
      <x:c r="K177" s="5"/>
      <x:c r="L177" s="5"/>
      <x:c r="M177" s="5" t="s">
        <x:v>41</x:v>
      </x:c>
      <x:c r="N177" s="5" t="s">
        <x:v>972</x:v>
      </x:c>
      <x:c r="O177" s="5" t="s">
        <x:v>972</x:v>
      </x:c>
      <x:c r="P177" s="5" t="s">
        <x:v>40</x:v>
      </x:c>
      <x:c r="Q177" s="5"/>
    </x:row>
    <x:row r="178" ht="27.600000381469727">
      <x:c r="A178" s="5" t="s">
        <x:v>1154</x:v>
      </x:c>
      <x:c r="B178" s="5" t="s">
        <x:v>1137</x:v>
      </x:c>
      <x:c r="C178" s="5" t="s">
        <x:v>683</x:v>
      </x:c>
      <x:c r="D178" s="5" t="s">
        <x:v>1016</x:v>
      </x:c>
      <x:c r="E178" s="5" t="s">
        <x:v>1138</x:v>
      </x:c>
      <x:c r="F178" s="5">
        <x:v>7</x:v>
      </x:c>
      <x:c r="G178" s="5">
        <x:v>1878351743</x:v>
      </x:c>
      <x:c r="H178" s="5" t="s">
        <x:v>665</x:v>
      </x:c>
      <x:c r="I178" s="5" t="s">
        <x:v>25</x:v>
      </x:c>
      <x:c r="J178" s="5"/>
      <x:c r="K178" s="5"/>
      <x:c r="L178" s="5"/>
      <x:c r="M178" s="5" t="s">
        <x:v>41</x:v>
      </x:c>
      <x:c r="N178" s="5" t="s">
        <x:v>972</x:v>
      </x:c>
      <x:c r="O178" s="5" t="s">
        <x:v>972</x:v>
      </x:c>
      <x:c r="P178" s="5" t="s">
        <x:v>40</x:v>
      </x:c>
      <x:c r="Q178" s="5"/>
    </x:row>
    <x:row r="179" ht="27.600000381469727">
      <x:c r="A179" s="5" t="s">
        <x:v>1155</x:v>
      </x:c>
      <x:c r="B179" s="5" t="s">
        <x:v>1137</x:v>
      </x:c>
      <x:c r="C179" s="5" t="s">
        <x:v>683</x:v>
      </x:c>
      <x:c r="D179" s="5" t="s">
        <x:v>1016</x:v>
      </x:c>
      <x:c r="E179" s="5" t="s">
        <x:v>1138</x:v>
      </x:c>
      <x:c r="F179" s="5">
        <x:v>8</x:v>
      </x:c>
      <x:c r="G179" s="5">
        <x:v>875651179</x:v>
      </x:c>
      <x:c r="H179" s="5" t="s">
        <x:v>665</x:v>
      </x:c>
      <x:c r="I179" s="5" t="s">
        <x:v>25</x:v>
      </x:c>
      <x:c r="J179" s="5"/>
      <x:c r="K179" s="5"/>
      <x:c r="L179" s="5"/>
      <x:c r="M179" s="5" t="s">
        <x:v>41</x:v>
      </x:c>
      <x:c r="N179" s="5" t="s">
        <x:v>972</x:v>
      </x:c>
      <x:c r="O179" s="5" t="s">
        <x:v>972</x:v>
      </x:c>
      <x:c r="P179" s="5" t="s">
        <x:v>40</x:v>
      </x:c>
      <x:c r="Q179" s="5"/>
    </x:row>
    <x:row r="180" ht="27.600000381469727">
      <x:c r="A180" s="5" t="s">
        <x:v>1156</x:v>
      </x:c>
      <x:c r="B180" s="5" t="s">
        <x:v>1137</x:v>
      </x:c>
      <x:c r="C180" s="5" t="s">
        <x:v>683</x:v>
      </x:c>
      <x:c r="D180" s="5" t="s">
        <x:v>1016</x:v>
      </x:c>
      <x:c r="E180" s="5" t="s">
        <x:v>1138</x:v>
      </x:c>
      <x:c r="F180" s="5">
        <x:v>9</x:v>
      </x:c>
      <x:c r="G180" s="5">
        <x:v>477581743</x:v>
      </x:c>
      <x:c r="H180" s="5" t="s">
        <x:v>665</x:v>
      </x:c>
      <x:c r="I180" s="5" t="s">
        <x:v>25</x:v>
      </x:c>
      <x:c r="J180" s="5"/>
      <x:c r="K180" s="5"/>
      <x:c r="L180" s="5"/>
      <x:c r="M180" s="5" t="s">
        <x:v>41</x:v>
      </x:c>
      <x:c r="N180" s="5" t="s">
        <x:v>972</x:v>
      </x:c>
      <x:c r="O180" s="5" t="s">
        <x:v>972</x:v>
      </x:c>
      <x:c r="P180" s="5" t="s">
        <x:v>40</x:v>
      </x:c>
      <x:c r="Q180" s="5"/>
    </x:row>
    <x:row r="181" ht="27.600000381469727">
      <x:c r="A181" s="5" t="s">
        <x:v>1157</x:v>
      </x:c>
      <x:c r="B181" s="5" t="s">
        <x:v>1137</x:v>
      </x:c>
      <x:c r="C181" s="5" t="s">
        <x:v>683</x:v>
      </x:c>
      <x:c r="D181" s="5" t="s">
        <x:v>1016</x:v>
      </x:c>
      <x:c r="E181" s="5" t="s">
        <x:v>1138</x:v>
      </x:c>
      <x:c r="F181" s="5">
        <x:v>10</x:v>
      </x:c>
      <x:c r="G181" s="5">
        <x:v>869675675</x:v>
      </x:c>
      <x:c r="H181" s="5" t="s">
        <x:v>665</x:v>
      </x:c>
      <x:c r="I181" s="5" t="s">
        <x:v>25</x:v>
      </x:c>
      <x:c r="J181" s="5"/>
      <x:c r="K181" s="5"/>
      <x:c r="L181" s="5"/>
      <x:c r="M181" s="5" t="s">
        <x:v>41</x:v>
      </x:c>
      <x:c r="N181" s="5" t="s">
        <x:v>972</x:v>
      </x:c>
      <x:c r="O181" s="5" t="s">
        <x:v>972</x:v>
      </x:c>
      <x:c r="P181" s="5" t="s">
        <x:v>40</x:v>
      </x:c>
      <x:c r="Q181" s="5"/>
    </x:row>
  </x:sheetData>
  <x:conditionalFormatting sqref="I2:I181">
    <x:cfRule type="expression" dxfId="1" priority="1">
      <x:formula>I2="CLOSED_VERIFIED"</x:formula>
    </x:cfRule>
    <x:cfRule type="expression" dxfId="0" priority="2">
      <x:formula>OR(I2="TECHNICAL_FAIL",I2="BLOCKED")</x:formula>
    </x:cfRule>
  </x:conditionalFormatting>
  <x:dataValidations count="3">
    <x:dataValidation type="list" sqref="I2:I181">
      <x:formula1>"NOT_STARTED,RUNNING,CLOSED_VERIFIED,TECHNICAL_FAIL,BLOCKED"</x:formula1>
    </x:dataValidation>
    <x:dataValidation type="list" sqref="N2:O181">
      <x:formula1>"NO,YES"</x:formula1>
    </x:dataValidation>
    <x:dataValidation type="list" sqref="P2:P181">
      <x:formula1>"NOT_AUTHORIZED,RUNNING,CLOSED_VERIFIED,FAIL"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1c5d77233246b2"/>
  </x:tableParts>
</x:worksheet>
</file>

<file path=xl/worksheets/sheet8.xml><?xml version="1.0" encoding="utf-8"?>
<x:worksheet xmlns:x="http://schemas.openxmlformats.org/spreadsheetml/2006/main">
  <x:sheetFormatPr defaultRowHeight="13.800000190734863"/>
  <x:cols>
    <x:col min="1" max="1" width="28" customWidth="1"/>
    <x:col min="2" max="2" width="24" customWidth="1"/>
    <x:col min="3" max="3" width="30" customWidth="1"/>
    <x:col min="4" max="4" width="50" customWidth="1"/>
    <x:col min="5" max="5" width="14" customWidth="1"/>
    <x:col min="6" max="6" width="42" customWidth="1"/>
  </x:cols>
  <x:sheetData>
    <x:row r="1">
      <x:c r="A1" s="18" t="s">
        <x:v>1158</x:v>
      </x:c>
      <x:c r="B1" s="18"/>
      <x:c r="C1" s="18"/>
      <x:c r="D1" s="18"/>
      <x:c r="E1" s="18"/>
      <x:c r="F1" s="18"/>
    </x:row>
    <x:row r="2">
      <x:c r="A2" s="18"/>
      <x:c r="B2" s="18"/>
      <x:c r="C2" s="18"/>
      <x:c r="D2" s="18"/>
      <x:c r="E2" s="18"/>
      <x:c r="F2" s="18"/>
    </x:row>
    <x:row r="3">
      <x:c r="A3" s="5"/>
      <x:c r="B3" s="5"/>
      <x:c r="C3" s="5"/>
      <x:c r="D3" s="5"/>
      <x:c r="E3" s="5"/>
      <x:c r="F3" s="5"/>
    </x:row>
    <x:row r="4">
      <x:c r="A4" s="2" t="s">
        <x:v>23</x:v>
      </x:c>
      <x:c r="B4" s="2" t="s">
        <x:v>1159</x:v>
      </x:c>
      <x:c r="C4" s="2" t="s">
        <x:v>1160</x:v>
      </x:c>
      <x:c r="D4" s="2" t="s">
        <x:v>1161</x:v>
      </x:c>
      <x:c r="E4" s="2" t="s">
        <x:v>1162</x:v>
      </x:c>
      <x:c r="F4" s="2" t="s">
        <x:v>1163</x:v>
      </x:c>
    </x:row>
    <x:row r="5" ht="27.600000381469727">
      <x:c r="A5" s="5" t="s">
        <x:v>1164</x:v>
      </x:c>
      <x:c r="B5" s="5" t="s">
        <x:v>1165</x:v>
      </x:c>
      <x:c r="C5" s="5" t="s">
        <x:v>1166</x:v>
      </x:c>
      <x:c r="D5" s="5" t="s">
        <x:v>66</x:v>
      </x:c>
      <x:c r="E5" s="5" t="s">
        <x:v>1167</x:v>
      </x:c>
      <x:c r="F5" s="5" t="s">
        <x:v>1168</x:v>
      </x:c>
    </x:row>
    <x:row r="6" ht="27.600000381469727">
      <x:c r="A6" s="5" t="s">
        <x:v>1169</x:v>
      </x:c>
      <x:c r="B6" s="5" t="s">
        <x:v>130</x:v>
      </x:c>
      <x:c r="C6" s="5" t="s">
        <x:v>1170</x:v>
      </x:c>
      <x:c r="D6" s="5" t="s">
        <x:v>71</x:v>
      </x:c>
      <x:c r="E6" s="5" t="s">
        <x:v>1167</x:v>
      </x:c>
      <x:c r="F6" s="5" t="s">
        <x:v>1171</x:v>
      </x:c>
    </x:row>
    <x:row r="7" ht="27.600000381469727">
      <x:c r="A7" s="5" t="s">
        <x:v>1172</x:v>
      </x:c>
      <x:c r="B7" s="5" t="s">
        <x:v>65</x:v>
      </x:c>
      <x:c r="C7" s="5" t="s">
        <x:v>1173</x:v>
      </x:c>
      <x:c r="D7" s="5" t="s">
        <x:v>75</x:v>
      </x:c>
      <x:c r="E7" s="5" t="s">
        <x:v>1167</x:v>
      </x:c>
      <x:c r="F7" s="5" t="s">
        <x:v>1174</x:v>
      </x:c>
    </x:row>
    <x:row r="8" ht="41.400001525878906">
      <x:c r="A8" s="5" t="str">
        <x:v>Operational</x:v>
      </x:c>
      <x:c r="B8" s="5" t="str">
        <x:v>SSOD_S0_S9_Implementation_Management_Dashboard.xlsx</x:v>
      </x:c>
      <x:c r="C8" s="5" t="str">
        <x:v>S0–S9 execution tracker / project control</x:v>
      </x:c>
      <x:c r="D8" s="5" t="str"/>
      <x:c r="E8" s="5" t="str">
        <x:v>LIVE TRACKER</x:v>
      </x:c>
      <x:c r="F8" s="5" t="str">
        <x:v>Operational only; not part of the locked contract hierarchy</x:v>
      </x:c>
    </x:row>
    <x:row r="9">
      <x:c r="A9" s="5"/>
      <x:c r="B9" s="5"/>
      <x:c r="C9" s="5"/>
      <x:c r="D9" s="5"/>
      <x:c r="E9" s="5"/>
      <x:c r="F9" s="5"/>
    </x:row>
    <x:row r="10">
      <x:c r="A10" s="5"/>
      <x:c r="B10" s="5"/>
      <x:c r="C10" s="5"/>
      <x:c r="D10" s="5"/>
      <x:c r="E10" s="5"/>
      <x:c r="F10" s="5"/>
    </x:row>
    <x:row r="11">
      <x:c r="A11" s="2" t="s">
        <x:v>1175</x:v>
      </x:c>
      <x:c r="B11" s="2" t="s">
        <x:v>1176</x:v>
      </x:c>
      <x:c r="C11" s="2" t="s">
        <x:v>1177</x:v>
      </x:c>
      <x:c r="D11" s="2" t="s">
        <x:v>53</x:v>
      </x:c>
      <x:c r="E11" s="5"/>
      <x:c r="F11" s="5"/>
    </x:row>
    <x:row r="12">
      <x:c r="A12" s="5" t="s">
        <x:v>1178</x:v>
      </x:c>
      <x:c r="B12" s="5">
        <x:v>4894</x:v>
      </x:c>
      <x:c r="C12" s="5" t="s">
        <x:v>1179</x:v>
      </x:c>
      <x:c r="D12" s="5" t="s">
        <x:v>1180</x:v>
      </x:c>
      <x:c r="E12" s="5"/>
      <x:c r="F12" s="5"/>
    </x:row>
    <x:row r="13">
      <x:c r="A13" s="5" t="s">
        <x:v>1181</x:v>
      </x:c>
      <x:c r="B13" s="5" t="s">
        <x:v>1182</x:v>
      </x:c>
      <x:c r="C13" s="5" t="s">
        <x:v>1179</x:v>
      </x:c>
      <x:c r="D13" s="5" t="s">
        <x:v>1183</x:v>
      </x:c>
      <x:c r="E13" s="5"/>
      <x:c r="F13" s="5"/>
    </x:row>
    <x:row r="14">
      <x:c r="A14" s="5" t="s">
        <x:v>1184</x:v>
      </x:c>
      <x:c r="B14" s="5" t="s">
        <x:v>1185</x:v>
      </x:c>
      <x:c r="C14" s="5" t="s">
        <x:v>1179</x:v>
      </x:c>
      <x:c r="D14" s="5" t="s">
        <x:v>1186</x:v>
      </x:c>
      <x:c r="E14" s="5"/>
      <x:c r="F14" s="5"/>
    </x:row>
    <x:row r="15">
      <x:c r="A15" s="5" t="s">
        <x:v>1187</x:v>
      </x:c>
      <x:c r="B15" s="5">
        <x:v>14</x:v>
      </x:c>
      <x:c r="C15" s="5" t="s">
        <x:v>1188</x:v>
      </x:c>
      <x:c r="D15" s="5" t="s">
        <x:v>1189</x:v>
      </x:c>
      <x:c r="E15" s="5"/>
      <x:c r="F15" s="5"/>
    </x:row>
    <x:row r="16">
      <x:c r="A16" s="5" t="s">
        <x:v>1190</x:v>
      </x:c>
      <x:c r="B16" s="5">
        <x:v>42</x:v>
      </x:c>
      <x:c r="C16" s="5" t="s">
        <x:v>1191</x:v>
      </x:c>
      <x:c r="D16" s="5" t="s">
        <x:v>1192</x:v>
      </x:c>
      <x:c r="E16" s="5"/>
      <x:c r="F16" s="5"/>
    </x:row>
    <x:row r="17">
      <x:c r="A17" s="5" t="s">
        <x:v>1193</x:v>
      </x:c>
      <x:c r="B17" s="5">
        <x:v>10</x:v>
      </x:c>
      <x:c r="C17" s="5" t="s">
        <x:v>1194</x:v>
      </x:c>
      <x:c r="D17" s="5" t="s">
        <x:v>1195</x:v>
      </x:c>
      <x:c r="E17" s="5"/>
      <x:c r="F17" s="5"/>
    </x:row>
    <x:row r="18">
      <x:c r="A18" s="5" t="s">
        <x:v>1196</x:v>
      </x:c>
      <x:c r="B18" s="5">
        <x:v>180</x:v>
      </x:c>
      <x:c r="C18" s="5" t="s">
        <x:v>1197</x:v>
      </x:c>
      <x:c r="D18" s="5" t="s">
        <x:v>1198</x:v>
      </x:c>
      <x:c r="E18" s="5"/>
      <x:c r="F18" s="5"/>
    </x:row>
    <x:row r="19">
      <x:c r="A19" s="5" t="s">
        <x:v>1199</x:v>
      </x:c>
      <x:c r="B19" s="5">
        <x:v>172</x:v>
      </x:c>
      <x:c r="C19" s="5" t="s">
        <x:v>1200</x:v>
      </x:c>
      <x:c r="D19" s="5" t="s">
        <x:v>1201</x:v>
      </x:c>
      <x:c r="E19" s="5"/>
      <x:c r="F19" s="5"/>
    </x:row>
    <x:row r="20">
      <x:c r="A20" s="5" t="s">
        <x:v>1202</x:v>
      </x:c>
      <x:c r="B20" s="5">
        <x:v>2064</x:v>
      </x:c>
      <x:c r="C20" s="5" t="s">
        <x:v>1203</x:v>
      </x:c>
      <x:c r="D20" s="5" t="s">
        <x:v>1204</x:v>
      </x:c>
      <x:c r="E20" s="5"/>
      <x:c r="F20" s="5"/>
    </x:row>
    <x:row r="21">
      <x:c r="A21" s="5" t="s">
        <x:v>1205</x:v>
      </x:c>
      <x:c r="B21" s="5">
        <x:v>1032</x:v>
      </x:c>
      <x:c r="C21" s="5" t="s">
        <x:v>1203</x:v>
      </x:c>
      <x:c r="D21" s="5" t="s">
        <x:v>1206</x:v>
      </x:c>
      <x:c r="E21" s="5"/>
      <x:c r="F21" s="5"/>
    </x:row>
    <x:row r="22">
      <x:c r="A22" s="5" t="s">
        <x:v>1207</x:v>
      </x:c>
      <x:c r="B22" s="5">
        <x:v>10284</x:v>
      </x:c>
      <x:c r="C22" s="5" t="s">
        <x:v>1203</x:v>
      </x:c>
      <x:c r="D22" s="5" t="s">
        <x:v>1208</x:v>
      </x:c>
      <x:c r="E22" s="5"/>
      <x:c r="F22" s="5"/>
    </x:row>
    <x:row r="23">
      <x:c r="A23" s="5" t="s">
        <x:v>1209</x:v>
      </x:c>
      <x:c r="B23" s="5">
        <x:v>1E-3</x:v>
      </x:c>
      <x:c r="C23" s="5" t="s">
        <x:v>1210</x:v>
      </x:c>
      <x:c r="D23" s="5" t="s">
        <x:v>1211</x:v>
      </x:c>
      <x:c r="E23" s="5"/>
      <x:c r="F23" s="5"/>
    </x:row>
    <x:row r="24">
      <x:c r="A24" s="5" t="s">
        <x:v>1212</x:v>
      </x:c>
      <x:c r="B24" s="5" t="s">
        <x:v>1213</x:v>
      </x:c>
      <x:c r="C24" s="5" t="s">
        <x:v>1214</x:v>
      </x:c>
      <x:c r="D24" s="5" t="s">
        <x:v>1215</x:v>
      </x:c>
      <x:c r="E24" s="5"/>
      <x:c r="F24" s="5"/>
    </x:row>
    <x:row r="25">
      <x:c r="A25" s="5" t="s">
        <x:v>1216</x:v>
      </x:c>
      <x:c r="B25" s="5">
        <x:v>4</x:v>
      </x:c>
      <x:c r="C25" s="5" t="s">
        <x:v>1217</x:v>
      </x:c>
      <x:c r="D25" s="5" t="s">
        <x:v>1218</x:v>
      </x:c>
      <x:c r="E25" s="5"/>
      <x:c r="F25" s="5"/>
    </x:row>
    <x:row r="26">
      <x:c r="A26" s="5" t="s">
        <x:v>448</x:v>
      </x:c>
      <x:c r="B26" s="5" t="s">
        <x:v>1219</x:v>
      </x:c>
      <x:c r="C26" s="5" t="s">
        <x:v>1220</x:v>
      </x:c>
      <x:c r="D26" s="5" t="s">
        <x:v>1221</x:v>
      </x:c>
      <x:c r="E26" s="5"/>
      <x:c r="F26" s="5"/>
    </x:row>
    <x:row r="27">
      <x:c r="A27" s="5"/>
      <x:c r="B27" s="5"/>
      <x:c r="C27" s="5"/>
      <x:c r="D27" s="5"/>
      <x:c r="E27" s="5"/>
      <x:c r="F27" s="5"/>
    </x:row>
    <x:row r="28">
      <x:c r="A28" s="5"/>
      <x:c r="B28" s="5"/>
      <x:c r="C28" s="5"/>
      <x:c r="D28" s="5"/>
      <x:c r="E28" s="5"/>
      <x:c r="F28" s="5"/>
    </x:row>
    <x:row r="29">
      <x:c r="A29" s="5"/>
      <x:c r="B29" s="5"/>
      <x:c r="C29" s="5"/>
      <x:c r="D29" s="5"/>
      <x:c r="E29" s="5"/>
      <x:c r="F29" s="5"/>
    </x:row>
    <x:row r="30">
      <x:c r="A30" s="5"/>
      <x:c r="B30" s="5"/>
      <x:c r="C30" s="5"/>
      <x:c r="D30" s="5"/>
      <x:c r="E30" s="5"/>
      <x:c r="F30" s="5"/>
    </x:row>
  </x:sheetData>
  <x:mergeCells>
    <x:mergeCell ref="A1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3.800000190734863"/>
  <x:cols>
    <x:col min="1" max="1" width="38" customWidth="1"/>
    <x:col min="2" max="2" width="28" customWidth="1"/>
    <x:col min="3" max="3" width="10" customWidth="1"/>
    <x:col min="4" max="4" width="60" customWidth="1"/>
    <x:col min="5" max="5" width="14" customWidth="1"/>
    <x:col min="6" max="6" width="40" customWidth="1"/>
  </x:cols>
  <x:sheetData>
    <x:row r="1">
      <x:c r="A1" s="2" t="s">
        <x:v>806</x:v>
      </x:c>
      <x:c r="B1" s="2" t="s">
        <x:v>1160</x:v>
      </x:c>
      <x:c r="C1" s="2" t="s">
        <x:v>23</x:v>
      </x:c>
      <x:c r="D1" s="2" t="s">
        <x:v>1222</x:v>
      </x:c>
      <x:c r="E1" s="2" t="s">
        <x:v>1162</x:v>
      </x:c>
      <x:c r="F1" s="2" t="s">
        <x:v>53</x:v>
      </x:c>
    </x:row>
    <x:row r="2">
      <x:c r="A2" s="5" t="s">
        <x:v>1165</x:v>
      </x:c>
      <x:c r="B2" s="5" t="s">
        <x:v>1223</x:v>
      </x:c>
      <x:c r="C2" s="5" t="s">
        <x:v>1224</x:v>
      </x:c>
      <x:c r="D2" s="5" t="s">
        <x:v>1225</x:v>
      </x:c>
      <x:c r="E2" s="5" t="s">
        <x:v>1167</x:v>
      </x:c>
      <x:c r="F2" s="5" t="s">
        <x:v>1226</x:v>
      </x:c>
    </x:row>
    <x:row r="3" ht="27.600000381469727">
      <x:c r="A3" s="5" t="s">
        <x:v>130</x:v>
      </x:c>
      <x:c r="B3" s="5" t="s">
        <x:v>1170</x:v>
      </x:c>
      <x:c r="C3" s="5" t="s">
        <x:v>1227</x:v>
      </x:c>
      <x:c r="D3" s="5" t="s">
        <x:v>1228</x:v>
      </x:c>
      <x:c r="E3" s="5" t="s">
        <x:v>1167</x:v>
      </x:c>
      <x:c r="F3" s="5" t="s">
        <x:v>1229</x:v>
      </x:c>
    </x:row>
    <x:row r="4" ht="27.600000381469727">
      <x:c r="A4" s="5" t="s">
        <x:v>65</x:v>
      </x:c>
      <x:c r="B4" s="5" t="s">
        <x:v>1173</x:v>
      </x:c>
      <x:c r="C4" s="5" t="s">
        <x:v>1230</x:v>
      </x:c>
      <x:c r="D4" s="5" t="s">
        <x:v>1231</x:v>
      </x:c>
      <x:c r="E4" s="5" t="s">
        <x:v>1167</x:v>
      </x:c>
      <x:c r="F4" s="5" t="s">
        <x:v>1232</x:v>
      </x:c>
    </x:row>
    <x:row r="5" ht="27.600000381469727">
      <x:c r="A5" s="5" t="str">
        <x:v>SSOD_S0_S9_Implementation_Management_Dashboard.xlsx</x:v>
      </x:c>
      <x:c r="B5" s="5" t="str">
        <x:v>Operational execution tracker</x:v>
      </x:c>
      <x:c r="C5" s="5" t="str">
        <x:v>Non-contract</x:v>
      </x:c>
      <x:c r="D5" s="5" t="str">
        <x:v>Stage status, detailed tasks, evidence register, risks/blockers, S9 run matrix and dashboard</x:v>
      </x:c>
      <x:c r="E5" s="5" t="str">
        <x:v>LIVE TRACKER</x:v>
      </x:c>
      <x:c r="F5" s="5" t="str">
        <x:v>The only S0–S9 execution tracker; does not override the three locked canonical documents</x:v>
      </x:c>
    </x:row>
    <x:row r="6">
      <x:c r="A6" s="5"/>
      <x:c r="B6" s="5"/>
      <x:c r="C6" s="5"/>
      <x:c r="D6" s="5"/>
      <x:c r="E6" s="5"/>
      <x:c r="F6" s="5"/>
    </x:row>
    <x:row r="7">
      <x:c r="A7" s="5"/>
      <x:c r="B7" s="5"/>
      <x:c r="C7" s="5"/>
      <x:c r="D7" s="5"/>
      <x:c r="E7" s="5"/>
      <x:c r="F7" s="5"/>
    </x:row>
    <x:row r="8">
      <x:c r="A8" s="5"/>
      <x:c r="B8" s="5"/>
      <x:c r="C8" s="5"/>
      <x:c r="D8" s="5"/>
      <x:c r="E8" s="5"/>
      <x:c r="F8" s="5"/>
    </x:row>
    <x:row r="9">
      <x:c r="A9" s="5"/>
      <x:c r="B9" s="5"/>
      <x:c r="C9" s="5"/>
      <x:c r="D9" s="5"/>
      <x:c r="E9" s="5"/>
      <x:c r="F9" s="5"/>
    </x:row>
    <x:row r="10">
      <x:c r="A10" s="5"/>
      <x:c r="B10" s="5"/>
      <x:c r="C10" s="5"/>
      <x:c r="D10" s="5"/>
      <x:c r="E10" s="5"/>
      <x:c r="F10" s="5"/>
    </x:row>
  </x:sheetData>
  <x:pageMargins left="0.7" right="0.7" top="0.75" bottom="0.75" header="0.3" footer="0.3"/>
</x:worksheet>
</file>