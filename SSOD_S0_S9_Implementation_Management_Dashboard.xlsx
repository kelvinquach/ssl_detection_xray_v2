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sl_detection_xray_v2\"/>
    </mc:Choice>
  </mc:AlternateContent>
  <xr:revisionPtr revIDLastSave="0" documentId="13_ncr:1_{A64BC961-03BD-486D-B458-35A8968FD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4" r:id="rId1"/>
    <sheet name="Lists" sheetId="1" r:id="rId2"/>
    <sheet name="Detailed_Tasks" sheetId="2" r:id="rId3"/>
    <sheet name="Stage_Status" sheetId="3" r:id="rId4"/>
    <sheet name="Evidence_Register" sheetId="5" r:id="rId5"/>
    <sheet name="Risks_Blockers" sheetId="6" r:id="rId6"/>
    <sheet name="S9_Official_Matrix" sheetId="7" r:id="rId7"/>
    <sheet name="Reference_Locks" sheetId="8" r:id="rId8"/>
    <sheet name="Source_Map" sheetId="9" r:id="rId9"/>
  </sheets>
  <calcPr calcId="191029"/>
</workbook>
</file>

<file path=xl/calcChain.xml><?xml version="1.0" encoding="utf-8"?>
<calcChain xmlns="http://schemas.openxmlformats.org/spreadsheetml/2006/main">
  <c r="I11" i="3" l="1"/>
  <c r="H11" i="3"/>
  <c r="G11" i="3"/>
  <c r="F11" i="3"/>
  <c r="E11" i="3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E19" i="4" s="1"/>
  <c r="I6" i="3"/>
  <c r="H6" i="3"/>
  <c r="G6" i="3"/>
  <c r="F6" i="3"/>
  <c r="E6" i="3"/>
  <c r="E18" i="4" s="1"/>
  <c r="I5" i="3"/>
  <c r="H5" i="3"/>
  <c r="G5" i="3"/>
  <c r="F5" i="3"/>
  <c r="E5" i="3"/>
  <c r="E17" i="4" s="1"/>
  <c r="I4" i="3"/>
  <c r="H4" i="3"/>
  <c r="G4" i="3"/>
  <c r="F4" i="3"/>
  <c r="E4" i="3"/>
  <c r="E16" i="4" s="1"/>
  <c r="I3" i="3"/>
  <c r="H3" i="3"/>
  <c r="G3" i="3"/>
  <c r="F3" i="3"/>
  <c r="E3" i="3"/>
  <c r="E15" i="4" s="1"/>
  <c r="F23" i="4"/>
  <c r="E23" i="4"/>
  <c r="C23" i="4"/>
  <c r="B23" i="4"/>
  <c r="A23" i="4"/>
  <c r="F22" i="4"/>
  <c r="E22" i="4"/>
  <c r="C22" i="4"/>
  <c r="B22" i="4"/>
  <c r="A22" i="4"/>
  <c r="F21" i="4"/>
  <c r="E21" i="4"/>
  <c r="C21" i="4"/>
  <c r="B21" i="4"/>
  <c r="A21" i="4"/>
  <c r="F20" i="4"/>
  <c r="E20" i="4"/>
  <c r="C20" i="4"/>
  <c r="B20" i="4"/>
  <c r="A20" i="4"/>
  <c r="F19" i="4"/>
  <c r="C19" i="4"/>
  <c r="B19" i="4"/>
  <c r="A19" i="4"/>
  <c r="J18" i="4"/>
  <c r="F18" i="4"/>
  <c r="C18" i="4"/>
  <c r="B18" i="4"/>
  <c r="A18" i="4"/>
  <c r="J17" i="4"/>
  <c r="F17" i="4"/>
  <c r="C17" i="4"/>
  <c r="B17" i="4"/>
  <c r="A17" i="4"/>
  <c r="J16" i="4"/>
  <c r="F16" i="4"/>
  <c r="C16" i="4"/>
  <c r="B16" i="4"/>
  <c r="A16" i="4"/>
  <c r="J15" i="4"/>
  <c r="F15" i="4"/>
  <c r="C15" i="4"/>
  <c r="B15" i="4"/>
  <c r="A15" i="4"/>
  <c r="J14" i="4"/>
  <c r="B14" i="4"/>
  <c r="A14" i="4"/>
  <c r="C10" i="4"/>
  <c r="J5" i="4"/>
  <c r="G5" i="4"/>
  <c r="D7" i="3" l="1"/>
  <c r="D19" i="4" s="1"/>
  <c r="D5" i="3"/>
  <c r="D17" i="4" s="1"/>
  <c r="D10" i="3"/>
  <c r="D22" i="4" s="1"/>
  <c r="D3" i="3"/>
  <c r="D15" i="4" s="1"/>
  <c r="D8" i="3"/>
  <c r="D20" i="4" s="1"/>
  <c r="D6" i="3"/>
  <c r="D18" i="4" s="1"/>
  <c r="D11" i="3"/>
  <c r="D23" i="4" s="1"/>
  <c r="D4" i="3"/>
  <c r="D16" i="4" s="1"/>
  <c r="D9" i="3"/>
  <c r="D21" i="4" s="1"/>
</calcChain>
</file>

<file path=xl/sharedStrings.xml><?xml version="1.0" encoding="utf-8"?>
<sst xmlns="http://schemas.openxmlformats.org/spreadsheetml/2006/main" count="5205" uniqueCount="1283">
  <si>
    <t>SSOD IMPLEMENTATION CONTROL DASHBOARD — S0 → S9</t>
  </si>
  <si>
    <t>OVERALL PROGRESS</t>
  </si>
  <si>
    <t>TASKS PASS</t>
  </si>
  <si>
    <t>FAIL / BLOCKED</t>
  </si>
  <si>
    <t>S9 AUTHORIZED?</t>
  </si>
  <si>
    <t>CURRENT EXECUTION STATE</t>
  </si>
  <si>
    <t>Current Stage</t>
  </si>
  <si>
    <t>Stage Status</t>
  </si>
  <si>
    <t>Next Gate</t>
  </si>
  <si>
    <t>STAGE STATUS TABLE</t>
  </si>
  <si>
    <t>Stage</t>
  </si>
  <si>
    <t>Name</t>
  </si>
  <si>
    <t>Status</t>
  </si>
  <si>
    <t>Progress</t>
  </si>
  <si>
    <t>PASS</t>
  </si>
  <si>
    <t>Total</t>
  </si>
  <si>
    <t>HARD-GATE MONITOR</t>
  </si>
  <si>
    <t>S7 PASS Tasks</t>
  </si>
  <si>
    <t>S7 Total Tasks</t>
  </si>
  <si>
    <t>S7 FAIL/BLOCKED</t>
  </si>
  <si>
    <t>S8 Status</t>
  </si>
  <si>
    <t>S9 Status</t>
  </si>
  <si>
    <t>Task Status</t>
  </si>
  <si>
    <t>Priority</t>
  </si>
  <si>
    <t>Owner</t>
  </si>
  <si>
    <t>NOT_STARTED</t>
  </si>
  <si>
    <t>NOT_OPEN</t>
  </si>
  <si>
    <t>CRITICAL</t>
  </si>
  <si>
    <t>Researcher</t>
  </si>
  <si>
    <t>IN_PROGRESS</t>
  </si>
  <si>
    <t>HIGH</t>
  </si>
  <si>
    <t>ChatGPT Support</t>
  </si>
  <si>
    <t>CLOSED / PASS</t>
  </si>
  <si>
    <t>MEDIUM</t>
  </si>
  <si>
    <t>Engineer Support</t>
  </si>
  <si>
    <t>FAIL</t>
  </si>
  <si>
    <t>BLOCKED / FAIL</t>
  </si>
  <si>
    <t>LOW</t>
  </si>
  <si>
    <t>Researcher + Support</t>
  </si>
  <si>
    <t>BLOCKED</t>
  </si>
  <si>
    <t>NOT_AUTHORIZED</t>
  </si>
  <si>
    <t>NOT_APPLICABLE</t>
  </si>
  <si>
    <t>Task ID</t>
  </si>
  <si>
    <t>Category</t>
  </si>
  <si>
    <t>Task / Action</t>
  </si>
  <si>
    <t>Requirement / Locked Rule</t>
  </si>
  <si>
    <t>Primary Source</t>
  </si>
  <si>
    <t>Evidence / Artifact Path</t>
  </si>
  <si>
    <t>Expected Result / Gate</t>
  </si>
  <si>
    <t>Start Date</t>
  </si>
  <si>
    <t>Due Date</t>
  </si>
  <si>
    <t>Completed Date</t>
  </si>
  <si>
    <t>Blocker / Dependency</t>
  </si>
  <si>
    <t>Notes</t>
  </si>
  <si>
    <t>S0</t>
  </si>
  <si>
    <t>S0.01</t>
  </si>
  <si>
    <t>Governance</t>
  </si>
  <si>
    <t>Verify canonical filename: sn-article.tex</t>
  </si>
  <si>
    <t>Canonical scientific source filename must be sn-article.tex.</t>
  </si>
  <si>
    <t>sn-article.tex / ARTIFACT_AND_EVIDENCE_CONTRACT.md</t>
  </si>
  <si>
    <t>Repository root</t>
  </si>
  <si>
    <t>Canonical filename present</t>
  </si>
  <si>
    <t>S0.02</t>
  </si>
  <si>
    <t>Verify SHA-256: sn-article.tex</t>
  </si>
  <si>
    <t>Must match locked scientific-source SHA-256.</t>
  </si>
  <si>
    <t>ARTIFACT_AND_EVIDENCE_CONTRACT.md</t>
  </si>
  <si>
    <t>a5f63ff018ee28a37ad2daa3fff337daf6b30faf34d9f12c6ff5c0fa92fe5237</t>
  </si>
  <si>
    <t>Hash MATCH</t>
  </si>
  <si>
    <t>S0.03</t>
  </si>
  <si>
    <t>Verify SHA-256: IMPLEMENTATION_HANDOFF.md</t>
  </si>
  <si>
    <t>Must match locked implementation handoff SHA-256.</t>
  </si>
  <si>
    <t>d70e556d45f4a54a5e0498842b4932deef7991de0d986095ec85e546dcc2d026</t>
  </si>
  <si>
    <t>S0.04</t>
  </si>
  <si>
    <t>Verify SHA-256: ARTIFACT_AND_EVIDENCE_CONTRACT.md</t>
  </si>
  <si>
    <t>Must match locked artifact contract SHA-256.</t>
  </si>
  <si>
    <t>6f59fe4c097173fe0114763762dd191a6f3590caa57b28199b8bcf5100563639</t>
  </si>
  <si>
    <t>S0.05</t>
  </si>
  <si>
    <t>Verify source priority hierarchy</t>
  </si>
  <si>
    <t>sn-article.tex &gt; IMPLEMENTATION_HANDOFF.md &gt; ARTIFACT_AND_EVIDENCE_CONTRACT.md &gt; execution tracker &gt; code/config/runtime.</t>
  </si>
  <si>
    <t>Governance section</t>
  </si>
  <si>
    <t>Priority order confirmed</t>
  </si>
  <si>
    <t>S0.06</t>
  </si>
  <si>
    <t>Git</t>
  </si>
  <si>
    <t>Record current Git branch and HEAD commit</t>
  </si>
  <si>
    <t>Capture branch/commit before implementation baseline.</t>
  </si>
  <si>
    <t>S0.07</t>
  </si>
  <si>
    <t>Create scientific_source_manifest.json</t>
  </si>
  <si>
    <t>Record canonical source name/hash and lock state.</t>
  </si>
  <si>
    <t>artifacts/governance/scientific_source_manifest.json</t>
  </si>
  <si>
    <t>Schema valid + hash correct</t>
  </si>
  <si>
    <t>S0.08</t>
  </si>
  <si>
    <t>Create implementation_contract_manifest.json</t>
  </si>
  <si>
    <t>Record handoff name/hash and source hierarchy.</t>
  </si>
  <si>
    <t>artifacts/governance/implementation_contract_manifest.json</t>
  </si>
  <si>
    <t>S0.09</t>
  </si>
  <si>
    <t>Create artifact_contract_manifest.json</t>
  </si>
  <si>
    <t>Record artifact contract version/schema/hash.</t>
  </si>
  <si>
    <t>artifacts/governance/artifact_contract_manifest.json</t>
  </si>
  <si>
    <t>S0.10</t>
  </si>
  <si>
    <t>Create schema_version.json</t>
  </si>
  <si>
    <t>Record governance/artifact schema versions.</t>
  </si>
  <si>
    <t>artifacts/governance/schema_version.json</t>
  </si>
  <si>
    <t>Schema parse PASS</t>
  </si>
  <si>
    <t>S0.11</t>
  </si>
  <si>
    <t>S0.12</t>
  </si>
  <si>
    <t>Create pre-implementation baseline commit</t>
  </si>
  <si>
    <t>Commit intentional pre-code governance state; no model implementation.</t>
  </si>
  <si>
    <t>Git history</t>
  </si>
  <si>
    <t>Baseline commit created</t>
  </si>
  <si>
    <t>S0.13</t>
  </si>
  <si>
    <t>Create PRE_IMPLEMENTATION_BASELINE tag</t>
  </si>
  <si>
    <t>Tag exact pre-implementation baseline for rollback.</t>
  </si>
  <si>
    <t>Git tag PRE_IMPLEMENTATION_BASELINE</t>
  </si>
  <si>
    <t>Tag resolves to baseline commit</t>
  </si>
  <si>
    <t>S0.14</t>
  </si>
  <si>
    <t>Gate</t>
  </si>
  <si>
    <t>Close S0</t>
  </si>
  <si>
    <t>Only after governance manifests valid and baseline commit/tag exist.</t>
  </si>
  <si>
    <t>S0 = CLOSED / PASS</t>
  </si>
  <si>
    <t>S1</t>
  </si>
  <si>
    <t>S1.01</t>
  </si>
  <si>
    <t>Vast</t>
  </si>
  <si>
    <t>Provision Vast instance</t>
  </si>
  <si>
    <t>Use suitable Vast instance; active training/data must use Vast local/persistent storage.</t>
  </si>
  <si>
    <t>vast_environment.json</t>
  </si>
  <si>
    <t>Instance accessible</t>
  </si>
  <si>
    <t>S1.02</t>
  </si>
  <si>
    <t>Runtime</t>
  </si>
  <si>
    <t>Pull exact locked Docker image digest</t>
  </si>
  <si>
    <t>quachthainguyen/sslxray-runtime@sha256:fab1b1ea8850527e5728de526b3d53f063355e84cb3a0d8c75e3a7890411d989.</t>
  </si>
  <si>
    <t>IMPLEMENTATION_HANDOFF.md</t>
  </si>
  <si>
    <t>docker_image_identity.json</t>
  </si>
  <si>
    <t>Digest MATCH</t>
  </si>
  <si>
    <t>S1.03</t>
  </si>
  <si>
    <t>Capture observed Vast runtime</t>
  </si>
  <si>
    <t>OS/kernel/Python/PyTorch/MMDet/MMCV/MMEngine/CUDA/cuDNN/GPU/driver/Docker digest.</t>
  </si>
  <si>
    <t>Required fields present</t>
  </si>
  <si>
    <t>S1.04</t>
  </si>
  <si>
    <t>Storage</t>
  </si>
  <si>
    <t>Create project/data/artifact paths on Vast</t>
  </si>
  <si>
    <t>Separate active data, artifacts, checkpoints and caches.</t>
  </si>
  <si>
    <t>storage_environment.json</t>
  </si>
  <si>
    <t>Paths writable</t>
  </si>
  <si>
    <t>S1.05</t>
  </si>
  <si>
    <t>Data Ingress</t>
  </si>
  <si>
    <t>Copy 4,894 JPG from Google Drive to Vast</t>
  </si>
  <si>
    <t>Drive is transport/durable source only; no direct training I/O.</t>
  </si>
  <si>
    <t>dataset_transfer_manifest.json</t>
  </si>
  <si>
    <t>Observed JPG count=4894</t>
  </si>
  <si>
    <t>S1.06</t>
  </si>
  <si>
    <t>Data Integrity</t>
  </si>
  <si>
    <t>Verify JPG count / missing / unexpected</t>
  </si>
  <si>
    <t>Expected=4894; missing=0; unexpected=0.</t>
  </si>
  <si>
    <t>dataset_integrity_report.json</t>
  </si>
  <si>
    <t>4894/0/0</t>
  </si>
  <si>
    <t>S1.07</t>
  </si>
  <si>
    <t>Verify fixed split membership</t>
  </si>
  <si>
    <t>Train/val/test=3426/734/734; membership hashes fixed.</t>
  </si>
  <si>
    <t>split_membership_audit.json</t>
  </si>
  <si>
    <t>Counts + hashes MATCH</t>
  </si>
  <si>
    <t>S1.08</t>
  </si>
  <si>
    <t>Verify No Finding counts and zero-GT identity</t>
  </si>
  <si>
    <t>Train/val/test No Finding=350/75/75; not class 15.</t>
  </si>
  <si>
    <t>Counts MATCH</t>
  </si>
  <si>
    <t>S1.09</t>
  </si>
  <si>
    <t>Verify L_b/U_b memberships</t>
  </si>
  <si>
    <t>Budgets 1/5/10/20%; nested; U=T\L; exact sizes.</t>
  </si>
  <si>
    <t>labeled_unlabeled_membership_audit.json</t>
  </si>
  <si>
    <t>All relations MATCH</t>
  </si>
  <si>
    <t>S1.10</t>
  </si>
  <si>
    <t>Verify 1% subset coverage identity</t>
  </si>
  <si>
    <t>34 images; 14/14 classes; dedicated coverage repair moves=0.</t>
  </si>
  <si>
    <t>34 + 14/14</t>
  </si>
  <si>
    <t>S1.11</t>
  </si>
  <si>
    <t>Verify class mapping</t>
  </si>
  <si>
    <t>Exactly 14 detection classes; No Finding not category 15.</t>
  </si>
  <si>
    <t>class_mapping_audit.json</t>
  </si>
  <si>
    <t>14 classes MATCH</t>
  </si>
  <si>
    <t>S1.12</t>
  </si>
  <si>
    <t>Verify training path is Vast local/persistent</t>
  </si>
  <si>
    <t>DataLoader must not resolve direct Google Drive paths.</t>
  </si>
  <si>
    <t>dataset_loader_manifest.json</t>
  </si>
  <si>
    <t>direct_google_drive_io_for_training=false</t>
  </si>
  <si>
    <t>S1.13</t>
  </si>
  <si>
    <t>Backup</t>
  </si>
  <si>
    <t>Configure Vast → Google Drive durable backup</t>
  </si>
  <si>
    <t>Sync scientific artifacts/checkpoints to durable storage.</t>
  </si>
  <si>
    <t>Backup path writable</t>
  </si>
  <si>
    <t>S1.14</t>
  </si>
  <si>
    <t>Implement checksum verification for backup</t>
  </si>
  <si>
    <t>Copy success alone is insufficient; verify hashes.</t>
  </si>
  <si>
    <t>backup_sync_manifest.json</t>
  </si>
  <si>
    <t>verification_status=PASS</t>
  </si>
  <si>
    <t>S1.15</t>
  </si>
  <si>
    <t>Recovery</t>
  </si>
  <si>
    <t>Test restore foundation</t>
  </si>
  <si>
    <t>Rehydrate artifacts/checkpoint into clean path and verify hashes.</t>
  </si>
  <si>
    <t>storage_restore_test.json</t>
  </si>
  <si>
    <t>S1.16</t>
  </si>
  <si>
    <t>Close S1</t>
  </si>
  <si>
    <t>Runtime, data membership and backup/recovery verified.</t>
  </si>
  <si>
    <t>S1 closure record</t>
  </si>
  <si>
    <t>S1=CLOSED / PASS</t>
  </si>
  <si>
    <t>S2</t>
  </si>
  <si>
    <t>S2.01</t>
  </si>
  <si>
    <t>Dataset</t>
  </si>
  <si>
    <t>Implement COCO dataset loading</t>
  </si>
  <si>
    <t>Use fixed JSON memberships; no rebuild.</t>
  </si>
  <si>
    <t>dataset/DataLoader config</t>
  </si>
  <si>
    <t>Samples resolve</t>
  </si>
  <si>
    <t>S2.02</t>
  </si>
  <si>
    <t>Implement grayscale → 3 identical channels</t>
  </si>
  <si>
    <t>R=G=B.</t>
  </si>
  <si>
    <t>sample evidence</t>
  </si>
  <si>
    <t>Channels identical</t>
  </si>
  <si>
    <t>S2.03</t>
  </si>
  <si>
    <t>Implement Resize(1333,800), keep_ratio=True</t>
  </si>
  <si>
    <t>Preserve geometry.</t>
  </si>
  <si>
    <t>MATCH</t>
  </si>
  <si>
    <t>S2.04</t>
  </si>
  <si>
    <t>Implement pad_size_divisor=32</t>
  </si>
  <si>
    <t>Required preprocessing.</t>
  </si>
  <si>
    <t>S2.05</t>
  </si>
  <si>
    <t>Keep zero-GT No Finding samples</t>
  </si>
  <si>
    <t>Do not filter empty GT.</t>
  </si>
  <si>
    <t>zero_gt_test.json</t>
  </si>
  <si>
    <t>S2.06</t>
  </si>
  <si>
    <t>Seed</t>
  </si>
  <si>
    <t>Propagate training_seed to Python/NumPy/Torch CPU/CUDA</t>
  </si>
  <si>
    <t>Observed/derived RNG behavior logged.</t>
  </si>
  <si>
    <t>seed_propagation_audit.json</t>
  </si>
  <si>
    <t>S2.07</t>
  </si>
  <si>
    <t>Implement DataLoader worker seeding</t>
  </si>
  <si>
    <t>Record strategy and examples.</t>
  </si>
  <si>
    <t>dataloader_worker_seed_audit.json</t>
  </si>
  <si>
    <t>S2.08</t>
  </si>
  <si>
    <t>Implement sampler seeding</t>
  </si>
  <si>
    <t>Controlled by training_seed.</t>
  </si>
  <si>
    <t>S2.09</t>
  </si>
  <si>
    <t>Prove training_seed does not change membership</t>
  </si>
  <si>
    <t>Same train/val/test and L/U hashes across seeds.</t>
  </si>
  <si>
    <t>training_seed_invariance_audit.json</t>
  </si>
  <si>
    <t>S2.10</t>
  </si>
  <si>
    <t>Training Infra</t>
  </si>
  <si>
    <t>Implement actual optimizer-update counter</t>
  </si>
  <si>
    <t>Count real optimizer steps, not raw iterations.</t>
  </si>
  <si>
    <t>preflight logs</t>
  </si>
  <si>
    <t>S2.11</t>
  </si>
  <si>
    <t>Logging</t>
  </si>
  <si>
    <t>Implement run_manifest.json</t>
  </si>
  <si>
    <t>Capture source/config/data/seed/runtime identity.</t>
  </si>
  <si>
    <t>run_manifest.json</t>
  </si>
  <si>
    <t>Schema PASS</t>
  </si>
  <si>
    <t>S2.12</t>
  </si>
  <si>
    <t>Implement train.jsonl/runtime_events.jsonl</t>
  </si>
  <si>
    <t>Event evidence incl AMP skip.</t>
  </si>
  <si>
    <t>sample logs</t>
  </si>
  <si>
    <t>S2.13</t>
  </si>
  <si>
    <t>Checkpoint</t>
  </si>
  <si>
    <t>Implement checkpoint/resume foundation</t>
  </si>
  <si>
    <t>Restore model/optimizer/scheduler/scaler/update/RNG states as supported.</t>
  </si>
  <si>
    <t>resume test</t>
  </si>
  <si>
    <t>S2.14</t>
  </si>
  <si>
    <t>Guardrail</t>
  </si>
  <si>
    <t>Implement fail-fast source/config/data/seed checks</t>
  </si>
  <si>
    <t>Block mismatch before training.</t>
  </si>
  <si>
    <t>guardrail tests</t>
  </si>
  <si>
    <t>S2.15</t>
  </si>
  <si>
    <t>Firewall</t>
  </si>
  <si>
    <t>Implement hidden-U isolation foundation</t>
  </si>
  <si>
    <t>Unlabeled object must not expose hidden annotations.</t>
  </si>
  <si>
    <t>hidden_u_gt_firewall_report.json</t>
  </si>
  <si>
    <t>S2.16</t>
  </si>
  <si>
    <t>Close S2</t>
  </si>
  <si>
    <t>Shared infra tests and seed/data/firewall behavior verified.</t>
  </si>
  <si>
    <t>S2 closure record</t>
  </si>
  <si>
    <t>S2=CLOSED / PASS</t>
  </si>
  <si>
    <t>S3</t>
  </si>
  <si>
    <t>S3.01</t>
  </si>
  <si>
    <t>R50 SUP</t>
  </si>
  <si>
    <t>Implement Faster R-CNN R50-FPN SUP path</t>
  </si>
  <si>
    <t>ImageNet-1K backbone pretraining; no COCO detector init.</t>
  </si>
  <si>
    <t>sn-article.tex / IMPLEMENTATION_HANDOFF.md</t>
  </si>
  <si>
    <t>sup_r50_preflight.json</t>
  </si>
  <si>
    <t>S3.02</t>
  </si>
  <si>
    <t>Swin SUP</t>
  </si>
  <si>
    <t>Implement Faster R-CNN Swin-T-FPN SUP path</t>
  </si>
  <si>
    <t>ImageNet-1K backbone; native no-decay rules retained.</t>
  </si>
  <si>
    <t>sup_swin_preflight.json</t>
  </si>
  <si>
    <t>S3.03</t>
  </si>
  <si>
    <t>Optimizer</t>
  </si>
  <si>
    <t>R50 SGD recipe</t>
  </si>
  <si>
    <t>lr=.005, momentum=.9, wd=.0001.</t>
  </si>
  <si>
    <t>resolved config</t>
  </si>
  <si>
    <t>S3.04</t>
  </si>
  <si>
    <t>Swin AdamW recipe</t>
  </si>
  <si>
    <t>lr=.000025, betas=(.9,.999), wd=.05.</t>
  </si>
  <si>
    <t>S3.05</t>
  </si>
  <si>
    <t>Numerics</t>
  </si>
  <si>
    <t>Enable AMP / disable grad clipping</t>
  </si>
  <si>
    <t>AMP ON; gradient clipping OFF.</t>
  </si>
  <si>
    <t>S3.06</t>
  </si>
  <si>
    <t>Augmentation</t>
  </si>
  <si>
    <t>Lock SUP pipeline Load→Resize→Pack</t>
  </si>
  <si>
    <t>No flip/crop/rotation/mosaic/aggressive photometric.</t>
  </si>
  <si>
    <t>supervised_augmentation_manifest.json</t>
  </si>
  <si>
    <t>S3.07</t>
  </si>
  <si>
    <t>Batch</t>
  </si>
  <si>
    <t>Effective labeled batch = 4</t>
  </si>
  <si>
    <t>Microbatch/accumulation only to reach B_L_eff=4.</t>
  </si>
  <si>
    <t>training summary</t>
  </si>
  <si>
    <t>S3.08</t>
  </si>
  <si>
    <t>Scheduler</t>
  </si>
  <si>
    <t>Test 1% path = 1032 updates</t>
  </si>
  <si>
    <t>Proportional scheduler structure.</t>
  </si>
  <si>
    <t>schedule_1pct_preflight.json</t>
  </si>
  <si>
    <t>S3.09</t>
  </si>
  <si>
    <t>Test standard path = 2064 updates</t>
  </si>
  <si>
    <t>5/10/20% path.</t>
  </si>
  <si>
    <t>schedule_2064_preflight.json</t>
  </si>
  <si>
    <t>S3.10</t>
  </si>
  <si>
    <t>Test 100%-SUP path = 10284 updates</t>
  </si>
  <si>
    <t>Explicit evidence required.</t>
  </si>
  <si>
    <t>schedule_100pct_10284_preflight.json</t>
  </si>
  <si>
    <t>S3.11</t>
  </si>
  <si>
    <t>Validation</t>
  </si>
  <si>
    <t>Validation every 172 actual updates</t>
  </si>
  <si>
    <t>Not raw iterations.</t>
  </si>
  <si>
    <t>validation history</t>
  </si>
  <si>
    <t>S3.12</t>
  </si>
  <si>
    <t>Verify SUP BEST/LAST logic</t>
  </si>
  <si>
    <t>BEST=argmax val bbox mAP@[.50:.95]; retain BEST+LAST.</t>
  </si>
  <si>
    <t>checkpoint evidence</t>
  </si>
  <si>
    <t>S3.13</t>
  </si>
  <si>
    <t>Resume</t>
  </si>
  <si>
    <t>Verify SUP resume if enabled</t>
  </si>
  <si>
    <t>Same seed and trajectory state.</t>
  </si>
  <si>
    <t>resume_equivalence_test.json</t>
  </si>
  <si>
    <t>S3.14</t>
  </si>
  <si>
    <t>Close S3</t>
  </si>
  <si>
    <t>All SUP official paths verified.</t>
  </si>
  <si>
    <t>S3 closure record</t>
  </si>
  <si>
    <t>S3=CLOSED / PASS</t>
  </si>
  <si>
    <t>S4</t>
  </si>
  <si>
    <t>S4.01</t>
  </si>
  <si>
    <t>Model</t>
  </si>
  <si>
    <t>Implement Student + EMA Teacher</t>
  </si>
  <si>
    <t>Teacher(t0)=Student(t0); no burn-in.</t>
  </si>
  <si>
    <t>teacher_initialization_test.json</t>
  </si>
  <si>
    <t>S4.02</t>
  </si>
  <si>
    <t>EMA</t>
  </si>
  <si>
    <t>Implement MeanTeacherHook momentum=.001</t>
  </si>
  <si>
    <t>Teacher=.999 old + .001 Student.</t>
  </si>
  <si>
    <t>ema_timing_test.json</t>
  </si>
  <si>
    <t>S4.03</t>
  </si>
  <si>
    <t>skip_buffers=True</t>
  </si>
  <si>
    <t>Frozen behavior.</t>
  </si>
  <si>
    <t>resolved SSL config</t>
  </si>
  <si>
    <t>S4.04</t>
  </si>
  <si>
    <t>Update Teacher only after actual optimizer update</t>
  </si>
  <si>
    <t>No EMA on microbatch.</t>
  </si>
  <si>
    <t>S4.05</t>
  </si>
  <si>
    <t>AMP</t>
  </si>
  <si>
    <t>AMP skipped step → EMA skip</t>
  </si>
  <si>
    <t>Explicit test.</t>
  </si>
  <si>
    <t>amp_ema_skip_test.json</t>
  </si>
  <si>
    <t>S4.06</t>
  </si>
  <si>
    <t>Unlabeled weak</t>
  </si>
  <si>
    <t>Weak view → Teacher</t>
  </si>
  <si>
    <t>Resize + standard preprocessing + padding; no extra augmentation.</t>
  </si>
  <si>
    <t>ssl_augmentation_manifest.json</t>
  </si>
  <si>
    <t>S4.07</t>
  </si>
  <si>
    <t>Unlabeled strong</t>
  </si>
  <si>
    <t>Strong view → Student</t>
  </si>
  <si>
    <t>brightness/contrast U(.90,1.10), grayscale R=G=B.</t>
  </si>
  <si>
    <t>S4.08</t>
  </si>
  <si>
    <t>Geometry</t>
  </si>
  <si>
    <t>Verify image–pseudo-box alignment</t>
  </si>
  <si>
    <t>No coordinate mismatch.</t>
  </si>
  <si>
    <t>pseudo_bbox_alignment_report.json</t>
  </si>
  <si>
    <t>S4.09</t>
  </si>
  <si>
    <t>Pseudo</t>
  </si>
  <si>
    <t>Lock pseudo thresholds</t>
  </si>
  <si>
    <t>floor=.05, initial=.50, RPN=.90, RCNN cls=.90.</t>
  </si>
  <si>
    <t>S4.10</t>
  </si>
  <si>
    <t>Lock NMS/max</t>
  </si>
  <si>
    <t>RPN .70/max1000; RCNN .50/max100.</t>
  </si>
  <si>
    <t>S4.11</t>
  </si>
  <si>
    <t>Regression</t>
  </si>
  <si>
    <t>Regression reliability filtering</t>
  </si>
  <si>
    <t>jitter=10, scale=.06, uncertainty&lt;.02, min wh=.01/.01; no cls&gt;.90 requirement.</t>
  </si>
  <si>
    <t>S4.12</t>
  </si>
  <si>
    <t>Loss</t>
  </si>
  <si>
    <t>L_total=L_sup+4*L_unsup</t>
  </si>
  <si>
    <t>No ramp-up/burn-in.</t>
  </si>
  <si>
    <t>S4.13</t>
  </si>
  <si>
    <t>L:U=1:1; B_L_eff=4; B_U_eff=4</t>
  </si>
  <si>
    <t>Paired labeled exposure must match SUP.</t>
  </si>
  <si>
    <t>S4.14</t>
  </si>
  <si>
    <t>Empty pseudo</t>
  </si>
  <si>
    <t>Handle empty pseudo batch</t>
  </si>
  <si>
    <t>No crash/fake supervision.</t>
  </si>
  <si>
    <t>empty_pseudo_batch_test.json</t>
  </si>
  <si>
    <t>S4.15</t>
  </si>
  <si>
    <t>Zero-GT</t>
  </si>
  <si>
    <t>Verify SSL zero-GT handling</t>
  </si>
  <si>
    <t>No Finding negatives valid.</t>
  </si>
  <si>
    <t>S4.16</t>
  </si>
  <si>
    <t>Verify hidden-U GT firewall</t>
  </si>
  <si>
    <t>No hidden U GT in development/Q_pseudo.</t>
  </si>
  <si>
    <t>S4.17</t>
  </si>
  <si>
    <t>Restore Student+Teacher without resync</t>
  </si>
  <si>
    <t>Restore optimizer/scheduler/scaler/update state.</t>
  </si>
  <si>
    <t>S4.18</t>
  </si>
  <si>
    <t>Architecture</t>
  </si>
  <si>
    <t>Preflight SSL R50</t>
  </si>
  <si>
    <t>Official path verified.</t>
  </si>
  <si>
    <t>ssl_r50_preflight.json</t>
  </si>
  <si>
    <t>S4.19</t>
  </si>
  <si>
    <t>Preflight SSL Swin-T</t>
  </si>
  <si>
    <t>ssl_swin_preflight.json</t>
  </si>
  <si>
    <t>S4.20</t>
  </si>
  <si>
    <t>Close S4</t>
  </si>
  <si>
    <t>All SSL paths + EMA/AMP/geometry/firewall verified.</t>
  </si>
  <si>
    <t>S4 closure record</t>
  </si>
  <si>
    <t>S4=CLOSED / PASS</t>
  </si>
  <si>
    <t>S5</t>
  </si>
  <si>
    <t>S5.01</t>
  </si>
  <si>
    <t>COCO</t>
  </si>
  <si>
    <t>Implement bbox mAP@[.50:.95]</t>
  </si>
  <si>
    <t>IoU .50:.05:.95; useCats=1; maxDets=100; no fixed score threshold before AP.</t>
  </si>
  <si>
    <t>coco_evaluator_golden_test.json</t>
  </si>
  <si>
    <t>S5.02</t>
  </si>
  <si>
    <t>Implement AP50/AP75/class-wise AP/AR</t>
  </si>
  <si>
    <t>AR@[.50:.95], maxDets=100.</t>
  </si>
  <si>
    <t>S5.03</t>
  </si>
  <si>
    <t>Operating</t>
  </si>
  <si>
    <t>Implement Recall@tau_eval=.50</t>
  </si>
  <si>
    <t>Category-aware one-to-one; IoU&gt;=.50; native NMS/max100.</t>
  </si>
  <si>
    <t>operating_point_golden_test.json</t>
  </si>
  <si>
    <t>S5.04</t>
  </si>
  <si>
    <t>Implement FP/image</t>
  </si>
  <si>
    <t>Same operating point.</t>
  </si>
  <si>
    <t>S5.05</t>
  </si>
  <si>
    <t>Negative</t>
  </si>
  <si>
    <t>Implement FP/negative + FAR</t>
  </si>
  <si>
    <t>All detections on zero-GT are FP.</t>
  </si>
  <si>
    <t>S5.06</t>
  </si>
  <si>
    <t>Q_pseudo</t>
  </si>
  <si>
    <t>Implement PL-mAP@[.50:.95]</t>
  </si>
  <si>
    <t>LAST EMA Teacher; fixed validation; accepted RCNN classification pseudo labels.</t>
  </si>
  <si>
    <t>qpseudo_path_golden_test.json</t>
  </si>
  <si>
    <t>S5.07</t>
  </si>
  <si>
    <t>Block BEST Teacher for Q_pseudo</t>
  </si>
  <si>
    <t>BEST is official detection model only.</t>
  </si>
  <si>
    <t>S5.08</t>
  </si>
  <si>
    <t>Verify no hidden-U/test GT in Q_pseudo</t>
  </si>
  <si>
    <t>Validation only.</t>
  </si>
  <si>
    <t>S5.09</t>
  </si>
  <si>
    <t>Test Firewall</t>
  </si>
  <si>
    <t>Keep test closed</t>
  </si>
  <si>
    <t>No checkpoint/model/tuning/ablation selection using test.</t>
  </si>
  <si>
    <t>test_firewall_preflight.json</t>
  </si>
  <si>
    <t>S5.10</t>
  </si>
  <si>
    <t>Close S5</t>
  </si>
  <si>
    <t>Evaluator golden tests PASS.</t>
  </si>
  <si>
    <t>S5 closure record</t>
  </si>
  <si>
    <t>S5=CLOSED / PASS</t>
  </si>
  <si>
    <t>S6</t>
  </si>
  <si>
    <t>S6.01</t>
  </si>
  <si>
    <t>Stats</t>
  </si>
  <si>
    <t>Implement mean/SD ddof=1</t>
  </si>
  <si>
    <t>Seed/run is inferential unit.</t>
  </si>
  <si>
    <t>statistical_fixture_report.json</t>
  </si>
  <si>
    <t>S6.02</t>
  </si>
  <si>
    <t>RQ2</t>
  </si>
  <si>
    <t>Implement one-sample t, alternative=greater</t>
  </si>
  <si>
    <t>G_s, n=10, df=9, two-sided 95% CI.</t>
  </si>
  <si>
    <t>S6.03</t>
  </si>
  <si>
    <t>RQ3</t>
  </si>
  <si>
    <t>Implement repeated-measures ANOVA + GG ALWAYS</t>
  </si>
  <si>
    <t>Mauchly diagnostic only.</t>
  </si>
  <si>
    <t>S6.04</t>
  </si>
  <si>
    <t>Implement six prespecified contrasts</t>
  </si>
  <si>
    <t>5-1,10-1,20-1,10-5,20-5,20-10.</t>
  </si>
  <si>
    <t>S6.05</t>
  </si>
  <si>
    <t>RQ4</t>
  </si>
  <si>
    <t>Implement mixed model</t>
  </si>
  <si>
    <t>Y~X+cell+(1|seed), REML, Kenward–Roger.</t>
  </si>
  <si>
    <t>S6.06</t>
  </si>
  <si>
    <t>RQ5</t>
  </si>
  <si>
    <t>Implement rare-class summaries</t>
  </si>
  <si>
    <t>Atelectasis/Pneumothorax; NA not 0.</t>
  </si>
  <si>
    <t>S6.07</t>
  </si>
  <si>
    <t>RQ6</t>
  </si>
  <si>
    <t>Implement two-sided t test</t>
  </si>
  <si>
    <t>H_s on ΔFP/negative.</t>
  </si>
  <si>
    <t>S6.08</t>
  </si>
  <si>
    <t>RQ7</t>
  </si>
  <si>
    <t>Implement two-sided architecture effect</t>
  </si>
  <si>
    <t>D_s=A_Swin-A_R50.</t>
  </si>
  <si>
    <t>S6.09</t>
  </si>
  <si>
    <t>Multiplicity</t>
  </si>
  <si>
    <t>Implement Holm F2 m=4</t>
  </si>
  <si>
    <t>RQ3/RQ4/RQ6/RQ7.</t>
  </si>
  <si>
    <t>multiplicity_fixture_report.json</t>
  </si>
  <si>
    <t>S6.10</t>
  </si>
  <si>
    <t>Implement Holm F3 m=6</t>
  </si>
  <si>
    <t>Six RQ3 contrasts.</t>
  </si>
  <si>
    <t>S6.11</t>
  </si>
  <si>
    <t>Robustness</t>
  </si>
  <si>
    <t>Implement exact sign-flip 2^10</t>
  </si>
  <si>
    <t>RQ2 one-sided; RQ6/RQ7 two-sided.</t>
  </si>
  <si>
    <t>S6.12</t>
  </si>
  <si>
    <t>Implement exactly 10 LOSO</t>
  </si>
  <si>
    <t>Never exclude seed.</t>
  </si>
  <si>
    <t>S6.13</t>
  </si>
  <si>
    <t>Sensitivity</t>
  </si>
  <si>
    <t>Implement Friedman RQ3</t>
  </si>
  <si>
    <t>Sensitivity only.</t>
  </si>
  <si>
    <t>S6.14</t>
  </si>
  <si>
    <t>Implement CR2/Satterthwaite RQ4</t>
  </si>
  <si>
    <t>Cluster training_seed.</t>
  </si>
  <si>
    <t>S6.15</t>
  </si>
  <si>
    <t>Provenance</t>
  </si>
  <si>
    <t>Capture statistics environment + script hashes</t>
  </si>
  <si>
    <t>Package/runtime/script identity.</t>
  </si>
  <si>
    <t>statistical_implementation_manifest.json</t>
  </si>
  <si>
    <t>S6.16</t>
  </si>
  <si>
    <t>Close S6</t>
  </si>
  <si>
    <t>All statistical fixtures PASS.</t>
  </si>
  <si>
    <t>S6 closure record</t>
  </si>
  <si>
    <t>S6=CLOSED / PASS</t>
  </si>
  <si>
    <t>S7</t>
  </si>
  <si>
    <t>S7.01</t>
  </si>
  <si>
    <t>Closure</t>
  </si>
  <si>
    <t>PF01 — Data / membership / seed</t>
  </si>
  <si>
    <t>Must PASS with direct evidence; no assumed/not-tested path.</t>
  </si>
  <si>
    <t>IMPLEMENTATION_HANDOFF.md / ARTIFACT_AND_EVIDENCE_CONTRACT.md</t>
  </si>
  <si>
    <t>GLOBAL_PREFLIGHT_REPORT.json#PF01</t>
  </si>
  <si>
    <t>S7.02</t>
  </si>
  <si>
    <t>PF02 — DataLoader / sampler / workers</t>
  </si>
  <si>
    <t>GLOBAL_PREFLIGHT_REPORT.json#PF02</t>
  </si>
  <si>
    <t>S7.03</t>
  </si>
  <si>
    <t>PF03 — SUP R50</t>
  </si>
  <si>
    <t>GLOBAL_PREFLIGHT_REPORT.json#PF03</t>
  </si>
  <si>
    <t>S7.04</t>
  </si>
  <si>
    <t>PF04 — SUP Swin-T</t>
  </si>
  <si>
    <t>GLOBAL_PREFLIGHT_REPORT.json#PF04</t>
  </si>
  <si>
    <t>S7.05</t>
  </si>
  <si>
    <t>PF05 — SSL R50</t>
  </si>
  <si>
    <t>GLOBAL_PREFLIGHT_REPORT.json#PF05</t>
  </si>
  <si>
    <t>S7.06</t>
  </si>
  <si>
    <t>PF06 — SSL Swin-T</t>
  </si>
  <si>
    <t>GLOBAL_PREFLIGHT_REPORT.json#PF06</t>
  </si>
  <si>
    <t>S7.07</t>
  </si>
  <si>
    <t>PF07 — 1% scheduler</t>
  </si>
  <si>
    <t>GLOBAL_PREFLIGHT_REPORT.json#PF07</t>
  </si>
  <si>
    <t>S7.08</t>
  </si>
  <si>
    <t>PF08 — 2064 scheduler + 100%-SUP evidence</t>
  </si>
  <si>
    <t>GLOBAL_PREFLIGHT_REPORT.json#PF08</t>
  </si>
  <si>
    <t>S7.09</t>
  </si>
  <si>
    <t>PF09 — GT geometry</t>
  </si>
  <si>
    <t>GLOBAL_PREFLIGHT_REPORT.json#PF09</t>
  </si>
  <si>
    <t>S7.10</t>
  </si>
  <si>
    <t>PF10 — pseudo geometry</t>
  </si>
  <si>
    <t>GLOBAL_PREFLIGHT_REPORT.json#PF10</t>
  </si>
  <si>
    <t>S7.11</t>
  </si>
  <si>
    <t>PF11 — Teacher initialization</t>
  </si>
  <si>
    <t>GLOBAL_PREFLIGHT_REPORT.json#PF11</t>
  </si>
  <si>
    <t>S7.12</t>
  </si>
  <si>
    <t>PF12 — EMA timing</t>
  </si>
  <si>
    <t>GLOBAL_PREFLIGHT_REPORT.json#PF12</t>
  </si>
  <si>
    <t>S7.13</t>
  </si>
  <si>
    <t>PF13 — AMP skip → EMA skip</t>
  </si>
  <si>
    <t>GLOBAL_PREFLIGHT_REPORT.json#PF13</t>
  </si>
  <si>
    <t>S7.14</t>
  </si>
  <si>
    <t>PF14 — empty pseudo</t>
  </si>
  <si>
    <t>GLOBAL_PREFLIGHT_REPORT.json#PF14</t>
  </si>
  <si>
    <t>S7.15</t>
  </si>
  <si>
    <t>PF15 — zero-GT</t>
  </si>
  <si>
    <t>GLOBAL_PREFLIGHT_REPORT.json#PF15</t>
  </si>
  <si>
    <t>S7.16</t>
  </si>
  <si>
    <t>PF16 — hidden-U firewall</t>
  </si>
  <si>
    <t>GLOBAL_PREFLIGHT_REPORT.json#PF16</t>
  </si>
  <si>
    <t>S7.17</t>
  </si>
  <si>
    <t>PF17 — BEST/LAST</t>
  </si>
  <si>
    <t>GLOBAL_PREFLIGHT_REPORT.json#PF17</t>
  </si>
  <si>
    <t>S7.18</t>
  </si>
  <si>
    <t>PF18 — Q_pseudo path</t>
  </si>
  <si>
    <t>GLOBAL_PREFLIGHT_REPORT.json#PF18</t>
  </si>
  <si>
    <t>S7.19</t>
  </si>
  <si>
    <t>PF19 — COCO evaluator</t>
  </si>
  <si>
    <t>GLOBAL_PREFLIGHT_REPORT.json#PF19</t>
  </si>
  <si>
    <t>S7.20</t>
  </si>
  <si>
    <t>PF20 — operating-point metrics</t>
  </si>
  <si>
    <t>GLOBAL_PREFLIGHT_REPORT.json#PF20</t>
  </si>
  <si>
    <t>S7.21</t>
  </si>
  <si>
    <t>PF21 — resume path if enabled</t>
  </si>
  <si>
    <t>GLOBAL_PREFLIGHT_REPORT.json#PF21</t>
  </si>
  <si>
    <t>S7.22</t>
  </si>
  <si>
    <t>PF22 — manifest/seed/provenance</t>
  </si>
  <si>
    <t>GLOBAL_PREFLIGHT_REPORT.json#PF22</t>
  </si>
  <si>
    <t>S7.23</t>
  </si>
  <si>
    <t>PF23 — pilot-official isolation + test firewall</t>
  </si>
  <si>
    <t>GLOBAL_PREFLIGHT_REPORT.json#PF23</t>
  </si>
  <si>
    <t>S7.24</t>
  </si>
  <si>
    <t>PF24 — frozen/hashable configs + pairing diff</t>
  </si>
  <si>
    <t>GLOBAL_PREFLIGHT_REPORT.json#PF24</t>
  </si>
  <si>
    <t>S7.25</t>
  </si>
  <si>
    <t>PF25 — no unresolved protocol warning</t>
  </si>
  <si>
    <t>GLOBAL_PREFLIGHT_REPORT.json#PF25</t>
  </si>
  <si>
    <t>S7.26</t>
  </si>
  <si>
    <t>Generate GLOBAL_PREFLIGHT_REPORT.json</t>
  </si>
  <si>
    <t>All closure groups PASS.</t>
  </si>
  <si>
    <t>GLOBAL_PREFLIGHT_REPORT.json</t>
  </si>
  <si>
    <t>status=PASS</t>
  </si>
  <si>
    <t>S7.27</t>
  </si>
  <si>
    <t>Close S7</t>
  </si>
  <si>
    <t>No untested official path remains.</t>
  </si>
  <si>
    <t>S7 closure record</t>
  </si>
  <si>
    <t>S7=CLOSED / PASS</t>
  </si>
  <si>
    <t>S8</t>
  </si>
  <si>
    <t>S8.01</t>
  </si>
  <si>
    <t>Freeze</t>
  </si>
  <si>
    <t>Freeze Git commit</t>
  </si>
  <si>
    <t>Audited implementation commit immutable reference.</t>
  </si>
  <si>
    <t>frozen_source_manifest.json</t>
  </si>
  <si>
    <t>S8.02</t>
  </si>
  <si>
    <t>Freeze Docker image + digest</t>
  </si>
  <si>
    <t>Exact image identity captured.</t>
  </si>
  <si>
    <t>frozen_environment.json</t>
  </si>
  <si>
    <t>S8.03</t>
  </si>
  <si>
    <t>Freeze source/contract hashes</t>
  </si>
  <si>
    <t>Canonical hierarchy recorded.</t>
  </si>
  <si>
    <t>S8.04</t>
  </si>
  <si>
    <t>Freeze data membership hashes</t>
  </si>
  <si>
    <t>Train/val/test/L/U locked.</t>
  </si>
  <si>
    <t>frozen_data_manifest.json</t>
  </si>
  <si>
    <t>S8.05</t>
  </si>
  <si>
    <t>Freeze experiment configuration</t>
  </si>
  <si>
    <t>FROZEN_EXPERIMENTAL_CONFIGURATION.yaml.</t>
  </si>
  <si>
    <t>FROZEN_EXPERIMENTAL_CONFIGURATION.yaml</t>
  </si>
  <si>
    <t>S8.06</t>
  </si>
  <si>
    <t>Freeze evaluator</t>
  </si>
  <si>
    <t>COCO/operating/Q_pseudo hashes.</t>
  </si>
  <si>
    <t>frozen_evaluator_manifest.json</t>
  </si>
  <si>
    <t>S8.07</t>
  </si>
  <si>
    <t>Freeze statistics</t>
  </si>
  <si>
    <t>Runtime/packages/scripts/hashes.</t>
  </si>
  <si>
    <t>frozen_statistics_manifest.json</t>
  </si>
  <si>
    <t>S8.08</t>
  </si>
  <si>
    <t>Create TEST_FIREWALL_STATE.json</t>
  </si>
  <si>
    <t>test_access_authorized=false before final-test gate.</t>
  </si>
  <si>
    <t>TEST_FIREWALL_STATE.json</t>
  </si>
  <si>
    <t>S8.09</t>
  </si>
  <si>
    <t>Authorization</t>
  </si>
  <si>
    <t>Researcher review S7 evidence</t>
  </si>
  <si>
    <t>No unresolved warning.</t>
  </si>
  <si>
    <t>review record</t>
  </si>
  <si>
    <t>APPROVED</t>
  </si>
  <si>
    <t>S8.10</t>
  </si>
  <si>
    <t>Create FREEZE_AUTHORIZATION.json</t>
  </si>
  <si>
    <t>Researcher authorization before S9.</t>
  </si>
  <si>
    <t>FREEZE_AUTHORIZATION.json</t>
  </si>
  <si>
    <t>YES</t>
  </si>
  <si>
    <t>S8.11</t>
  </si>
  <si>
    <t>Close S8</t>
  </si>
  <si>
    <t>Frozen manifests valid + authorization YES.</t>
  </si>
  <si>
    <t>S8 closure record</t>
  </si>
  <si>
    <t>S8=CLOSED / PASS</t>
  </si>
  <si>
    <t>S9</t>
  </si>
  <si>
    <t>S9.01</t>
  </si>
  <si>
    <t>Matrix</t>
  </si>
  <si>
    <t>Prepare official run inventory</t>
  </si>
  <si>
    <t>80 SUP low-label +20 SUP100 +80 SSL =180.</t>
  </si>
  <si>
    <t>official_run_inventory.csv</t>
  </si>
  <si>
    <t>180 expected</t>
  </si>
  <si>
    <t>S9.02</t>
  </si>
  <si>
    <t>Enable pre_run_assertions</t>
  </si>
  <si>
    <t>Verify source/config/data/seed/arch/method/budget/evaluator/firewall before launch.</t>
  </si>
  <si>
    <t>pre_run_assertions.json</t>
  </si>
  <si>
    <t>S9.03</t>
  </si>
  <si>
    <t>SUP</t>
  </si>
  <si>
    <t>Execute 80 low-label SUP runs</t>
  </si>
  <si>
    <t>2 arch ×4 budgets ×10 seeds.</t>
  </si>
  <si>
    <t>official_training_summary.csv</t>
  </si>
  <si>
    <t>80/80</t>
  </si>
  <si>
    <t>S9.04</t>
  </si>
  <si>
    <t>SUP Reference</t>
  </si>
  <si>
    <t>Execute 20 100%-SUP runs</t>
  </si>
  <si>
    <t>2 arch ×10 seeds.</t>
  </si>
  <si>
    <t>20/20</t>
  </si>
  <si>
    <t>S9.05</t>
  </si>
  <si>
    <t>SSL</t>
  </si>
  <si>
    <t>Execute 80 low-label SSL runs</t>
  </si>
  <si>
    <t>Paired seed/L_b/update exposure; EMA Teacher official model.</t>
  </si>
  <si>
    <t>S9.06</t>
  </si>
  <si>
    <t>Retry</t>
  </si>
  <si>
    <t>Technical retry uses same exact seed</t>
  </si>
  <si>
    <t>Never retry valid poor result for performance.</t>
  </si>
  <si>
    <t>retry_deviation.json</t>
  </si>
  <si>
    <t>Same seed</t>
  </si>
  <si>
    <t>S9.07</t>
  </si>
  <si>
    <t>Continuously sync logs/checkpoints</t>
  </si>
  <si>
    <t>Vast active; Drive durable backup; verify checksum.</t>
  </si>
  <si>
    <t>S9.08</t>
  </si>
  <si>
    <t>Retain scientific checkpoints</t>
  </si>
  <si>
    <t>SUP BEST/LAST; SSL BEST/LAST EMA Teacher.</t>
  </si>
  <si>
    <t>checkpoint_index.json</t>
  </si>
  <si>
    <t>S9.09</t>
  </si>
  <si>
    <t>Compute SSL Q_pseudo</t>
  </si>
  <si>
    <t>LAST EMA Teacher on fixed validation.</t>
  </si>
  <si>
    <t>qpseudo_validation.json</t>
  </si>
  <si>
    <t>80 complete</t>
  </si>
  <si>
    <t>S9.10</t>
  </si>
  <si>
    <t>Completeness</t>
  </si>
  <si>
    <t>Verify 180 training runs closed</t>
  </si>
  <si>
    <t>No replacement seed.</t>
  </si>
  <si>
    <t>completeness_report.json</t>
  </si>
  <si>
    <t>180/180</t>
  </si>
  <si>
    <t>S9.11</t>
  </si>
  <si>
    <t>Ablation</t>
  </si>
  <si>
    <t>Run locked OFAT validation-only campaign</t>
  </si>
  <si>
    <t>R50 10%; 10 unique configs; 10 seeds/config; non-Main never test.</t>
  </si>
  <si>
    <t>results/ablation/*</t>
  </si>
  <si>
    <t>100 observations</t>
  </si>
  <si>
    <t>S9.12</t>
  </si>
  <si>
    <t>Final Test Gate</t>
  </si>
  <si>
    <t>Prepare PRE_FINAL_TEST_GATE_REPORT</t>
  </si>
  <si>
    <t>Only after training+ablation+frozen evaluator/stats.</t>
  </si>
  <si>
    <t>PRE_FINAL_TEST_GATE_REPORT.json</t>
  </si>
  <si>
    <t>S9.13</t>
  </si>
  <si>
    <t>Create eligible model inventory</t>
  </si>
  <si>
    <t>80 SUP +20 SUP100 +80 SSL BEST models.</t>
  </si>
  <si>
    <t>eligible_model_inventory.csv</t>
  </si>
  <si>
    <t>180</t>
  </si>
  <si>
    <t>S9.14</t>
  </si>
  <si>
    <t>Researcher authorizes final test</t>
  </si>
  <si>
    <t>Only after gate PASS.</t>
  </si>
  <si>
    <t>FINAL_TEST_AUTHORIZATION.json</t>
  </si>
  <si>
    <t>S9.15</t>
  </si>
  <si>
    <t>Final Test</t>
  </si>
  <si>
    <t>Evaluate 180 eligible models</t>
  </si>
  <si>
    <t>No non-Main ablation test.</t>
  </si>
  <si>
    <t>official_final_test_results.csv</t>
  </si>
  <si>
    <t>S9.16</t>
  </si>
  <si>
    <t>Analysis</t>
  </si>
  <si>
    <t>Generate paired effects + RQ1–RQ7</t>
  </si>
  <si>
    <t>Use locked statistical implementation.</t>
  </si>
  <si>
    <t>analysis/rq1..rq7</t>
  </si>
  <si>
    <t>Complete</t>
  </si>
  <si>
    <t>Progress %</t>
  </si>
  <si>
    <t>Total Tasks</t>
  </si>
  <si>
    <t>IN PROGRESS</t>
  </si>
  <si>
    <t>Purpose</t>
  </si>
  <si>
    <t>Gate to Next Stage</t>
  </si>
  <si>
    <t>Dependency</t>
  </si>
  <si>
    <t>End Date</t>
  </si>
  <si>
    <t>Source / Protocol Lock Verification</t>
  </si>
  <si>
    <t>Verify canonical locked sources, hashes, Git baseline and governance manifests.</t>
  </si>
  <si>
    <t>S0 governance artifacts valid + baseline commit/tag created</t>
  </si>
  <si>
    <t>None</t>
  </si>
  <si>
    <t>Vast Runtime + Data Ingress + Storage/Backup</t>
  </si>
  <si>
    <t>Provision exact Vast runtime, transfer 4,894 JPG to Vast local/persistent storage, verify integrity and backup/restore foundation.</t>
  </si>
  <si>
    <t>Runtime + 4,894 JPG + membership + storage/backup verification PASS</t>
  </si>
  <si>
    <t>Shared Infrastructure</t>
  </si>
  <si>
    <t>Implement shared dataset/loading/seeding/logging/checkpoint/guardrail infrastructure.</t>
  </si>
  <si>
    <t>Shared infrastructure tests PASS</t>
  </si>
  <si>
    <t>S1 = CLOSED / PASS</t>
  </si>
  <si>
    <t>Supervised Baseline</t>
  </si>
  <si>
    <t>Implement and preflight R50/Swin supervised paths and all scheduler/update branches.</t>
  </si>
  <si>
    <t>All SUP official execution paths verified</t>
  </si>
  <si>
    <t>S2 = CLOSED / PASS</t>
  </si>
  <si>
    <t>SSL Teacher–Student / EMA / Pseudo-label</t>
  </si>
  <si>
    <t>Implement and preflight Teacher/Student, EMA, pseudo-label, augmentation, hidden-U firewall and resume behavior.</t>
  </si>
  <si>
    <t>All SSL paths + firewall + EMA/AMP/geometry PASS</t>
  </si>
  <si>
    <t>S3 = CLOSED / PASS</t>
  </si>
  <si>
    <t>Evaluation + Q_pseudo</t>
  </si>
  <si>
    <t>Implement COCO evaluator, operating-point metrics and Q_pseudo path before test is opened.</t>
  </si>
  <si>
    <t>Evaluator golden tests + validation/test firewall PASS</t>
  </si>
  <si>
    <t>S4 = CLOSED / PASS</t>
  </si>
  <si>
    <t>Statistical Fixtures</t>
  </si>
  <si>
    <t>Implement statistical analysis functions and verify with synthetic/golden fixtures.</t>
  </si>
  <si>
    <t>All statistical fixtures PASS</t>
  </si>
  <si>
    <t>S5 = CLOSED / PASS</t>
  </si>
  <si>
    <t>Global Preflight</t>
  </si>
  <si>
    <t>Audit all official execution paths against closure criteria and artifact contract.</t>
  </si>
  <si>
    <t>GLOBAL_PREFLIGHT_REPORT = PASS; no unresolved protocol-relevant warning</t>
  </si>
  <si>
    <t>S6 = CLOSED / PASS</t>
  </si>
  <si>
    <t>Freeze + Researcher Authorization</t>
  </si>
  <si>
    <t>Freeze exact executable source/config/data/evaluator/statistics/environment and obtain researcher authorization.</t>
  </si>
  <si>
    <t>Freeze manifests valid + RESEARCHER AUTHORIZATION = YES</t>
  </si>
  <si>
    <t>S7 = CLOSED / PASS</t>
  </si>
  <si>
    <t>Official Training</t>
  </si>
  <si>
    <t>Execute official Main/reference matrix only after S8 PASS.</t>
  </si>
  <si>
    <t>S8 PASS required before any official run</t>
  </si>
  <si>
    <t>S8 = CLOSED / PASS</t>
  </si>
  <si>
    <t>Evidence ID</t>
  </si>
  <si>
    <t>Artifact / Evidence</t>
  </si>
  <si>
    <t>Type</t>
  </si>
  <si>
    <t>Required?</t>
  </si>
  <si>
    <t>Expected Path</t>
  </si>
  <si>
    <t>Observed Path</t>
  </si>
  <si>
    <t>SHA-256 / Identity</t>
  </si>
  <si>
    <t>Verification</t>
  </si>
  <si>
    <t>Source</t>
  </si>
  <si>
    <t>E001</t>
  </si>
  <si>
    <t>Artifact/Evidence</t>
  </si>
  <si>
    <t>NOT_CREATED</t>
  </si>
  <si>
    <t>PENDING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</si>
  <si>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</si>
  <si>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</si>
  <si>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</si>
  <si>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</si>
  <si>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</si>
  <si>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</si>
  <si>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</si>
  <si>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</si>
  <si>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</si>
  <si>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</si>
  <si>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</si>
  <si>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</si>
  <si>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SOURCE_PROTOCOL_LOCK_REPORT.json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</si>
  <si>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</si>
  <si>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</si>
  <si>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</si>
  <si>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</si>
  <si>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</si>
  <si>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</si>
  <si>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</si>
  <si>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</si>
  <si>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</si>
  <si>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</si>
  <si>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</si>
  <si>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</si>
  <si>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</si>
  <si>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</si>
  <si>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</si>
  <si>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</si>
  <si>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</si>
  <si>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</si>
  <si>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</si>
  <si>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</si>
  <si>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</si>
  <si>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</si>
  <si>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</si>
  <si>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</si>
  <si>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</si>
  <si>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</si>
  <si>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</si>
  <si>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</si>
  <si>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</si>
  <si>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</si>
  <si>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</si>
  <si>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</si>
  <si>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</si>
  <si>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</si>
  <si>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</si>
  <si>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</si>
  <si>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</si>
  <si>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</si>
  <si>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</si>
  <si>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</si>
  <si>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</si>
  <si>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</si>
  <si>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</si>
  <si>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</si>
  <si>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</si>
  <si>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</si>
  <si>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</si>
  <si>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</si>
  <si>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</si>
  <si>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</si>
  <si>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</si>
  <si>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</si>
  <si>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</si>
  <si>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</si>
  <si>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</si>
  <si>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</si>
  <si>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</si>
  <si>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</si>
  <si>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</si>
  <si>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</si>
  <si>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</si>
  <si>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</si>
  <si>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</si>
  <si>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</si>
  <si>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</si>
  <si>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</si>
  <si>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</si>
  <si>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</si>
  <si>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</si>
  <si>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</si>
  <si>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</si>
  <si>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</si>
  <si>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</si>
  <si>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</si>
  <si>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</si>
  <si>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</si>
  <si>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</si>
  <si>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</si>
  <si>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</si>
  <si>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</si>
  <si>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</si>
  <si>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</si>
  <si>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</si>
  <si>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</si>
  <si>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</si>
  <si>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</si>
  <si>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</si>
  <si>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</si>
  <si>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</si>
  <si>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</si>
  <si>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</si>
  <si>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</si>
  <si>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</si>
  <si>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</si>
  <si>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</si>
  <si>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</si>
  <si>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</si>
  <si>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</si>
  <si>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</si>
  <si>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</si>
  <si>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</si>
  <si>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</si>
  <si>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</si>
  <si>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</si>
  <si>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</si>
  <si>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</si>
  <si>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Risk ID</t>
  </si>
  <si>
    <t>Date Raised</t>
  </si>
  <si>
    <t>Description</t>
  </si>
  <si>
    <t>Severity</t>
  </si>
  <si>
    <t>Probability</t>
  </si>
  <si>
    <t>Mitigation / Next Action</t>
  </si>
  <si>
    <t>Evidence / Link</t>
  </si>
  <si>
    <t>Resolved Date</t>
  </si>
  <si>
    <t>R001</t>
  </si>
  <si>
    <t>Vast instance may be terminated before checkpoints/logs are durably backed up.</t>
  </si>
  <si>
    <t>OPEN</t>
  </si>
  <si>
    <t>Implement verified continuous backup + restore test before model implementation.</t>
  </si>
  <si>
    <t>R002</t>
  </si>
  <si>
    <t>Data</t>
  </si>
  <si>
    <t>Training directly from Google Drive could cause unstable I/O and violate storage contract.</t>
  </si>
  <si>
    <t>Force DataLoader image root to Vast local/persistent storage.</t>
  </si>
  <si>
    <t>R003</t>
  </si>
  <si>
    <t>Scientific</t>
  </si>
  <si>
    <t>Hidden U ground truth could leak via dataset/evaluator hooks.</t>
  </si>
  <si>
    <t>Hard firewall test before official SSL path.</t>
  </si>
  <si>
    <t>R004</t>
  </si>
  <si>
    <t>Technical interruption could lose optimizer/Teacher/AMP state.</t>
  </si>
  <si>
    <t>Verify latest_resume and same-seed resume path before S8.</t>
  </si>
  <si>
    <t>Run ID</t>
  </si>
  <si>
    <t>Condition Role</t>
  </si>
  <si>
    <t>Method</t>
  </si>
  <si>
    <t>Budget</t>
  </si>
  <si>
    <t>Seed Index</t>
  </si>
  <si>
    <t>Training Seed</t>
  </si>
  <si>
    <t>Expected</t>
  </si>
  <si>
    <t>Training Status</t>
  </si>
  <si>
    <t>Attempt Used</t>
  </si>
  <si>
    <t>BEST Checkpoint</t>
  </si>
  <si>
    <t>LAST Checkpoint</t>
  </si>
  <si>
    <t>Q_pseudo Status</t>
  </si>
  <si>
    <t>Backup Verified</t>
  </si>
  <si>
    <t>Eligible Final Test</t>
  </si>
  <si>
    <t>Final Eval Status</t>
  </si>
  <si>
    <t>OFF_SUP_R50_B01_S01</t>
  </si>
  <si>
    <t>MAIN_LOW_LABEL</t>
  </si>
  <si>
    <t>R50-FPN</t>
  </si>
  <si>
    <t>B01</t>
  </si>
  <si>
    <t>NO</t>
  </si>
  <si>
    <t>OFF_SUP_R50_B01_S02</t>
  </si>
  <si>
    <t>OFF_SUP_R50_B01_S03</t>
  </si>
  <si>
    <t>OFF_SUP_R50_B01_S04</t>
  </si>
  <si>
    <t>OFF_SUP_R50_B01_S05</t>
  </si>
  <si>
    <t>OFF_SUP_R50_B01_S06</t>
  </si>
  <si>
    <t>OFF_SUP_R50_B01_S07</t>
  </si>
  <si>
    <t>OFF_SUP_R50_B01_S08</t>
  </si>
  <si>
    <t>OFF_SUP_R50_B01_S09</t>
  </si>
  <si>
    <t>OFF_SUP_R50_B01_S10</t>
  </si>
  <si>
    <t>OFF_SUP_R50_B05_S01</t>
  </si>
  <si>
    <t>B05</t>
  </si>
  <si>
    <t>OFF_SUP_R50_B05_S02</t>
  </si>
  <si>
    <t>OFF_SUP_R50_B05_S03</t>
  </si>
  <si>
    <t>OFF_SUP_R50_B05_S04</t>
  </si>
  <si>
    <t>OFF_SUP_R50_B05_S05</t>
  </si>
  <si>
    <t>OFF_SUP_R50_B05_S06</t>
  </si>
  <si>
    <t>OFF_SUP_R50_B05_S07</t>
  </si>
  <si>
    <t>OFF_SUP_R50_B05_S08</t>
  </si>
  <si>
    <t>OFF_SUP_R50_B05_S09</t>
  </si>
  <si>
    <t>OFF_SUP_R50_B05_S10</t>
  </si>
  <si>
    <t>OFF_SUP_R50_B10_S01</t>
  </si>
  <si>
    <t>B10</t>
  </si>
  <si>
    <t>OFF_SUP_R50_B10_S02</t>
  </si>
  <si>
    <t>OFF_SUP_R50_B10_S03</t>
  </si>
  <si>
    <t>OFF_SUP_R50_B10_S04</t>
  </si>
  <si>
    <t>OFF_SUP_R50_B10_S05</t>
  </si>
  <si>
    <t>OFF_SUP_R50_B10_S06</t>
  </si>
  <si>
    <t>OFF_SUP_R50_B10_S07</t>
  </si>
  <si>
    <t>OFF_SUP_R50_B10_S08</t>
  </si>
  <si>
    <t>OFF_SUP_R50_B10_S09</t>
  </si>
  <si>
    <t>OFF_SUP_R50_B10_S10</t>
  </si>
  <si>
    <t>OFF_SUP_R50_B20_S01</t>
  </si>
  <si>
    <t>B20</t>
  </si>
  <si>
    <t>OFF_SUP_R50_B20_S02</t>
  </si>
  <si>
    <t>OFF_SUP_R50_B20_S03</t>
  </si>
  <si>
    <t>OFF_SUP_R50_B20_S04</t>
  </si>
  <si>
    <t>OFF_SUP_R50_B20_S05</t>
  </si>
  <si>
    <t>OFF_SUP_R50_B20_S06</t>
  </si>
  <si>
    <t>OFF_SUP_R50_B20_S07</t>
  </si>
  <si>
    <t>OFF_SUP_R50_B20_S08</t>
  </si>
  <si>
    <t>OFF_SUP_R50_B20_S09</t>
  </si>
  <si>
    <t>OFF_SUP_R50_B20_S10</t>
  </si>
  <si>
    <t>OFF_SUP_SWIN_B01_S01</t>
  </si>
  <si>
    <t>Swin-T-FPN</t>
  </si>
  <si>
    <t>OFF_SUP_SWIN_B01_S02</t>
  </si>
  <si>
    <t>OFF_SUP_SWIN_B01_S03</t>
  </si>
  <si>
    <t>OFF_SUP_SWIN_B01_S04</t>
  </si>
  <si>
    <t>OFF_SUP_SWIN_B01_S05</t>
  </si>
  <si>
    <t>OFF_SUP_SWIN_B01_S06</t>
  </si>
  <si>
    <t>OFF_SUP_SWIN_B01_S07</t>
  </si>
  <si>
    <t>OFF_SUP_SWIN_B01_S08</t>
  </si>
  <si>
    <t>OFF_SUP_SWIN_B01_S09</t>
  </si>
  <si>
    <t>OFF_SUP_SWIN_B01_S10</t>
  </si>
  <si>
    <t>OFF_SUP_SWIN_B05_S01</t>
  </si>
  <si>
    <t>OFF_SUP_SWIN_B05_S02</t>
  </si>
  <si>
    <t>OFF_SUP_SWIN_B05_S03</t>
  </si>
  <si>
    <t>OFF_SUP_SWIN_B05_S04</t>
  </si>
  <si>
    <t>OFF_SUP_SWIN_B05_S05</t>
  </si>
  <si>
    <t>OFF_SUP_SWIN_B05_S06</t>
  </si>
  <si>
    <t>OFF_SUP_SWIN_B05_S07</t>
  </si>
  <si>
    <t>OFF_SUP_SWIN_B05_S08</t>
  </si>
  <si>
    <t>OFF_SUP_SWIN_B05_S09</t>
  </si>
  <si>
    <t>OFF_SUP_SWIN_B05_S10</t>
  </si>
  <si>
    <t>OFF_SUP_SWIN_B10_S01</t>
  </si>
  <si>
    <t>OFF_SUP_SWIN_B10_S02</t>
  </si>
  <si>
    <t>OFF_SUP_SWIN_B10_S03</t>
  </si>
  <si>
    <t>OFF_SUP_SWIN_B10_S04</t>
  </si>
  <si>
    <t>OFF_SUP_SWIN_B10_S05</t>
  </si>
  <si>
    <t>OFF_SUP_SWIN_B10_S06</t>
  </si>
  <si>
    <t>OFF_SUP_SWIN_B10_S07</t>
  </si>
  <si>
    <t>OFF_SUP_SWIN_B10_S08</t>
  </si>
  <si>
    <t>OFF_SUP_SWIN_B10_S09</t>
  </si>
  <si>
    <t>OFF_SUP_SWIN_B10_S10</t>
  </si>
  <si>
    <t>OFF_SUP_SWIN_B20_S01</t>
  </si>
  <si>
    <t>OFF_SUP_SWIN_B20_S02</t>
  </si>
  <si>
    <t>OFF_SUP_SWIN_B20_S03</t>
  </si>
  <si>
    <t>OFF_SUP_SWIN_B20_S04</t>
  </si>
  <si>
    <t>OFF_SUP_SWIN_B20_S05</t>
  </si>
  <si>
    <t>OFF_SUP_SWIN_B20_S06</t>
  </si>
  <si>
    <t>OFF_SUP_SWIN_B20_S07</t>
  </si>
  <si>
    <t>OFF_SUP_SWIN_B20_S08</t>
  </si>
  <si>
    <t>OFF_SUP_SWIN_B20_S09</t>
  </si>
  <si>
    <t>OFF_SUP_SWIN_B20_S10</t>
  </si>
  <si>
    <t>OFF_SSL_R50_B01_S01</t>
  </si>
  <si>
    <t>OFF_SSL_R50_B01_S02</t>
  </si>
  <si>
    <t>OFF_SSL_R50_B01_S03</t>
  </si>
  <si>
    <t>OFF_SSL_R50_B01_S04</t>
  </si>
  <si>
    <t>OFF_SSL_R50_B01_S05</t>
  </si>
  <si>
    <t>OFF_SSL_R50_B01_S06</t>
  </si>
  <si>
    <t>OFF_SSL_R50_B01_S07</t>
  </si>
  <si>
    <t>OFF_SSL_R50_B01_S08</t>
  </si>
  <si>
    <t>OFF_SSL_R50_B01_S09</t>
  </si>
  <si>
    <t>OFF_SSL_R50_B01_S10</t>
  </si>
  <si>
    <t>OFF_SSL_R50_B05_S01</t>
  </si>
  <si>
    <t>OFF_SSL_R50_B05_S02</t>
  </si>
  <si>
    <t>OFF_SSL_R50_B05_S03</t>
  </si>
  <si>
    <t>OFF_SSL_R50_B05_S04</t>
  </si>
  <si>
    <t>OFF_SSL_R50_B05_S05</t>
  </si>
  <si>
    <t>OFF_SSL_R50_B05_S06</t>
  </si>
  <si>
    <t>OFF_SSL_R50_B05_S07</t>
  </si>
  <si>
    <t>OFF_SSL_R50_B05_S08</t>
  </si>
  <si>
    <t>OFF_SSL_R50_B05_S09</t>
  </si>
  <si>
    <t>OFF_SSL_R50_B05_S10</t>
  </si>
  <si>
    <t>OFF_SSL_R50_B10_S01</t>
  </si>
  <si>
    <t>OFF_SSL_R50_B10_S02</t>
  </si>
  <si>
    <t>OFF_SSL_R50_B10_S03</t>
  </si>
  <si>
    <t>OFF_SSL_R50_B10_S04</t>
  </si>
  <si>
    <t>OFF_SSL_R50_B10_S05</t>
  </si>
  <si>
    <t>OFF_SSL_R50_B10_S06</t>
  </si>
  <si>
    <t>OFF_SSL_R50_B10_S07</t>
  </si>
  <si>
    <t>OFF_SSL_R50_B10_S08</t>
  </si>
  <si>
    <t>OFF_SSL_R50_B10_S09</t>
  </si>
  <si>
    <t>OFF_SSL_R50_B10_S10</t>
  </si>
  <si>
    <t>OFF_SSL_R50_B20_S01</t>
  </si>
  <si>
    <t>OFF_SSL_R50_B20_S02</t>
  </si>
  <si>
    <t>OFF_SSL_R50_B20_S03</t>
  </si>
  <si>
    <t>OFF_SSL_R50_B20_S04</t>
  </si>
  <si>
    <t>OFF_SSL_R50_B20_S05</t>
  </si>
  <si>
    <t>OFF_SSL_R50_B20_S06</t>
  </si>
  <si>
    <t>OFF_SSL_R50_B20_S07</t>
  </si>
  <si>
    <t>OFF_SSL_R50_B20_S08</t>
  </si>
  <si>
    <t>OFF_SSL_R50_B20_S09</t>
  </si>
  <si>
    <t>OFF_SSL_R50_B20_S10</t>
  </si>
  <si>
    <t>OFF_SSL_SWIN_B01_S01</t>
  </si>
  <si>
    <t>OFF_SSL_SWIN_B01_S02</t>
  </si>
  <si>
    <t>OFF_SSL_SWIN_B01_S03</t>
  </si>
  <si>
    <t>OFF_SSL_SWIN_B01_S04</t>
  </si>
  <si>
    <t>OFF_SSL_SWIN_B01_S05</t>
  </si>
  <si>
    <t>OFF_SSL_SWIN_B01_S06</t>
  </si>
  <si>
    <t>OFF_SSL_SWIN_B01_S07</t>
  </si>
  <si>
    <t>OFF_SSL_SWIN_B01_S08</t>
  </si>
  <si>
    <t>OFF_SSL_SWIN_B01_S09</t>
  </si>
  <si>
    <t>OFF_SSL_SWIN_B01_S10</t>
  </si>
  <si>
    <t>OFF_SSL_SWIN_B05_S01</t>
  </si>
  <si>
    <t>OFF_SSL_SWIN_B05_S02</t>
  </si>
  <si>
    <t>OFF_SSL_SWIN_B05_S03</t>
  </si>
  <si>
    <t>OFF_SSL_SWIN_B05_S04</t>
  </si>
  <si>
    <t>OFF_SSL_SWIN_B05_S05</t>
  </si>
  <si>
    <t>OFF_SSL_SWIN_B05_S06</t>
  </si>
  <si>
    <t>OFF_SSL_SWIN_B05_S07</t>
  </si>
  <si>
    <t>OFF_SSL_SWIN_B05_S08</t>
  </si>
  <si>
    <t>OFF_SSL_SWIN_B05_S09</t>
  </si>
  <si>
    <t>OFF_SSL_SWIN_B05_S10</t>
  </si>
  <si>
    <t>OFF_SSL_SWIN_B10_S01</t>
  </si>
  <si>
    <t>OFF_SSL_SWIN_B10_S02</t>
  </si>
  <si>
    <t>OFF_SSL_SWIN_B10_S03</t>
  </si>
  <si>
    <t>OFF_SSL_SWIN_B10_S04</t>
  </si>
  <si>
    <t>OFF_SSL_SWIN_B10_S05</t>
  </si>
  <si>
    <t>OFF_SSL_SWIN_B10_S06</t>
  </si>
  <si>
    <t>OFF_SSL_SWIN_B10_S07</t>
  </si>
  <si>
    <t>OFF_SSL_SWIN_B10_S08</t>
  </si>
  <si>
    <t>OFF_SSL_SWIN_B10_S09</t>
  </si>
  <si>
    <t>OFF_SSL_SWIN_B10_S10</t>
  </si>
  <si>
    <t>OFF_SSL_SWIN_B20_S01</t>
  </si>
  <si>
    <t>OFF_SSL_SWIN_B20_S02</t>
  </si>
  <si>
    <t>OFF_SSL_SWIN_B20_S03</t>
  </si>
  <si>
    <t>OFF_SSL_SWIN_B20_S04</t>
  </si>
  <si>
    <t>OFF_SSL_SWIN_B20_S05</t>
  </si>
  <si>
    <t>OFF_SSL_SWIN_B20_S06</t>
  </si>
  <si>
    <t>OFF_SSL_SWIN_B20_S07</t>
  </si>
  <si>
    <t>OFF_SSL_SWIN_B20_S08</t>
  </si>
  <si>
    <t>OFF_SSL_SWIN_B20_S09</t>
  </si>
  <si>
    <t>OFF_SSL_SWIN_B20_S10</t>
  </si>
  <si>
    <t>OFF_SUP_R50_B100_S01</t>
  </si>
  <si>
    <t>SUP_REFERENCE</t>
  </si>
  <si>
    <t>B100</t>
  </si>
  <si>
    <t>OFF_SUP_R50_B100_S02</t>
  </si>
  <si>
    <t>OFF_SUP_R50_B100_S03</t>
  </si>
  <si>
    <t>OFF_SUP_R50_B100_S04</t>
  </si>
  <si>
    <t>OFF_SUP_R50_B100_S05</t>
  </si>
  <si>
    <t>OFF_SUP_R50_B100_S06</t>
  </si>
  <si>
    <t>OFF_SUP_R50_B100_S07</t>
  </si>
  <si>
    <t>OFF_SUP_R50_B100_S08</t>
  </si>
  <si>
    <t>OFF_SUP_R50_B100_S09</t>
  </si>
  <si>
    <t>OFF_SUP_R50_B100_S10</t>
  </si>
  <si>
    <t>OFF_SUP_SWIN_B100_S01</t>
  </si>
  <si>
    <t>OFF_SUP_SWIN_B100_S02</t>
  </si>
  <si>
    <t>OFF_SUP_SWIN_B100_S03</t>
  </si>
  <si>
    <t>OFF_SUP_SWIN_B100_S04</t>
  </si>
  <si>
    <t>OFF_SUP_SWIN_B100_S05</t>
  </si>
  <si>
    <t>OFF_SUP_SWIN_B100_S06</t>
  </si>
  <si>
    <t>OFF_SUP_SWIN_B100_S07</t>
  </si>
  <si>
    <t>OFF_SUP_SWIN_B100_S08</t>
  </si>
  <si>
    <t>OFF_SUP_SWIN_B100_S09</t>
  </si>
  <si>
    <t>OFF_SUP_SWIN_B100_S10</t>
  </si>
  <si>
    <t>LOCKED REFERENCES &amp; SCIENTIFIC CONSTANTS</t>
  </si>
  <si>
    <t>File</t>
  </si>
  <si>
    <t>Role</t>
  </si>
  <si>
    <t>SHA-256</t>
  </si>
  <si>
    <t>State</t>
  </si>
  <si>
    <t>Rule</t>
  </si>
  <si>
    <t>Priority 1</t>
  </si>
  <si>
    <t>sn-article.tex</t>
  </si>
  <si>
    <t>Scientific source of truth</t>
  </si>
  <si>
    <t>LOCKED</t>
  </si>
  <si>
    <t>Methodology wins</t>
  </si>
  <si>
    <t>Priority 2</t>
  </si>
  <si>
    <t>Implementation contract</t>
  </si>
  <si>
    <t>No scientific drift</t>
  </si>
  <si>
    <t>Priority 3</t>
  </si>
  <si>
    <t>Artifact/evidence contract</t>
  </si>
  <si>
    <t>Artifact contract v1.1.0</t>
  </si>
  <si>
    <t>Locked Item</t>
  </si>
  <si>
    <t>Value</t>
  </si>
  <si>
    <t>Unit/Role</t>
  </si>
  <si>
    <t>Dataset images</t>
  </si>
  <si>
    <t>images</t>
  </si>
  <si>
    <t>Controlled working scope</t>
  </si>
  <si>
    <t>Train / Val / Test</t>
  </si>
  <si>
    <t>3426 / 734 / 734</t>
  </si>
  <si>
    <t>Fixed membership</t>
  </si>
  <si>
    <t>No Finding train/val/test</t>
  </si>
  <si>
    <t>350 / 75 / 75</t>
  </si>
  <si>
    <t>Zero-GT; not class 15</t>
  </si>
  <si>
    <t>Detection classes</t>
  </si>
  <si>
    <t>classes</t>
  </si>
  <si>
    <t>Abnormality classes</t>
  </si>
  <si>
    <t>partition_seed</t>
  </si>
  <si>
    <t>integer</t>
  </si>
  <si>
    <t>No seed search</t>
  </si>
  <si>
    <t>Training seeds</t>
  </si>
  <si>
    <t>seeds</t>
  </si>
  <si>
    <t>Same ordered list SUP/SSL</t>
  </si>
  <si>
    <t>Official main/reference runs</t>
  </si>
  <si>
    <t>runs</t>
  </si>
  <si>
    <t>80 SUP low-label + 20 SUP100 + 80 SSL</t>
  </si>
  <si>
    <t>Validation interval</t>
  </si>
  <si>
    <t>actual optimizer updates</t>
  </si>
  <si>
    <t>All official training</t>
  </si>
  <si>
    <t>Standard updates</t>
  </si>
  <si>
    <t>updates</t>
  </si>
  <si>
    <t>5/10/20%</t>
  </si>
  <si>
    <t>1% updates</t>
  </si>
  <si>
    <t>Proportional schedule</t>
  </si>
  <si>
    <t>100%-SUP updates</t>
  </si>
  <si>
    <t>Reference path</t>
  </si>
  <si>
    <t>SSL EMA momentum</t>
  </si>
  <si>
    <t>MeanTeacherHook momentum</t>
  </si>
  <si>
    <t>Teacher=.999 old+.001 Student</t>
  </si>
  <si>
    <t>SSL L:U</t>
  </si>
  <si>
    <t>1:1</t>
  </si>
  <si>
    <t>ratio</t>
  </si>
  <si>
    <t>B_L_eff=4; B_U_eff=4</t>
  </si>
  <si>
    <t>SSL unsup weight</t>
  </si>
  <si>
    <t>lambda_u</t>
  </si>
  <si>
    <t>No ramp/burn-in</t>
  </si>
  <si>
    <t>PL-mAP@[.50:.95]</t>
  </si>
  <si>
    <t>validation</t>
  </si>
  <si>
    <t>LAST EMA Teacher</t>
  </si>
  <si>
    <t>Workbook Usage</t>
  </si>
  <si>
    <t>Scientific methodology</t>
  </si>
  <si>
    <t>1</t>
  </si>
  <si>
    <t>Scientific behavior, evaluation, statistics, ablation, locked values</t>
  </si>
  <si>
    <t>Canonical scientific source</t>
  </si>
  <si>
    <t>2</t>
  </si>
  <si>
    <t>Execution requirements, preflight closure, prohibited behaviors, official matrix</t>
  </si>
  <si>
    <t>Operational seed list included</t>
  </si>
  <si>
    <t>3</t>
  </si>
  <si>
    <t>Evidence paths, manifests, backup, final-test gate, provenance</t>
  </si>
  <si>
    <t>v1.1.0</t>
  </si>
  <si>
    <t>S0 CURRENT EVIDENCE</t>
  </si>
  <si>
    <t>Git branch</t>
  </si>
  <si>
    <t>implementation/gate2</t>
  </si>
  <si>
    <t>Observed HEAD</t>
  </si>
  <si>
    <t>Baseline commit?</t>
  </si>
  <si>
    <t>Governance manifests</t>
  </si>
  <si>
    <t>CREATED</t>
  </si>
  <si>
    <t>Schema verification</t>
  </si>
  <si>
    <t>S0 closed?</t>
  </si>
  <si>
    <t>IMPLEMENTATION_HANDOFF.md / Workbook operational tracker</t>
  </si>
  <si>
    <t>git status + git log -1 --oneline</t>
  </si>
  <si>
    <t>Verify generated governance manifests and schema</t>
  </si>
  <si>
    <t>JSON parse PASS; required fields present; canonical names/hashes/source hierarchy consistent with locked contracts.</t>
  </si>
  <si>
    <t>artifacts/governance/*.json</t>
  </si>
  <si>
    <t>scientific_source_manifest.json + implementation_contract_manifest.json + artifact_contract_manifest.json + schema_version.json all validate</t>
  </si>
  <si>
    <t>Workbook S0 closure record + Git baseline/tag + validated governance manifests</t>
  </si>
  <si>
    <t>Governance validation</t>
  </si>
  <si>
    <t>Validate the four generated S0 governance JSON manifests before baseline closure.</t>
  </si>
  <si>
    <t>Operational</t>
  </si>
  <si>
    <t>SSOD_S0_S9_Implementation_Management_Dashboard.xlsx</t>
  </si>
  <si>
    <t>S0–S9 execution tracker / project control</t>
  </si>
  <si>
    <t>LIVE TRACKER</t>
  </si>
  <si>
    <t>Operational only; not part of the locked contract hierarchy</t>
  </si>
  <si>
    <t>Operational execution tracker</t>
  </si>
  <si>
    <t>Non-contract</t>
  </si>
  <si>
    <t>Stage status, detailed tasks, evidence register, risks/blockers, S9 run matrix and dashboard</t>
  </si>
  <si>
    <t>The only S0–S9 execution tracker; does not override the three locked canonical documents</t>
  </si>
  <si>
    <t>branch=implementation/gate2; pre-baseline HEAD=ba16e6a955f414bb7ae075625f9abf1d8dac3485</t>
  </si>
  <si>
    <t>PASS in current S0 rerun: branch implementation/gate2 recorded before baseline; pre-baseline HEAD=ba16e6a955f414bb7ae075625f9abf1d8dac3485.</t>
  </si>
  <si>
    <t>Created in current S0 rerun by explicit PowerShell governance-manifest creation command; canonical values subsequently validated by separate JSON/schema/content verification.</t>
  </si>
  <si>
    <t>Current S0 evidence: JSON parse PASS; required schema/name/hash/source-hierarchy checks all True; FAILED_COUNT=0; GOVERNANCE_VALIDATION=PASS.</t>
  </si>
  <si>
    <t>Git commit 3635635beeff074534013eba5bd978ac34f9e1c9</t>
  </si>
  <si>
    <t>Pre-implementation baseline commit created and verified on implementation/gate2; exact 8-file scope verified; working tree/index clean after commit; canonical commit hashes matched.</t>
  </si>
  <si>
    <t>Tag verified: PRE_IMPLEMENTATION_BASELINE -&gt; 3635635beeff074534013eba5bd978ac34f9e1c9; tag commit equals baseline commit.</t>
  </si>
  <si>
    <t>3635635beeff074534013eba5bd978ac34f9e1c9</t>
  </si>
  <si>
    <t>CREATED / VALIDATED</t>
  </si>
  <si>
    <t>VERIFIED</t>
  </si>
  <si>
    <t>D:\ssl_detection_xray_v2</t>
  </si>
  <si>
    <t>4 canonical/operational filenames present</t>
  </si>
  <si>
    <t>sn-article.tex &gt; IMPLEMENTATION_HANDOFF.md &gt; ARTIFACT_AND_EVIDENCE_CONTRACT.md &gt; workbook</t>
  </si>
  <si>
    <t>SOURCE_HIERARCHY_LOCKED</t>
  </si>
  <si>
    <t>FAILED_COUNT=0; GOVERNANCE_VALIDATION=PASS</t>
  </si>
  <si>
    <t>schema_version=1.1; source hash verified</t>
  </si>
  <si>
    <t>schema_version=1.1; implementation/source hashes verified</t>
  </si>
  <si>
    <t>artifact_contract_version=1.1.0; schema_version=1.1; hierarchy/hashes verified</t>
  </si>
  <si>
    <t>schema_version=1.1; artifact_contract_version=1.1.0</t>
  </si>
  <si>
    <t>PRE_IMPLEMENTATION_BASELINE</t>
  </si>
  <si>
    <t>Not mandatory under the locked ARTIFACT_AND_EVIDENCE_CONTRACT. Retained only as a non-required historical tracker row; it must not gate S0 closure.</t>
  </si>
  <si>
    <t>S0 closure recorded only after S0.01-S0.13 evidence PASS, governance validation PASS, baseline commit verified, PRE_IMPLEMENTATION_BASELINE tag verified, and workbook post-save verification PASS.</t>
  </si>
  <si>
    <t>S0 CLOSED / PASS. All 14 S0 tasks have evidence. Governance manifests validated; baseline commit=3635635beeff074534013eba5bd978ac34f9e1c9; PRE_IMPLEMENTATION_BASELINE resolves to the same commit.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</si>
</sst>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20"/>
      <name val="Carlito"/>
    </font>
    <font>
      <b/>
      <sz val="11"/>
      <name val="Carlito"/>
    </font>
    <font>
      <b/>
      <sz val="16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4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8"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E699"/>
        </patternFill>
      </fill>
    </dxf>
    <dxf>
      <font>
        <b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Stage Progress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Name</c:v>
          </c:tx>
          <c:invertIfNegative val="1"/>
          <c:cat>
            <c:strRef>
              <c:f>Dashboard!$A$14:$A$23</c:f>
              <c:strCache>
                <c:ptCount val="10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  <c:pt idx="9">
                  <c:v>S9</c:v>
                </c:pt>
              </c:strCache>
            </c:strRef>
          </c:cat>
          <c:val>
            <c:numRef>
              <c:f>Dashboard!$B$14:$B$23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7-427E-95DE-9F0C1DCAF891}"/>
            </c:ext>
          </c:extLst>
        </c:ser>
        <c:ser>
          <c:idx val="1"/>
          <c:order val="1"/>
          <c:tx>
            <c:v>Status</c:v>
          </c:tx>
          <c:invertIfNegative val="1"/>
          <c:cat>
            <c:strRef>
              <c:f>Dashboard!$A$14:$A$23</c:f>
              <c:strCache>
                <c:ptCount val="10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  <c:pt idx="9">
                  <c:v>S9</c:v>
                </c:pt>
              </c:strCache>
            </c:strRef>
          </c:cat>
          <c:val>
            <c:numRef>
              <c:f>Dashboard!$C$14:$C$23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7-427E-95DE-9F0C1DCAF891}"/>
            </c:ext>
          </c:extLst>
        </c:ser>
        <c:ser>
          <c:idx val="2"/>
          <c:order val="2"/>
          <c:tx>
            <c:v>Progress</c:v>
          </c:tx>
          <c:invertIfNegative val="1"/>
          <c:cat>
            <c:strRef>
              <c:f>Dashboard!$A$14:$A$23</c:f>
              <c:strCache>
                <c:ptCount val="10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  <c:pt idx="9">
                  <c:v>S9</c:v>
                </c:pt>
              </c:strCache>
            </c:strRef>
          </c:cat>
          <c:val>
            <c:numRef>
              <c:f>Dashboard!$D$14:$D$23</c:f>
              <c:numCache>
                <c:formatCode>0%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F7-427E-95DE-9F0C1DCAF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edTasksTable" displayName="DetailedTasksTable" ref="A1:P161" totalsRowShown="0">
  <tableColumns count="16">
    <tableColumn id="1" xr3:uid="{00000000-0010-0000-0000-000001000000}" name="Stage"/>
    <tableColumn id="2" xr3:uid="{00000000-0010-0000-0000-000002000000}" name="Task ID"/>
    <tableColumn id="3" xr3:uid="{00000000-0010-0000-0000-000003000000}" name="Category"/>
    <tableColumn id="4" xr3:uid="{00000000-0010-0000-0000-000004000000}" name="Task / Action"/>
    <tableColumn id="5" xr3:uid="{00000000-0010-0000-0000-000005000000}" name="Requirement / Locked Rule"/>
    <tableColumn id="6" xr3:uid="{00000000-0010-0000-0000-000006000000}" name="Primary Source"/>
    <tableColumn id="7" xr3:uid="{00000000-0010-0000-0000-000007000000}" name="Priority"/>
    <tableColumn id="8" xr3:uid="{00000000-0010-0000-0000-000008000000}" name="Status"/>
    <tableColumn id="9" xr3:uid="{00000000-0010-0000-0000-000009000000}" name="Evidence / Artifact Path"/>
    <tableColumn id="10" xr3:uid="{00000000-0010-0000-0000-00000A000000}" name="Expected Result / Gate"/>
    <tableColumn id="11" xr3:uid="{00000000-0010-0000-0000-00000B000000}" name="Owner"/>
    <tableColumn id="12" xr3:uid="{00000000-0010-0000-0000-00000C000000}" name="Start Date"/>
    <tableColumn id="13" xr3:uid="{00000000-0010-0000-0000-00000D000000}" name="Due Date"/>
    <tableColumn id="14" xr3:uid="{00000000-0010-0000-0000-00000E000000}" name="Completed Date"/>
    <tableColumn id="15" xr3:uid="{00000000-0010-0000-0000-00000F000000}" name="Blocker / Dependency"/>
    <tableColumn id="16" xr3:uid="{00000000-0010-0000-0000-000010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geStatusTable" displayName="StageStatusTable" ref="A1:P11" totalsRowShown="0">
  <tableColumns count="16">
    <tableColumn id="1" xr3:uid="{00000000-0010-0000-0100-000001000000}" name="Stage"/>
    <tableColumn id="2" xr3:uid="{00000000-0010-0000-0100-000002000000}" name="Name"/>
    <tableColumn id="3" xr3:uid="{00000000-0010-0000-0100-000003000000}" name="Stage Status"/>
    <tableColumn id="4" xr3:uid="{00000000-0010-0000-0100-000004000000}" name="Progress %"/>
    <tableColumn id="5" xr3:uid="{00000000-0010-0000-0100-000005000000}" name="PASS"/>
    <tableColumn id="6" xr3:uid="{00000000-0010-0000-0100-000006000000}" name="Total Tasks"/>
    <tableColumn id="7" xr3:uid="{00000000-0010-0000-0100-000007000000}" name="FAIL"/>
    <tableColumn id="8" xr3:uid="{00000000-0010-0000-0100-000008000000}" name="BLOCKED"/>
    <tableColumn id="9" xr3:uid="{00000000-0010-0000-0100-000009000000}" name="IN PROGRESS"/>
    <tableColumn id="10" xr3:uid="{00000000-0010-0000-0100-00000A000000}" name="Purpose"/>
    <tableColumn id="11" xr3:uid="{00000000-0010-0000-0100-00000B000000}" name="Gate to Next Stage"/>
    <tableColumn id="12" xr3:uid="{00000000-0010-0000-0100-00000C000000}" name="Dependency"/>
    <tableColumn id="13" xr3:uid="{00000000-0010-0000-0100-00000D000000}" name="Start Date"/>
    <tableColumn id="14" xr3:uid="{00000000-0010-0000-0100-00000E000000}" name="End Date"/>
    <tableColumn id="15" xr3:uid="{00000000-0010-0000-0100-00000F000000}" name="Owner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RegisterTable" displayName="EvidenceRegisterTable" ref="A1:L120" totalsRowShown="0">
  <tableColumns count="12">
    <tableColumn id="1" xr3:uid="{00000000-0010-0000-0200-000001000000}" name="Evidence ID"/>
    <tableColumn id="2" xr3:uid="{00000000-0010-0000-0200-000002000000}" name="Stage"/>
    <tableColumn id="3" xr3:uid="{00000000-0010-0000-0200-000003000000}" name="Artifact / Evidence"/>
    <tableColumn id="4" xr3:uid="{00000000-0010-0000-0200-000004000000}" name="Type"/>
    <tableColumn id="5" xr3:uid="{00000000-0010-0000-0200-000005000000}" name="Required?"/>
    <tableColumn id="6" xr3:uid="{00000000-0010-0000-0200-000006000000}" name="Status"/>
    <tableColumn id="7" xr3:uid="{00000000-0010-0000-0200-000007000000}" name="Expected Path"/>
    <tableColumn id="8" xr3:uid="{00000000-0010-0000-0200-000008000000}" name="Observed Path"/>
    <tableColumn id="9" xr3:uid="{00000000-0010-0000-0200-000009000000}" name="SHA-256 / Identity"/>
    <tableColumn id="10" xr3:uid="{00000000-0010-0000-0200-00000A000000}" name="Verification"/>
    <tableColumn id="11" xr3:uid="{00000000-0010-0000-0200-00000B000000}" name="Source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RegisterTable" displayName="RiskRegisterTable" ref="A1:M100" totalsRowShown="0">
  <tableColumns count="13">
    <tableColumn id="1" xr3:uid="{00000000-0010-0000-0300-000001000000}" name="Risk ID"/>
    <tableColumn id="2" xr3:uid="{00000000-0010-0000-0300-000002000000}" name="Stage"/>
    <tableColumn id="3" xr3:uid="{00000000-0010-0000-0300-000003000000}" name="Date Raised"/>
    <tableColumn id="4" xr3:uid="{00000000-0010-0000-0300-000004000000}" name="Category"/>
    <tableColumn id="5" xr3:uid="{00000000-0010-0000-0300-000005000000}" name="Description"/>
    <tableColumn id="6" xr3:uid="{00000000-0010-0000-0300-000006000000}" name="Severity"/>
    <tableColumn id="7" xr3:uid="{00000000-0010-0000-0300-000007000000}" name="Probability"/>
    <tableColumn id="8" xr3:uid="{00000000-0010-0000-0300-000008000000}" name="Status"/>
    <tableColumn id="9" xr3:uid="{00000000-0010-0000-0300-000009000000}" name="Owner"/>
    <tableColumn id="10" xr3:uid="{00000000-0010-0000-0300-00000A000000}" name="Mitigation / Next Action"/>
    <tableColumn id="11" xr3:uid="{00000000-0010-0000-0300-00000B000000}" name="Evidence / Link"/>
    <tableColumn id="12" xr3:uid="{00000000-0010-0000-0300-00000C000000}" name="Resolved Date"/>
    <tableColumn id="13" xr3:uid="{00000000-0010-0000-0300-00000D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fficialMatrixTable" displayName="OfficialMatrixTable" ref="A1:Q181" totalsRowShown="0">
  <tableColumns count="17">
    <tableColumn id="1" xr3:uid="{00000000-0010-0000-0400-000001000000}" name="Run ID"/>
    <tableColumn id="2" xr3:uid="{00000000-0010-0000-0400-000002000000}" name="Condition Role"/>
    <tableColumn id="3" xr3:uid="{00000000-0010-0000-0400-000003000000}" name="Method"/>
    <tableColumn id="4" xr3:uid="{00000000-0010-0000-0400-000004000000}" name="Architecture"/>
    <tableColumn id="5" xr3:uid="{00000000-0010-0000-0400-000005000000}" name="Budget"/>
    <tableColumn id="6" xr3:uid="{00000000-0010-0000-0400-000006000000}" name="Seed Index"/>
    <tableColumn id="7" xr3:uid="{00000000-0010-0000-0400-000007000000}" name="Training Seed"/>
    <tableColumn id="8" xr3:uid="{00000000-0010-0000-0400-000008000000}" name="Expected"/>
    <tableColumn id="9" xr3:uid="{00000000-0010-0000-0400-000009000000}" name="Training Status"/>
    <tableColumn id="10" xr3:uid="{00000000-0010-0000-0400-00000A000000}" name="Attempt Used"/>
    <tableColumn id="11" xr3:uid="{00000000-0010-0000-0400-00000B000000}" name="BEST Checkpoint"/>
    <tableColumn id="12" xr3:uid="{00000000-0010-0000-0400-00000C000000}" name="LAST Checkpoint"/>
    <tableColumn id="13" xr3:uid="{00000000-0010-0000-0400-00000D000000}" name="Q_pseudo Status"/>
    <tableColumn id="14" xr3:uid="{00000000-0010-0000-0400-00000E000000}" name="Backup Verified"/>
    <tableColumn id="15" xr3:uid="{00000000-0010-0000-0400-00000F000000}" name="Eligible Final Test"/>
    <tableColumn id="16" xr3:uid="{00000000-0010-0000-0400-000010000000}" name="Final Eval Status"/>
    <tableColumn id="17" xr3:uid="{00000000-0010-0000-0400-000011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sqref="A1:L2"/>
    </sheetView>
  </sheetViews>
  <sheetFormatPr defaultRowHeight="13.8"/>
  <cols>
    <col min="1" max="6" width="18" customWidth="1"/>
    <col min="7" max="7" width="3" customWidth="1"/>
    <col min="8" max="8" width="22" customWidth="1"/>
    <col min="9" max="9" width="3" customWidth="1"/>
    <col min="10" max="12" width="18" customWidth="1"/>
  </cols>
  <sheetData>
    <row r="1" spans="1:1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15" t="s">
        <v>1</v>
      </c>
      <c r="B4" s="15"/>
      <c r="C4" s="5"/>
      <c r="D4" s="15" t="s">
        <v>2</v>
      </c>
      <c r="E4" s="15"/>
      <c r="F4" s="5"/>
      <c r="G4" s="15" t="s">
        <v>3</v>
      </c>
      <c r="H4" s="15"/>
      <c r="I4" s="5"/>
      <c r="J4" s="15" t="s">
        <v>4</v>
      </c>
      <c r="K4" s="15"/>
      <c r="L4" s="15"/>
    </row>
    <row r="5" spans="1:12">
      <c r="A5" s="16">
        <v>8.1250000000000003E-2</v>
      </c>
      <c r="B5" s="16"/>
      <c r="C5" s="5"/>
      <c r="D5" s="17">
        <v>13</v>
      </c>
      <c r="E5" s="17"/>
      <c r="F5" s="5"/>
      <c r="G5" s="17">
        <f>COUNTIF(Detailed_Tasks!$H:$H,"FAIL")+COUNTIF(Detailed_Tasks!$H:$H,"BLOCKED")</f>
        <v>0</v>
      </c>
      <c r="H5" s="17"/>
      <c r="I5" s="5"/>
      <c r="J5" s="18" t="str">
        <f>IF(Stage_Status!C10="CLOSED / PASS","YES","NO")</f>
        <v>NO</v>
      </c>
      <c r="K5" s="18"/>
      <c r="L5" s="18"/>
    </row>
    <row r="6" spans="1:12">
      <c r="A6" s="16"/>
      <c r="B6" s="16"/>
      <c r="C6" s="5"/>
      <c r="D6" s="17"/>
      <c r="E6" s="17"/>
      <c r="F6" s="5"/>
      <c r="G6" s="17"/>
      <c r="H6" s="17"/>
      <c r="I6" s="5"/>
      <c r="J6" s="18"/>
      <c r="K6" s="18"/>
      <c r="L6" s="18"/>
    </row>
    <row r="7" spans="1:1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12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>
      <c r="A9" s="8" t="s">
        <v>6</v>
      </c>
      <c r="B9" s="8" t="s">
        <v>7</v>
      </c>
      <c r="C9" s="8" t="s">
        <v>8</v>
      </c>
      <c r="D9" s="5"/>
      <c r="E9" s="5"/>
      <c r="F9" s="5"/>
      <c r="G9" s="5"/>
      <c r="H9" s="5"/>
      <c r="I9" s="5"/>
      <c r="J9" s="5"/>
      <c r="K9" s="5"/>
      <c r="L9" s="5"/>
    </row>
    <row r="10" spans="1:12">
      <c r="A10" s="5" t="s">
        <v>54</v>
      </c>
      <c r="B10" s="5" t="s">
        <v>29</v>
      </c>
      <c r="C10" s="11" t="str">
        <f>INDEX(Stage_Status!$K$2:$K$11,MATCH(A10,Stage_Status!$A$2:$A$11,0))</f>
        <v>S0 governance artifacts valid + baseline commit/tag created</v>
      </c>
      <c r="D10" s="11"/>
      <c r="E10" s="11"/>
      <c r="F10" s="11"/>
      <c r="G10" s="11"/>
      <c r="H10" s="11"/>
      <c r="I10" s="11"/>
      <c r="J10" s="11"/>
      <c r="K10" s="11"/>
      <c r="L10" s="11"/>
    </row>
    <row r="1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12" t="s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  <c r="G13" s="5"/>
      <c r="H13" s="13" t="s">
        <v>16</v>
      </c>
      <c r="I13" s="13"/>
      <c r="J13" s="13"/>
      <c r="K13" s="13"/>
      <c r="L13" s="13"/>
    </row>
    <row r="14" spans="1:12" ht="27.6">
      <c r="A14" s="5" t="str">
        <f>Stage_Status!A2</f>
        <v>S0</v>
      </c>
      <c r="B14" s="5" t="str">
        <f>Stage_Status!B2</f>
        <v>Source / Protocol Lock Verification</v>
      </c>
      <c r="C14" s="5" t="s">
        <v>32</v>
      </c>
      <c r="D14" s="7">
        <v>1</v>
      </c>
      <c r="E14" s="5">
        <v>14</v>
      </c>
      <c r="F14" s="5">
        <v>14</v>
      </c>
      <c r="G14" s="5"/>
      <c r="H14" s="9" t="s">
        <v>17</v>
      </c>
      <c r="I14" s="5"/>
      <c r="J14" s="5">
        <f>COUNTIFS(Detailed_Tasks!$A:$A,"S7",Detailed_Tasks!$H:$H,"PASS")</f>
        <v>0</v>
      </c>
      <c r="K14" s="5"/>
      <c r="L14" s="5"/>
    </row>
    <row r="15" spans="1:12" ht="41.4">
      <c r="A15" s="5" t="str">
        <f>Stage_Status!A3</f>
        <v>S1</v>
      </c>
      <c r="B15" s="5" t="str">
        <f>Stage_Status!B3</f>
        <v>Vast Runtime + Data Ingress + Storage/Backup</v>
      </c>
      <c r="C15" s="5" t="str">
        <f>Stage_Status!C3</f>
        <v>NOT_OPEN</v>
      </c>
      <c r="D15" s="7">
        <f>Stage_Status!D3</f>
        <v>0</v>
      </c>
      <c r="E15" s="5">
        <f>Stage_Status!E3</f>
        <v>0</v>
      </c>
      <c r="F15" s="5">
        <f>Stage_Status!F3</f>
        <v>16</v>
      </c>
      <c r="G15" s="5"/>
      <c r="H15" s="9" t="s">
        <v>18</v>
      </c>
      <c r="I15" s="5"/>
      <c r="J15" s="5">
        <f>COUNTIF(Detailed_Tasks!$A:$A,"S7")</f>
        <v>27</v>
      </c>
      <c r="K15" s="5"/>
      <c r="L15" s="5"/>
    </row>
    <row r="16" spans="1:12">
      <c r="A16" s="5" t="str">
        <f>Stage_Status!A4</f>
        <v>S2</v>
      </c>
      <c r="B16" s="5" t="str">
        <f>Stage_Status!B4</f>
        <v>Shared Infrastructure</v>
      </c>
      <c r="C16" s="5" t="str">
        <f>Stage_Status!C4</f>
        <v>NOT_OPEN</v>
      </c>
      <c r="D16" s="7">
        <f>Stage_Status!D4</f>
        <v>0</v>
      </c>
      <c r="E16" s="5">
        <f>Stage_Status!E4</f>
        <v>0</v>
      </c>
      <c r="F16" s="5">
        <f>Stage_Status!F4</f>
        <v>16</v>
      </c>
      <c r="G16" s="5"/>
      <c r="H16" s="9" t="s">
        <v>19</v>
      </c>
      <c r="I16" s="5"/>
      <c r="J16" s="5">
        <f>COUNTIFS(Detailed_Tasks!$A:$A,"S7",Detailed_Tasks!$H:$H,"FAIL")+COUNTIFS(Detailed_Tasks!$A:$A,"S7",Detailed_Tasks!$H:$H,"BLOCKED")</f>
        <v>0</v>
      </c>
      <c r="K16" s="5"/>
      <c r="L16" s="5"/>
    </row>
    <row r="17" spans="1:12">
      <c r="A17" s="5" t="str">
        <f>Stage_Status!A5</f>
        <v>S3</v>
      </c>
      <c r="B17" s="5" t="str">
        <f>Stage_Status!B5</f>
        <v>Supervised Baseline</v>
      </c>
      <c r="C17" s="5" t="str">
        <f>Stage_Status!C5</f>
        <v>NOT_OPEN</v>
      </c>
      <c r="D17" s="7">
        <f>Stage_Status!D5</f>
        <v>0</v>
      </c>
      <c r="E17" s="5">
        <f>Stage_Status!E5</f>
        <v>0</v>
      </c>
      <c r="F17" s="5">
        <f>Stage_Status!F5</f>
        <v>14</v>
      </c>
      <c r="G17" s="5"/>
      <c r="H17" s="9" t="s">
        <v>20</v>
      </c>
      <c r="I17" s="5"/>
      <c r="J17" s="5" t="str">
        <f>Stage_Status!C10</f>
        <v>NOT_OPEN</v>
      </c>
      <c r="K17" s="5"/>
      <c r="L17" s="5"/>
    </row>
    <row r="18" spans="1:12" ht="41.4">
      <c r="A18" s="5" t="str">
        <f>Stage_Status!A6</f>
        <v>S4</v>
      </c>
      <c r="B18" s="5" t="str">
        <f>Stage_Status!B6</f>
        <v>SSL Teacher–Student / EMA / Pseudo-label</v>
      </c>
      <c r="C18" s="5" t="str">
        <f>Stage_Status!C6</f>
        <v>NOT_OPEN</v>
      </c>
      <c r="D18" s="7">
        <f>Stage_Status!D6</f>
        <v>0</v>
      </c>
      <c r="E18" s="5">
        <f>Stage_Status!E6</f>
        <v>0</v>
      </c>
      <c r="F18" s="5">
        <f>Stage_Status!F6</f>
        <v>20</v>
      </c>
      <c r="G18" s="5"/>
      <c r="H18" s="9" t="s">
        <v>21</v>
      </c>
      <c r="I18" s="5"/>
      <c r="J18" s="5" t="str">
        <f>Stage_Status!C11</f>
        <v>NOT_AUTHORIZED</v>
      </c>
      <c r="K18" s="5"/>
      <c r="L18" s="5"/>
    </row>
    <row r="19" spans="1:12" ht="27.6">
      <c r="A19" s="5" t="str">
        <f>Stage_Status!A7</f>
        <v>S5</v>
      </c>
      <c r="B19" s="5" t="str">
        <f>Stage_Status!B7</f>
        <v>Evaluation + Q_pseudo</v>
      </c>
      <c r="C19" s="5" t="str">
        <f>Stage_Status!C7</f>
        <v>NOT_OPEN</v>
      </c>
      <c r="D19" s="7">
        <f>Stage_Status!D7</f>
        <v>0</v>
      </c>
      <c r="E19" s="5">
        <f>Stage_Status!E7</f>
        <v>0</v>
      </c>
      <c r="F19" s="5">
        <f>Stage_Status!F7</f>
        <v>10</v>
      </c>
      <c r="G19" s="5"/>
      <c r="H19" s="5"/>
      <c r="I19" s="5"/>
      <c r="J19" s="5"/>
      <c r="K19" s="5"/>
      <c r="L19" s="5"/>
    </row>
    <row r="20" spans="1:12">
      <c r="A20" s="5" t="str">
        <f>Stage_Status!A8</f>
        <v>S6</v>
      </c>
      <c r="B20" s="5" t="str">
        <f>Stage_Status!B8</f>
        <v>Statistical Fixtures</v>
      </c>
      <c r="C20" s="5" t="str">
        <f>Stage_Status!C8</f>
        <v>NOT_OPEN</v>
      </c>
      <c r="D20" s="7">
        <f>Stage_Status!D8</f>
        <v>0</v>
      </c>
      <c r="E20" s="5">
        <f>Stage_Status!E8</f>
        <v>0</v>
      </c>
      <c r="F20" s="5">
        <f>Stage_Status!F8</f>
        <v>16</v>
      </c>
      <c r="G20" s="5"/>
      <c r="H20" s="5"/>
      <c r="I20" s="5"/>
      <c r="J20" s="5"/>
      <c r="K20" s="5"/>
      <c r="L20" s="5"/>
    </row>
    <row r="21" spans="1:12">
      <c r="A21" s="5" t="str">
        <f>Stage_Status!A9</f>
        <v>S7</v>
      </c>
      <c r="B21" s="5" t="str">
        <f>Stage_Status!B9</f>
        <v>Global Preflight</v>
      </c>
      <c r="C21" s="5" t="str">
        <f>Stage_Status!C9</f>
        <v>NOT_OPEN</v>
      </c>
      <c r="D21" s="7">
        <f>Stage_Status!D9</f>
        <v>0</v>
      </c>
      <c r="E21" s="5">
        <f>Stage_Status!E9</f>
        <v>0</v>
      </c>
      <c r="F21" s="5">
        <f>Stage_Status!F9</f>
        <v>27</v>
      </c>
      <c r="G21" s="5"/>
      <c r="H21" s="5"/>
      <c r="I21" s="5"/>
      <c r="J21" s="5"/>
      <c r="K21" s="5"/>
      <c r="L21" s="5"/>
    </row>
    <row r="22" spans="1:12" ht="27.6">
      <c r="A22" s="5" t="str">
        <f>Stage_Status!A10</f>
        <v>S8</v>
      </c>
      <c r="B22" s="5" t="str">
        <f>Stage_Status!B10</f>
        <v>Freeze + Researcher Authorization</v>
      </c>
      <c r="C22" s="5" t="str">
        <f>Stage_Status!C10</f>
        <v>NOT_OPEN</v>
      </c>
      <c r="D22" s="7">
        <f>Stage_Status!D10</f>
        <v>0</v>
      </c>
      <c r="E22" s="5">
        <f>Stage_Status!E10</f>
        <v>0</v>
      </c>
      <c r="F22" s="5">
        <f>Stage_Status!F10</f>
        <v>11</v>
      </c>
      <c r="G22" s="5"/>
      <c r="H22" s="5"/>
      <c r="I22" s="5"/>
      <c r="J22" s="5"/>
      <c r="K22" s="5"/>
      <c r="L22" s="5"/>
    </row>
    <row r="23" spans="1:12">
      <c r="A23" s="5" t="str">
        <f>Stage_Status!A11</f>
        <v>S9</v>
      </c>
      <c r="B23" s="5" t="str">
        <f>Stage_Status!B11</f>
        <v>Official Training</v>
      </c>
      <c r="C23" s="5" t="str">
        <f>Stage_Status!C11</f>
        <v>NOT_AUTHORIZED</v>
      </c>
      <c r="D23" s="7">
        <f>Stage_Status!D11</f>
        <v>0</v>
      </c>
      <c r="E23" s="5">
        <f>Stage_Status!E11</f>
        <v>0</v>
      </c>
      <c r="F23" s="5">
        <f>Stage_Status!F11</f>
        <v>16</v>
      </c>
      <c r="G23" s="5"/>
      <c r="H23" s="5"/>
      <c r="I23" s="5"/>
      <c r="J23" s="5"/>
      <c r="K23" s="5"/>
      <c r="L23" s="5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10" t="s">
        <v>1233</v>
      </c>
      <c r="B25" s="11"/>
      <c r="C25" s="11"/>
      <c r="D25" s="11"/>
      <c r="E25" s="11"/>
      <c r="F25" s="11"/>
      <c r="G25" s="5"/>
      <c r="H25" s="5"/>
      <c r="I25" s="5"/>
      <c r="J25" s="5"/>
      <c r="K25" s="5"/>
      <c r="L25" s="5"/>
    </row>
    <row r="26" spans="1:12" ht="41.4">
      <c r="A26" s="5" t="s">
        <v>1234</v>
      </c>
      <c r="B26" s="5" t="s">
        <v>1235</v>
      </c>
      <c r="C26" s="5" t="s">
        <v>1236</v>
      </c>
      <c r="D26" s="5" t="s">
        <v>1267</v>
      </c>
      <c r="E26" s="5" t="s">
        <v>1237</v>
      </c>
      <c r="F26" s="5" t="s">
        <v>665</v>
      </c>
      <c r="G26" s="5"/>
      <c r="H26" s="5"/>
      <c r="I26" s="5"/>
      <c r="J26" s="5"/>
      <c r="K26" s="5"/>
      <c r="L26" s="5"/>
    </row>
    <row r="27" spans="1:12" ht="27.6">
      <c r="A27" s="5" t="s">
        <v>1238</v>
      </c>
      <c r="B27" s="5" t="s">
        <v>1268</v>
      </c>
      <c r="C27" s="5" t="s">
        <v>1240</v>
      </c>
      <c r="D27" s="5" t="s">
        <v>14</v>
      </c>
      <c r="E27" s="5" t="s">
        <v>1241</v>
      </c>
      <c r="F27" s="5" t="s">
        <v>665</v>
      </c>
      <c r="G27" s="5"/>
      <c r="H27" s="5"/>
      <c r="I27" s="5"/>
      <c r="J27" s="5"/>
      <c r="K27" s="5"/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</sheetData>
  <mergeCells count="14">
    <mergeCell ref="A1:L2"/>
    <mergeCell ref="A4:B4"/>
    <mergeCell ref="A5:B6"/>
    <mergeCell ref="D4:E4"/>
    <mergeCell ref="D5:E6"/>
    <mergeCell ref="G4:H4"/>
    <mergeCell ref="G5:H6"/>
    <mergeCell ref="J4:L4"/>
    <mergeCell ref="J5:L6"/>
    <mergeCell ref="A25:F25"/>
    <mergeCell ref="A8:L8"/>
    <mergeCell ref="C10:L10"/>
    <mergeCell ref="A12:L12"/>
    <mergeCell ref="H13:L13"/>
  </mergeCells>
  <conditionalFormatting sqref="C14:C23">
    <cfRule type="expression" dxfId="17" priority="2">
      <formula>C14="CLOSED / PASS"</formula>
    </cfRule>
    <cfRule type="expression" dxfId="16" priority="3">
      <formula>C14="IN_PROGRESS"</formula>
    </cfRule>
    <cfRule type="expression" dxfId="15" priority="4">
      <formula>OR(C14="BLOCKED / FAIL",C14="NOT_AUTHORIZED")</formula>
    </cfRule>
  </conditionalFormatting>
  <conditionalFormatting sqref="D14:D23">
    <cfRule type="dataBar" priority="1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</cfRule>
    <cfRule type="dataBar" priority="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D14:D23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3.8"/>
  <cols>
    <col min="1" max="4" width="24" customWidth="1"/>
  </cols>
  <sheetData>
    <row r="1" spans="1:4">
      <c r="A1" s="1" t="s">
        <v>22</v>
      </c>
      <c r="B1" s="1" t="s">
        <v>7</v>
      </c>
      <c r="C1" s="1" t="s">
        <v>23</v>
      </c>
      <c r="D1" s="1" t="s">
        <v>24</v>
      </c>
    </row>
    <row r="2" spans="1:4">
      <c r="A2" t="s">
        <v>25</v>
      </c>
      <c r="B2" t="s">
        <v>26</v>
      </c>
      <c r="C2" t="s">
        <v>27</v>
      </c>
      <c r="D2" t="s">
        <v>28</v>
      </c>
    </row>
    <row r="3" spans="1:4">
      <c r="A3" t="s">
        <v>29</v>
      </c>
      <c r="B3" t="s">
        <v>29</v>
      </c>
      <c r="C3" t="s">
        <v>30</v>
      </c>
      <c r="D3" t="s">
        <v>31</v>
      </c>
    </row>
    <row r="4" spans="1:4">
      <c r="A4" t="s">
        <v>14</v>
      </c>
      <c r="B4" t="s">
        <v>32</v>
      </c>
      <c r="C4" t="s">
        <v>33</v>
      </c>
      <c r="D4" t="s">
        <v>34</v>
      </c>
    </row>
    <row r="5" spans="1:4">
      <c r="A5" t="s">
        <v>35</v>
      </c>
      <c r="B5" t="s">
        <v>36</v>
      </c>
      <c r="C5" t="s">
        <v>37</v>
      </c>
      <c r="D5" t="s">
        <v>38</v>
      </c>
    </row>
    <row r="6" spans="1:4">
      <c r="A6" t="s">
        <v>39</v>
      </c>
      <c r="B6" t="s">
        <v>40</v>
      </c>
    </row>
    <row r="7" spans="1:4">
      <c r="A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1"/>
  <sheetViews>
    <sheetView workbookViewId="0"/>
  </sheetViews>
  <sheetFormatPr defaultRowHeight="13.8"/>
  <cols>
    <col min="1" max="1" width="8" customWidth="1"/>
    <col min="2" max="2" width="10" customWidth="1"/>
    <col min="3" max="3" width="17" customWidth="1"/>
    <col min="4" max="4" width="34" customWidth="1"/>
    <col min="5" max="5" width="46" customWidth="1"/>
    <col min="6" max="6" width="33" customWidth="1"/>
    <col min="7" max="7" width="11" customWidth="1"/>
    <col min="8" max="8" width="16" customWidth="1"/>
    <col min="9" max="9" width="42" customWidth="1"/>
    <col min="10" max="10" width="30" customWidth="1"/>
    <col min="11" max="11" width="20" customWidth="1"/>
    <col min="12" max="13" width="13" customWidth="1"/>
    <col min="14" max="14" width="14" customWidth="1"/>
    <col min="15" max="15" width="28" customWidth="1"/>
    <col min="16" max="16" width="34" customWidth="1"/>
  </cols>
  <sheetData>
    <row r="1" spans="1:16" ht="27.6">
      <c r="A1" s="4" t="s">
        <v>10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23</v>
      </c>
      <c r="H1" s="4" t="s">
        <v>12</v>
      </c>
      <c r="I1" s="4" t="s">
        <v>47</v>
      </c>
      <c r="J1" s="4" t="s">
        <v>48</v>
      </c>
      <c r="K1" s="4" t="s">
        <v>24</v>
      </c>
      <c r="L1" s="4" t="s">
        <v>49</v>
      </c>
      <c r="M1" s="4" t="s">
        <v>50</v>
      </c>
      <c r="N1" s="4" t="s">
        <v>51</v>
      </c>
      <c r="O1" s="4" t="s">
        <v>52</v>
      </c>
      <c r="P1" s="4" t="s">
        <v>53</v>
      </c>
    </row>
    <row r="2" spans="1:16" ht="41.4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27</v>
      </c>
      <c r="H2" s="5" t="s">
        <v>14</v>
      </c>
      <c r="I2" s="5" t="s">
        <v>60</v>
      </c>
      <c r="J2" s="5" t="s">
        <v>61</v>
      </c>
      <c r="K2" s="5" t="s">
        <v>28</v>
      </c>
      <c r="L2" s="6"/>
      <c r="M2" s="6"/>
      <c r="N2" s="6"/>
      <c r="O2" s="5"/>
      <c r="P2" s="5"/>
    </row>
    <row r="3" spans="1:16" ht="27.6">
      <c r="A3" s="5" t="s">
        <v>54</v>
      </c>
      <c r="B3" s="5" t="s">
        <v>62</v>
      </c>
      <c r="C3" s="5" t="s">
        <v>56</v>
      </c>
      <c r="D3" s="5" t="s">
        <v>63</v>
      </c>
      <c r="E3" s="5" t="s">
        <v>64</v>
      </c>
      <c r="F3" s="5" t="s">
        <v>65</v>
      </c>
      <c r="G3" s="5" t="s">
        <v>27</v>
      </c>
      <c r="H3" s="5" t="s">
        <v>14</v>
      </c>
      <c r="I3" s="5" t="s">
        <v>66</v>
      </c>
      <c r="J3" s="5" t="s">
        <v>67</v>
      </c>
      <c r="K3" s="5" t="s">
        <v>28</v>
      </c>
      <c r="L3" s="6"/>
      <c r="M3" s="6"/>
      <c r="N3" s="6"/>
      <c r="O3" s="5"/>
      <c r="P3" s="5"/>
    </row>
    <row r="4" spans="1:16" ht="27.6">
      <c r="A4" s="5" t="s">
        <v>54</v>
      </c>
      <c r="B4" s="5" t="s">
        <v>68</v>
      </c>
      <c r="C4" s="5" t="s">
        <v>56</v>
      </c>
      <c r="D4" s="5" t="s">
        <v>69</v>
      </c>
      <c r="E4" s="5" t="s">
        <v>70</v>
      </c>
      <c r="F4" s="5" t="s">
        <v>65</v>
      </c>
      <c r="G4" s="5" t="s">
        <v>27</v>
      </c>
      <c r="H4" s="5" t="s">
        <v>14</v>
      </c>
      <c r="I4" s="5" t="s">
        <v>71</v>
      </c>
      <c r="J4" s="5" t="s">
        <v>67</v>
      </c>
      <c r="K4" s="5" t="s">
        <v>28</v>
      </c>
      <c r="L4" s="6"/>
      <c r="M4" s="6"/>
      <c r="N4" s="6"/>
      <c r="O4" s="5"/>
      <c r="P4" s="5"/>
    </row>
    <row r="5" spans="1:16" ht="41.4">
      <c r="A5" s="5" t="s">
        <v>54</v>
      </c>
      <c r="B5" s="5" t="s">
        <v>72</v>
      </c>
      <c r="C5" s="5" t="s">
        <v>56</v>
      </c>
      <c r="D5" s="5" t="s">
        <v>73</v>
      </c>
      <c r="E5" s="5" t="s">
        <v>74</v>
      </c>
      <c r="F5" s="5" t="s">
        <v>65</v>
      </c>
      <c r="G5" s="5" t="s">
        <v>27</v>
      </c>
      <c r="H5" s="5" t="s">
        <v>14</v>
      </c>
      <c r="I5" s="5" t="s">
        <v>75</v>
      </c>
      <c r="J5" s="5" t="s">
        <v>67</v>
      </c>
      <c r="K5" s="5" t="s">
        <v>28</v>
      </c>
      <c r="L5" s="6"/>
      <c r="M5" s="6"/>
      <c r="N5" s="6"/>
      <c r="O5" s="5"/>
      <c r="P5" s="5"/>
    </row>
    <row r="6" spans="1:16" ht="41.4">
      <c r="A6" s="5" t="s">
        <v>54</v>
      </c>
      <c r="B6" s="5" t="s">
        <v>76</v>
      </c>
      <c r="C6" s="5" t="s">
        <v>56</v>
      </c>
      <c r="D6" s="5" t="s">
        <v>77</v>
      </c>
      <c r="E6" s="5" t="s">
        <v>78</v>
      </c>
      <c r="F6" s="5" t="s">
        <v>65</v>
      </c>
      <c r="G6" s="5" t="s">
        <v>27</v>
      </c>
      <c r="H6" s="5" t="s">
        <v>14</v>
      </c>
      <c r="I6" s="5" t="s">
        <v>79</v>
      </c>
      <c r="J6" s="5" t="s">
        <v>80</v>
      </c>
      <c r="K6" s="5" t="s">
        <v>28</v>
      </c>
      <c r="L6" s="6"/>
      <c r="M6" s="6"/>
      <c r="N6" s="6"/>
      <c r="O6" s="5"/>
      <c r="P6" s="5"/>
    </row>
    <row r="7" spans="1:16" ht="69">
      <c r="A7" s="5" t="s">
        <v>54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1242</v>
      </c>
      <c r="G7" s="5" t="s">
        <v>30</v>
      </c>
      <c r="H7" s="5" t="s">
        <v>14</v>
      </c>
      <c r="I7" s="5" t="s">
        <v>1243</v>
      </c>
      <c r="J7" s="5" t="s">
        <v>1260</v>
      </c>
      <c r="K7" s="5" t="s">
        <v>28</v>
      </c>
      <c r="L7" s="6"/>
      <c r="M7" s="6"/>
      <c r="N7" s="6"/>
      <c r="O7" s="5"/>
      <c r="P7" s="5" t="s">
        <v>1261</v>
      </c>
    </row>
    <row r="8" spans="1:16" ht="69">
      <c r="A8" s="5" t="s">
        <v>54</v>
      </c>
      <c r="B8" s="5" t="s">
        <v>85</v>
      </c>
      <c r="C8" s="5" t="s">
        <v>56</v>
      </c>
      <c r="D8" s="5" t="s">
        <v>86</v>
      </c>
      <c r="E8" s="5" t="s">
        <v>87</v>
      </c>
      <c r="F8" s="5" t="s">
        <v>65</v>
      </c>
      <c r="G8" s="5" t="s">
        <v>30</v>
      </c>
      <c r="H8" s="5" t="s">
        <v>14</v>
      </c>
      <c r="I8" s="5" t="s">
        <v>88</v>
      </c>
      <c r="J8" s="5" t="s">
        <v>89</v>
      </c>
      <c r="K8" s="5" t="s">
        <v>28</v>
      </c>
      <c r="L8" s="6"/>
      <c r="M8" s="6"/>
      <c r="N8" s="6"/>
      <c r="O8" s="5"/>
      <c r="P8" s="5" t="s">
        <v>1262</v>
      </c>
    </row>
    <row r="9" spans="1:16" ht="69">
      <c r="A9" s="5" t="s">
        <v>54</v>
      </c>
      <c r="B9" s="5" t="s">
        <v>90</v>
      </c>
      <c r="C9" s="5" t="s">
        <v>56</v>
      </c>
      <c r="D9" s="5" t="s">
        <v>91</v>
      </c>
      <c r="E9" s="5" t="s">
        <v>92</v>
      </c>
      <c r="F9" s="5" t="s">
        <v>65</v>
      </c>
      <c r="G9" s="5" t="s">
        <v>30</v>
      </c>
      <c r="H9" s="5" t="s">
        <v>14</v>
      </c>
      <c r="I9" s="5" t="s">
        <v>93</v>
      </c>
      <c r="J9" s="5" t="s">
        <v>89</v>
      </c>
      <c r="K9" s="5" t="s">
        <v>28</v>
      </c>
      <c r="L9" s="6"/>
      <c r="M9" s="6"/>
      <c r="N9" s="6"/>
      <c r="O9" s="5"/>
      <c r="P9" s="5" t="s">
        <v>1262</v>
      </c>
    </row>
    <row r="10" spans="1:16" ht="69">
      <c r="A10" s="5" t="s">
        <v>54</v>
      </c>
      <c r="B10" s="5" t="s">
        <v>94</v>
      </c>
      <c r="C10" s="5" t="s">
        <v>56</v>
      </c>
      <c r="D10" s="5" t="s">
        <v>95</v>
      </c>
      <c r="E10" s="5" t="s">
        <v>96</v>
      </c>
      <c r="F10" s="5" t="s">
        <v>65</v>
      </c>
      <c r="G10" s="5" t="s">
        <v>30</v>
      </c>
      <c r="H10" s="5" t="s">
        <v>14</v>
      </c>
      <c r="I10" s="5" t="s">
        <v>97</v>
      </c>
      <c r="J10" s="5" t="s">
        <v>89</v>
      </c>
      <c r="K10" s="5" t="s">
        <v>28</v>
      </c>
      <c r="L10" s="6"/>
      <c r="M10" s="6"/>
      <c r="N10" s="6"/>
      <c r="O10" s="5"/>
      <c r="P10" s="5" t="s">
        <v>1262</v>
      </c>
    </row>
    <row r="11" spans="1:16" ht="69">
      <c r="A11" s="5" t="s">
        <v>54</v>
      </c>
      <c r="B11" s="5" t="s">
        <v>98</v>
      </c>
      <c r="C11" s="5" t="s">
        <v>56</v>
      </c>
      <c r="D11" s="5" t="s">
        <v>99</v>
      </c>
      <c r="E11" s="5" t="s">
        <v>100</v>
      </c>
      <c r="F11" s="5" t="s">
        <v>65</v>
      </c>
      <c r="G11" s="5" t="s">
        <v>33</v>
      </c>
      <c r="H11" s="5" t="s">
        <v>14</v>
      </c>
      <c r="I11" s="5" t="s">
        <v>101</v>
      </c>
      <c r="J11" s="5" t="s">
        <v>102</v>
      </c>
      <c r="K11" s="5" t="s">
        <v>28</v>
      </c>
      <c r="L11" s="6"/>
      <c r="M11" s="6"/>
      <c r="N11" s="6"/>
      <c r="O11" s="5"/>
      <c r="P11" s="5" t="s">
        <v>1262</v>
      </c>
    </row>
    <row r="12" spans="1:16" ht="69">
      <c r="A12" s="5" t="s">
        <v>54</v>
      </c>
      <c r="B12" s="5" t="s">
        <v>103</v>
      </c>
      <c r="C12" s="5" t="s">
        <v>56</v>
      </c>
      <c r="D12" s="5" t="s">
        <v>1244</v>
      </c>
      <c r="E12" s="5" t="s">
        <v>1245</v>
      </c>
      <c r="F12" s="5" t="s">
        <v>65</v>
      </c>
      <c r="G12" s="5" t="s">
        <v>27</v>
      </c>
      <c r="H12" s="5" t="s">
        <v>14</v>
      </c>
      <c r="I12" s="5" t="s">
        <v>1246</v>
      </c>
      <c r="J12" s="5" t="s">
        <v>1247</v>
      </c>
      <c r="K12" s="5" t="s">
        <v>28</v>
      </c>
      <c r="L12" s="6"/>
      <c r="M12" s="6"/>
      <c r="N12" s="6"/>
      <c r="O12" s="5"/>
      <c r="P12" s="5" t="s">
        <v>1263</v>
      </c>
    </row>
    <row r="13" spans="1:16" ht="82.8">
      <c r="A13" s="5" t="s">
        <v>54</v>
      </c>
      <c r="B13" s="5" t="s">
        <v>104</v>
      </c>
      <c r="C13" s="5" t="s">
        <v>82</v>
      </c>
      <c r="D13" s="5" t="s">
        <v>105</v>
      </c>
      <c r="E13" s="5" t="s">
        <v>106</v>
      </c>
      <c r="F13" s="5" t="s">
        <v>1242</v>
      </c>
      <c r="G13" s="5" t="s">
        <v>27</v>
      </c>
      <c r="H13" s="5" t="s">
        <v>14</v>
      </c>
      <c r="I13" s="5" t="s">
        <v>1264</v>
      </c>
      <c r="J13" s="5" t="s">
        <v>108</v>
      </c>
      <c r="K13" s="5" t="s">
        <v>28</v>
      </c>
      <c r="L13" s="6"/>
      <c r="M13" s="6"/>
      <c r="N13" s="6"/>
      <c r="O13" s="5"/>
      <c r="P13" s="5" t="s">
        <v>1265</v>
      </c>
    </row>
    <row r="14" spans="1:16" ht="69">
      <c r="A14" s="5" t="s">
        <v>54</v>
      </c>
      <c r="B14" s="5" t="s">
        <v>109</v>
      </c>
      <c r="C14" s="5" t="s">
        <v>82</v>
      </c>
      <c r="D14" s="5" t="s">
        <v>110</v>
      </c>
      <c r="E14" s="5" t="s">
        <v>111</v>
      </c>
      <c r="F14" s="5" t="s">
        <v>1242</v>
      </c>
      <c r="G14" s="5" t="s">
        <v>27</v>
      </c>
      <c r="H14" s="5" t="s">
        <v>14</v>
      </c>
      <c r="I14" s="5" t="s">
        <v>112</v>
      </c>
      <c r="J14" s="5" t="s">
        <v>113</v>
      </c>
      <c r="K14" s="5" t="s">
        <v>28</v>
      </c>
      <c r="L14" s="6"/>
      <c r="M14" s="6"/>
      <c r="N14" s="6"/>
      <c r="O14" s="5"/>
      <c r="P14" s="5" t="s">
        <v>1266</v>
      </c>
    </row>
    <row r="15" spans="1:16" ht="96.6">
      <c r="A15" s="5" t="s">
        <v>54</v>
      </c>
      <c r="B15" s="5" t="s">
        <v>114</v>
      </c>
      <c r="C15" s="5" t="s">
        <v>115</v>
      </c>
      <c r="D15" s="5" t="s">
        <v>116</v>
      </c>
      <c r="E15" s="5" t="s">
        <v>117</v>
      </c>
      <c r="F15" s="5" t="s">
        <v>538</v>
      </c>
      <c r="G15" s="5" t="s">
        <v>27</v>
      </c>
      <c r="H15" s="5" t="s">
        <v>14</v>
      </c>
      <c r="I15" s="5" t="s">
        <v>1248</v>
      </c>
      <c r="J15" s="5" t="s">
        <v>118</v>
      </c>
      <c r="K15" s="5" t="s">
        <v>28</v>
      </c>
      <c r="L15" s="6"/>
      <c r="M15" s="6"/>
      <c r="N15" s="6"/>
      <c r="O15" s="5"/>
      <c r="P15" s="5" t="s">
        <v>1281</v>
      </c>
    </row>
    <row r="16" spans="1:16" ht="27.6">
      <c r="A16" s="5" t="s">
        <v>119</v>
      </c>
      <c r="B16" s="5" t="s">
        <v>120</v>
      </c>
      <c r="C16" s="5" t="s">
        <v>121</v>
      </c>
      <c r="D16" s="5" t="s">
        <v>122</v>
      </c>
      <c r="E16" s="5" t="s">
        <v>123</v>
      </c>
      <c r="F16" s="5" t="s">
        <v>1242</v>
      </c>
      <c r="G16" s="5" t="s">
        <v>30</v>
      </c>
      <c r="H16" s="5" t="s">
        <v>25</v>
      </c>
      <c r="I16" s="5" t="s">
        <v>124</v>
      </c>
      <c r="J16" s="5" t="s">
        <v>125</v>
      </c>
      <c r="K16" s="5" t="s">
        <v>28</v>
      </c>
      <c r="L16" s="6"/>
      <c r="M16" s="6"/>
      <c r="N16" s="6"/>
      <c r="O16" s="5"/>
      <c r="P16" s="5"/>
    </row>
    <row r="17" spans="1:16" ht="41.4">
      <c r="A17" s="5" t="s">
        <v>119</v>
      </c>
      <c r="B17" s="5" t="s">
        <v>126</v>
      </c>
      <c r="C17" s="5" t="s">
        <v>127</v>
      </c>
      <c r="D17" s="5" t="s">
        <v>128</v>
      </c>
      <c r="E17" s="5" t="s">
        <v>129</v>
      </c>
      <c r="F17" s="5" t="s">
        <v>130</v>
      </c>
      <c r="G17" s="5" t="s">
        <v>27</v>
      </c>
      <c r="H17" s="5" t="s">
        <v>25</v>
      </c>
      <c r="I17" s="5" t="s">
        <v>131</v>
      </c>
      <c r="J17" s="5" t="s">
        <v>132</v>
      </c>
      <c r="K17" s="5" t="s">
        <v>28</v>
      </c>
      <c r="L17" s="6"/>
      <c r="M17" s="6"/>
      <c r="N17" s="6"/>
      <c r="O17" s="5"/>
      <c r="P17" s="5"/>
    </row>
    <row r="18" spans="1:16" ht="27.6">
      <c r="A18" s="5" t="s">
        <v>119</v>
      </c>
      <c r="B18" s="5" t="s">
        <v>133</v>
      </c>
      <c r="C18" s="5" t="s">
        <v>127</v>
      </c>
      <c r="D18" s="5" t="s">
        <v>134</v>
      </c>
      <c r="E18" s="5" t="s">
        <v>135</v>
      </c>
      <c r="F18" s="5" t="s">
        <v>65</v>
      </c>
      <c r="G18" s="5" t="s">
        <v>30</v>
      </c>
      <c r="H18" s="5" t="s">
        <v>25</v>
      </c>
      <c r="I18" s="5" t="s">
        <v>124</v>
      </c>
      <c r="J18" s="5" t="s">
        <v>136</v>
      </c>
      <c r="K18" s="5" t="s">
        <v>28</v>
      </c>
      <c r="L18" s="6"/>
      <c r="M18" s="6"/>
      <c r="N18" s="6"/>
      <c r="O18" s="5"/>
      <c r="P18" s="5"/>
    </row>
    <row r="19" spans="1:16" ht="27.6">
      <c r="A19" s="5" t="s">
        <v>119</v>
      </c>
      <c r="B19" s="5" t="s">
        <v>137</v>
      </c>
      <c r="C19" s="5" t="s">
        <v>138</v>
      </c>
      <c r="D19" s="5" t="s">
        <v>139</v>
      </c>
      <c r="E19" s="5" t="s">
        <v>140</v>
      </c>
      <c r="F19" s="5" t="s">
        <v>1242</v>
      </c>
      <c r="G19" s="5" t="s">
        <v>30</v>
      </c>
      <c r="H19" s="5" t="s">
        <v>25</v>
      </c>
      <c r="I19" s="5" t="s">
        <v>141</v>
      </c>
      <c r="J19" s="5" t="s">
        <v>142</v>
      </c>
      <c r="K19" s="5" t="s">
        <v>28</v>
      </c>
      <c r="L19" s="6"/>
      <c r="M19" s="6"/>
      <c r="N19" s="6"/>
      <c r="O19" s="5"/>
      <c r="P19" s="5"/>
    </row>
    <row r="20" spans="1:16" ht="27.6">
      <c r="A20" s="5" t="s">
        <v>119</v>
      </c>
      <c r="B20" s="5" t="s">
        <v>143</v>
      </c>
      <c r="C20" s="5" t="s">
        <v>144</v>
      </c>
      <c r="D20" s="5" t="s">
        <v>145</v>
      </c>
      <c r="E20" s="5" t="s">
        <v>146</v>
      </c>
      <c r="F20" s="5" t="s">
        <v>65</v>
      </c>
      <c r="G20" s="5" t="s">
        <v>27</v>
      </c>
      <c r="H20" s="5" t="s">
        <v>25</v>
      </c>
      <c r="I20" s="5" t="s">
        <v>147</v>
      </c>
      <c r="J20" s="5" t="s">
        <v>148</v>
      </c>
      <c r="K20" s="5" t="s">
        <v>28</v>
      </c>
      <c r="L20" s="6"/>
      <c r="M20" s="6"/>
      <c r="N20" s="6"/>
      <c r="O20" s="5"/>
      <c r="P20" s="5"/>
    </row>
    <row r="21" spans="1:16" ht="27.6">
      <c r="A21" s="5" t="s">
        <v>119</v>
      </c>
      <c r="B21" s="5" t="s">
        <v>149</v>
      </c>
      <c r="C21" s="5" t="s">
        <v>150</v>
      </c>
      <c r="D21" s="5" t="s">
        <v>151</v>
      </c>
      <c r="E21" s="5" t="s">
        <v>152</v>
      </c>
      <c r="F21" s="5" t="s">
        <v>65</v>
      </c>
      <c r="G21" s="5" t="s">
        <v>27</v>
      </c>
      <c r="H21" s="5" t="s">
        <v>25</v>
      </c>
      <c r="I21" s="5" t="s">
        <v>153</v>
      </c>
      <c r="J21" s="5" t="s">
        <v>154</v>
      </c>
      <c r="K21" s="5" t="s">
        <v>28</v>
      </c>
      <c r="L21" s="6"/>
      <c r="M21" s="6"/>
      <c r="N21" s="6"/>
      <c r="O21" s="5"/>
      <c r="P21" s="5"/>
    </row>
    <row r="22" spans="1:16">
      <c r="A22" s="5" t="s">
        <v>119</v>
      </c>
      <c r="B22" s="5" t="s">
        <v>155</v>
      </c>
      <c r="C22" s="5" t="s">
        <v>150</v>
      </c>
      <c r="D22" s="5" t="s">
        <v>156</v>
      </c>
      <c r="E22" s="5" t="s">
        <v>157</v>
      </c>
      <c r="F22" s="5" t="s">
        <v>130</v>
      </c>
      <c r="G22" s="5" t="s">
        <v>27</v>
      </c>
      <c r="H22" s="5" t="s">
        <v>25</v>
      </c>
      <c r="I22" s="5" t="s">
        <v>158</v>
      </c>
      <c r="J22" s="5" t="s">
        <v>159</v>
      </c>
      <c r="K22" s="5" t="s">
        <v>28</v>
      </c>
      <c r="L22" s="6"/>
      <c r="M22" s="6"/>
      <c r="N22" s="6"/>
      <c r="O22" s="5"/>
      <c r="P22" s="5"/>
    </row>
    <row r="23" spans="1:16" ht="27.6">
      <c r="A23" s="5" t="s">
        <v>119</v>
      </c>
      <c r="B23" s="5" t="s">
        <v>160</v>
      </c>
      <c r="C23" s="5" t="s">
        <v>150</v>
      </c>
      <c r="D23" s="5" t="s">
        <v>161</v>
      </c>
      <c r="E23" s="5" t="s">
        <v>162</v>
      </c>
      <c r="F23" s="5" t="s">
        <v>130</v>
      </c>
      <c r="G23" s="5" t="s">
        <v>30</v>
      </c>
      <c r="H23" s="5" t="s">
        <v>25</v>
      </c>
      <c r="I23" s="5" t="s">
        <v>158</v>
      </c>
      <c r="J23" s="5" t="s">
        <v>163</v>
      </c>
      <c r="K23" s="5" t="s">
        <v>28</v>
      </c>
      <c r="L23" s="6"/>
      <c r="M23" s="6"/>
      <c r="N23" s="6"/>
      <c r="O23" s="5"/>
      <c r="P23" s="5"/>
    </row>
    <row r="24" spans="1:16">
      <c r="A24" s="5" t="s">
        <v>119</v>
      </c>
      <c r="B24" s="5" t="s">
        <v>164</v>
      </c>
      <c r="C24" s="5" t="s">
        <v>150</v>
      </c>
      <c r="D24" s="5" t="s">
        <v>165</v>
      </c>
      <c r="E24" s="5" t="s">
        <v>166</v>
      </c>
      <c r="F24" s="5" t="s">
        <v>130</v>
      </c>
      <c r="G24" s="5" t="s">
        <v>27</v>
      </c>
      <c r="H24" s="5" t="s">
        <v>25</v>
      </c>
      <c r="I24" s="5" t="s">
        <v>167</v>
      </c>
      <c r="J24" s="5" t="s">
        <v>168</v>
      </c>
      <c r="K24" s="5" t="s">
        <v>28</v>
      </c>
      <c r="L24" s="6"/>
      <c r="M24" s="6"/>
      <c r="N24" s="6"/>
      <c r="O24" s="5"/>
      <c r="P24" s="5"/>
    </row>
    <row r="25" spans="1:16" ht="27.6">
      <c r="A25" s="5" t="s">
        <v>119</v>
      </c>
      <c r="B25" s="5" t="s">
        <v>169</v>
      </c>
      <c r="C25" s="5" t="s">
        <v>150</v>
      </c>
      <c r="D25" s="5" t="s">
        <v>170</v>
      </c>
      <c r="E25" s="5" t="s">
        <v>171</v>
      </c>
      <c r="F25" s="5" t="s">
        <v>130</v>
      </c>
      <c r="G25" s="5" t="s">
        <v>30</v>
      </c>
      <c r="H25" s="5" t="s">
        <v>25</v>
      </c>
      <c r="I25" s="5" t="s">
        <v>167</v>
      </c>
      <c r="J25" s="5" t="s">
        <v>172</v>
      </c>
      <c r="K25" s="5" t="s">
        <v>28</v>
      </c>
      <c r="L25" s="6"/>
      <c r="M25" s="6"/>
      <c r="N25" s="6"/>
      <c r="O25" s="5"/>
      <c r="P25" s="5"/>
    </row>
    <row r="26" spans="1:16" ht="27.6">
      <c r="A26" s="5" t="s">
        <v>119</v>
      </c>
      <c r="B26" s="5" t="s">
        <v>173</v>
      </c>
      <c r="C26" s="5" t="s">
        <v>150</v>
      </c>
      <c r="D26" s="5" t="s">
        <v>174</v>
      </c>
      <c r="E26" s="5" t="s">
        <v>175</v>
      </c>
      <c r="F26" s="5" t="s">
        <v>130</v>
      </c>
      <c r="G26" s="5" t="s">
        <v>27</v>
      </c>
      <c r="H26" s="5" t="s">
        <v>25</v>
      </c>
      <c r="I26" s="5" t="s">
        <v>176</v>
      </c>
      <c r="J26" s="5" t="s">
        <v>177</v>
      </c>
      <c r="K26" s="5" t="s">
        <v>28</v>
      </c>
      <c r="L26" s="6"/>
      <c r="M26" s="6"/>
      <c r="N26" s="6"/>
      <c r="O26" s="5"/>
      <c r="P26" s="5"/>
    </row>
    <row r="27" spans="1:16" ht="27.6">
      <c r="A27" s="5" t="s">
        <v>119</v>
      </c>
      <c r="B27" s="5" t="s">
        <v>178</v>
      </c>
      <c r="C27" s="5" t="s">
        <v>138</v>
      </c>
      <c r="D27" s="5" t="s">
        <v>179</v>
      </c>
      <c r="E27" s="5" t="s">
        <v>180</v>
      </c>
      <c r="F27" s="5" t="s">
        <v>65</v>
      </c>
      <c r="G27" s="5" t="s">
        <v>27</v>
      </c>
      <c r="H27" s="5" t="s">
        <v>25</v>
      </c>
      <c r="I27" s="5" t="s">
        <v>181</v>
      </c>
      <c r="J27" s="5" t="s">
        <v>182</v>
      </c>
      <c r="K27" s="5" t="s">
        <v>28</v>
      </c>
      <c r="L27" s="6"/>
      <c r="M27" s="6"/>
      <c r="N27" s="6"/>
      <c r="O27" s="5"/>
      <c r="P27" s="5"/>
    </row>
    <row r="28" spans="1:16" ht="27.6">
      <c r="A28" s="5" t="s">
        <v>119</v>
      </c>
      <c r="B28" s="5" t="s">
        <v>183</v>
      </c>
      <c r="C28" s="5" t="s">
        <v>184</v>
      </c>
      <c r="D28" s="5" t="s">
        <v>185</v>
      </c>
      <c r="E28" s="5" t="s">
        <v>186</v>
      </c>
      <c r="F28" s="5" t="s">
        <v>65</v>
      </c>
      <c r="G28" s="5" t="s">
        <v>30</v>
      </c>
      <c r="H28" s="5" t="s">
        <v>25</v>
      </c>
      <c r="I28" s="5" t="s">
        <v>141</v>
      </c>
      <c r="J28" s="5" t="s">
        <v>187</v>
      </c>
      <c r="K28" s="5" t="s">
        <v>28</v>
      </c>
      <c r="L28" s="6"/>
      <c r="M28" s="6"/>
      <c r="N28" s="6"/>
      <c r="O28" s="5"/>
      <c r="P28" s="5"/>
    </row>
    <row r="29" spans="1:16" ht="27.6">
      <c r="A29" s="5" t="s">
        <v>119</v>
      </c>
      <c r="B29" s="5" t="s">
        <v>188</v>
      </c>
      <c r="C29" s="5" t="s">
        <v>184</v>
      </c>
      <c r="D29" s="5" t="s">
        <v>189</v>
      </c>
      <c r="E29" s="5" t="s">
        <v>190</v>
      </c>
      <c r="F29" s="5" t="s">
        <v>65</v>
      </c>
      <c r="G29" s="5" t="s">
        <v>30</v>
      </c>
      <c r="H29" s="5" t="s">
        <v>25</v>
      </c>
      <c r="I29" s="5" t="s">
        <v>191</v>
      </c>
      <c r="J29" s="5" t="s">
        <v>192</v>
      </c>
      <c r="K29" s="5" t="s">
        <v>28</v>
      </c>
      <c r="L29" s="6"/>
      <c r="M29" s="6"/>
      <c r="N29" s="6"/>
      <c r="O29" s="5"/>
      <c r="P29" s="5"/>
    </row>
    <row r="30" spans="1:16" ht="27.6">
      <c r="A30" s="5" t="s">
        <v>119</v>
      </c>
      <c r="B30" s="5" t="s">
        <v>193</v>
      </c>
      <c r="C30" s="5" t="s">
        <v>194</v>
      </c>
      <c r="D30" s="5" t="s">
        <v>195</v>
      </c>
      <c r="E30" s="5" t="s">
        <v>196</v>
      </c>
      <c r="F30" s="5" t="s">
        <v>65</v>
      </c>
      <c r="G30" s="5" t="s">
        <v>30</v>
      </c>
      <c r="H30" s="5" t="s">
        <v>25</v>
      </c>
      <c r="I30" s="5" t="s">
        <v>197</v>
      </c>
      <c r="J30" s="5" t="s">
        <v>14</v>
      </c>
      <c r="K30" s="5" t="s">
        <v>28</v>
      </c>
      <c r="L30" s="6"/>
      <c r="M30" s="6"/>
      <c r="N30" s="6"/>
      <c r="O30" s="5"/>
      <c r="P30" s="5"/>
    </row>
    <row r="31" spans="1:16" ht="27.6">
      <c r="A31" s="5" t="s">
        <v>119</v>
      </c>
      <c r="B31" s="5" t="s">
        <v>198</v>
      </c>
      <c r="C31" s="5" t="s">
        <v>115</v>
      </c>
      <c r="D31" s="5" t="s">
        <v>199</v>
      </c>
      <c r="E31" s="5" t="s">
        <v>200</v>
      </c>
      <c r="F31" s="5" t="s">
        <v>1242</v>
      </c>
      <c r="G31" s="5" t="s">
        <v>27</v>
      </c>
      <c r="H31" s="5" t="s">
        <v>25</v>
      </c>
      <c r="I31" s="5" t="s">
        <v>201</v>
      </c>
      <c r="J31" s="5" t="s">
        <v>202</v>
      </c>
      <c r="K31" s="5" t="s">
        <v>28</v>
      </c>
      <c r="L31" s="6"/>
      <c r="M31" s="6"/>
      <c r="N31" s="6"/>
      <c r="O31" s="5"/>
      <c r="P31" s="5"/>
    </row>
    <row r="32" spans="1:16">
      <c r="A32" s="5" t="s">
        <v>203</v>
      </c>
      <c r="B32" s="5" t="s">
        <v>204</v>
      </c>
      <c r="C32" s="5" t="s">
        <v>205</v>
      </c>
      <c r="D32" s="5" t="s">
        <v>206</v>
      </c>
      <c r="E32" s="5" t="s">
        <v>207</v>
      </c>
      <c r="F32" s="5" t="s">
        <v>130</v>
      </c>
      <c r="G32" s="5" t="s">
        <v>27</v>
      </c>
      <c r="H32" s="5" t="s">
        <v>25</v>
      </c>
      <c r="I32" s="5" t="s">
        <v>208</v>
      </c>
      <c r="J32" s="5" t="s">
        <v>209</v>
      </c>
      <c r="K32" s="5" t="s">
        <v>28</v>
      </c>
      <c r="L32" s="6"/>
      <c r="M32" s="6"/>
      <c r="N32" s="6"/>
      <c r="O32" s="5"/>
      <c r="P32" s="5"/>
    </row>
    <row r="33" spans="1:16" ht="27.6">
      <c r="A33" s="5" t="s">
        <v>203</v>
      </c>
      <c r="B33" s="5" t="s">
        <v>210</v>
      </c>
      <c r="C33" s="5" t="s">
        <v>205</v>
      </c>
      <c r="D33" s="5" t="s">
        <v>211</v>
      </c>
      <c r="E33" s="5" t="s">
        <v>212</v>
      </c>
      <c r="F33" s="5" t="s">
        <v>130</v>
      </c>
      <c r="G33" s="5" t="s">
        <v>30</v>
      </c>
      <c r="H33" s="5" t="s">
        <v>25</v>
      </c>
      <c r="I33" s="5" t="s">
        <v>213</v>
      </c>
      <c r="J33" s="5" t="s">
        <v>214</v>
      </c>
      <c r="K33" s="5" t="s">
        <v>28</v>
      </c>
      <c r="L33" s="6"/>
      <c r="M33" s="6"/>
      <c r="N33" s="6"/>
      <c r="O33" s="5"/>
      <c r="P33" s="5"/>
    </row>
    <row r="34" spans="1:16" ht="27.6">
      <c r="A34" s="5" t="s">
        <v>203</v>
      </c>
      <c r="B34" s="5" t="s">
        <v>215</v>
      </c>
      <c r="C34" s="5" t="s">
        <v>205</v>
      </c>
      <c r="D34" s="5" t="s">
        <v>216</v>
      </c>
      <c r="E34" s="5" t="s">
        <v>217</v>
      </c>
      <c r="F34" s="5" t="s">
        <v>130</v>
      </c>
      <c r="G34" s="5" t="s">
        <v>30</v>
      </c>
      <c r="H34" s="5" t="s">
        <v>25</v>
      </c>
      <c r="I34" s="5" t="s">
        <v>181</v>
      </c>
      <c r="J34" s="5" t="s">
        <v>218</v>
      </c>
      <c r="K34" s="5" t="s">
        <v>28</v>
      </c>
      <c r="L34" s="6"/>
      <c r="M34" s="6"/>
      <c r="N34" s="6"/>
      <c r="O34" s="5"/>
      <c r="P34" s="5"/>
    </row>
    <row r="35" spans="1:16">
      <c r="A35" s="5" t="s">
        <v>203</v>
      </c>
      <c r="B35" s="5" t="s">
        <v>219</v>
      </c>
      <c r="C35" s="5" t="s">
        <v>205</v>
      </c>
      <c r="D35" s="5" t="s">
        <v>220</v>
      </c>
      <c r="E35" s="5" t="s">
        <v>221</v>
      </c>
      <c r="F35" s="5" t="s">
        <v>130</v>
      </c>
      <c r="G35" s="5" t="s">
        <v>30</v>
      </c>
      <c r="H35" s="5" t="s">
        <v>25</v>
      </c>
      <c r="I35" s="5" t="s">
        <v>181</v>
      </c>
      <c r="J35" s="5" t="s">
        <v>218</v>
      </c>
      <c r="K35" s="5" t="s">
        <v>28</v>
      </c>
      <c r="L35" s="6"/>
      <c r="M35" s="6"/>
      <c r="N35" s="6"/>
      <c r="O35" s="5"/>
      <c r="P35" s="5"/>
    </row>
    <row r="36" spans="1:16">
      <c r="A36" s="5" t="s">
        <v>203</v>
      </c>
      <c r="B36" s="5" t="s">
        <v>222</v>
      </c>
      <c r="C36" s="5" t="s">
        <v>205</v>
      </c>
      <c r="D36" s="5" t="s">
        <v>223</v>
      </c>
      <c r="E36" s="5" t="s">
        <v>224</v>
      </c>
      <c r="F36" s="5" t="s">
        <v>130</v>
      </c>
      <c r="G36" s="5" t="s">
        <v>27</v>
      </c>
      <c r="H36" s="5" t="s">
        <v>25</v>
      </c>
      <c r="I36" s="5" t="s">
        <v>225</v>
      </c>
      <c r="J36" s="5" t="s">
        <v>14</v>
      </c>
      <c r="K36" s="5" t="s">
        <v>28</v>
      </c>
      <c r="L36" s="6"/>
      <c r="M36" s="6"/>
      <c r="N36" s="6"/>
      <c r="O36" s="5"/>
      <c r="P36" s="5"/>
    </row>
    <row r="37" spans="1:16" ht="27.6">
      <c r="A37" s="5" t="s">
        <v>203</v>
      </c>
      <c r="B37" s="5" t="s">
        <v>226</v>
      </c>
      <c r="C37" s="5" t="s">
        <v>227</v>
      </c>
      <c r="D37" s="5" t="s">
        <v>228</v>
      </c>
      <c r="E37" s="5" t="s">
        <v>229</v>
      </c>
      <c r="F37" s="5" t="s">
        <v>130</v>
      </c>
      <c r="G37" s="5" t="s">
        <v>27</v>
      </c>
      <c r="H37" s="5" t="s">
        <v>25</v>
      </c>
      <c r="I37" s="5" t="s">
        <v>230</v>
      </c>
      <c r="J37" s="5" t="s">
        <v>14</v>
      </c>
      <c r="K37" s="5" t="s">
        <v>28</v>
      </c>
      <c r="L37" s="6"/>
      <c r="M37" s="6"/>
      <c r="N37" s="6"/>
      <c r="O37" s="5"/>
      <c r="P37" s="5"/>
    </row>
    <row r="38" spans="1:16" ht="27.6">
      <c r="A38" s="5" t="s">
        <v>203</v>
      </c>
      <c r="B38" s="5" t="s">
        <v>231</v>
      </c>
      <c r="C38" s="5" t="s">
        <v>227</v>
      </c>
      <c r="D38" s="5" t="s">
        <v>232</v>
      </c>
      <c r="E38" s="5" t="s">
        <v>233</v>
      </c>
      <c r="F38" s="5" t="s">
        <v>65</v>
      </c>
      <c r="G38" s="5" t="s">
        <v>30</v>
      </c>
      <c r="H38" s="5" t="s">
        <v>25</v>
      </c>
      <c r="I38" s="5" t="s">
        <v>234</v>
      </c>
      <c r="J38" s="5" t="s">
        <v>14</v>
      </c>
      <c r="K38" s="5" t="s">
        <v>28</v>
      </c>
      <c r="L38" s="6"/>
      <c r="M38" s="6"/>
      <c r="N38" s="6"/>
      <c r="O38" s="5"/>
      <c r="P38" s="5"/>
    </row>
    <row r="39" spans="1:16">
      <c r="A39" s="5" t="s">
        <v>203</v>
      </c>
      <c r="B39" s="5" t="s">
        <v>235</v>
      </c>
      <c r="C39" s="5" t="s">
        <v>227</v>
      </c>
      <c r="D39" s="5" t="s">
        <v>236</v>
      </c>
      <c r="E39" s="5" t="s">
        <v>237</v>
      </c>
      <c r="F39" s="5" t="s">
        <v>130</v>
      </c>
      <c r="G39" s="5" t="s">
        <v>30</v>
      </c>
      <c r="H39" s="5" t="s">
        <v>25</v>
      </c>
      <c r="I39" s="5" t="s">
        <v>230</v>
      </c>
      <c r="J39" s="5" t="s">
        <v>14</v>
      </c>
      <c r="K39" s="5" t="s">
        <v>28</v>
      </c>
      <c r="L39" s="6"/>
      <c r="M39" s="6"/>
      <c r="N39" s="6"/>
      <c r="O39" s="5"/>
      <c r="P39" s="5"/>
    </row>
    <row r="40" spans="1:16" ht="27.6">
      <c r="A40" s="5" t="s">
        <v>203</v>
      </c>
      <c r="B40" s="5" t="s">
        <v>238</v>
      </c>
      <c r="C40" s="5" t="s">
        <v>227</v>
      </c>
      <c r="D40" s="5" t="s">
        <v>239</v>
      </c>
      <c r="E40" s="5" t="s">
        <v>240</v>
      </c>
      <c r="F40" s="5" t="s">
        <v>130</v>
      </c>
      <c r="G40" s="5" t="s">
        <v>27</v>
      </c>
      <c r="H40" s="5" t="s">
        <v>25</v>
      </c>
      <c r="I40" s="5" t="s">
        <v>241</v>
      </c>
      <c r="J40" s="5" t="s">
        <v>14</v>
      </c>
      <c r="K40" s="5" t="s">
        <v>28</v>
      </c>
      <c r="L40" s="6"/>
      <c r="M40" s="6"/>
      <c r="N40" s="6"/>
      <c r="O40" s="5"/>
      <c r="P40" s="5"/>
    </row>
    <row r="41" spans="1:16" ht="27.6">
      <c r="A41" s="5" t="s">
        <v>203</v>
      </c>
      <c r="B41" s="5" t="s">
        <v>242</v>
      </c>
      <c r="C41" s="5" t="s">
        <v>243</v>
      </c>
      <c r="D41" s="5" t="s">
        <v>244</v>
      </c>
      <c r="E41" s="5" t="s">
        <v>245</v>
      </c>
      <c r="F41" s="5" t="s">
        <v>130</v>
      </c>
      <c r="G41" s="5" t="s">
        <v>27</v>
      </c>
      <c r="H41" s="5" t="s">
        <v>25</v>
      </c>
      <c r="I41" s="5" t="s">
        <v>246</v>
      </c>
      <c r="J41" s="5" t="s">
        <v>14</v>
      </c>
      <c r="K41" s="5" t="s">
        <v>28</v>
      </c>
      <c r="L41" s="6"/>
      <c r="M41" s="6"/>
      <c r="N41" s="6"/>
      <c r="O41" s="5"/>
      <c r="P41" s="5"/>
    </row>
    <row r="42" spans="1:16" ht="27.6">
      <c r="A42" s="5" t="s">
        <v>203</v>
      </c>
      <c r="B42" s="5" t="s">
        <v>247</v>
      </c>
      <c r="C42" s="5" t="s">
        <v>248</v>
      </c>
      <c r="D42" s="5" t="s">
        <v>249</v>
      </c>
      <c r="E42" s="5" t="s">
        <v>250</v>
      </c>
      <c r="F42" s="5" t="s">
        <v>65</v>
      </c>
      <c r="G42" s="5" t="s">
        <v>27</v>
      </c>
      <c r="H42" s="5" t="s">
        <v>25</v>
      </c>
      <c r="I42" s="5" t="s">
        <v>251</v>
      </c>
      <c r="J42" s="5" t="s">
        <v>252</v>
      </c>
      <c r="K42" s="5" t="s">
        <v>28</v>
      </c>
      <c r="L42" s="6"/>
      <c r="M42" s="6"/>
      <c r="N42" s="6"/>
      <c r="O42" s="5"/>
      <c r="P42" s="5"/>
    </row>
    <row r="43" spans="1:16" ht="27.6">
      <c r="A43" s="5" t="s">
        <v>203</v>
      </c>
      <c r="B43" s="5" t="s">
        <v>253</v>
      </c>
      <c r="C43" s="5" t="s">
        <v>248</v>
      </c>
      <c r="D43" s="5" t="s">
        <v>254</v>
      </c>
      <c r="E43" s="5" t="s">
        <v>255</v>
      </c>
      <c r="F43" s="5" t="s">
        <v>65</v>
      </c>
      <c r="G43" s="5" t="s">
        <v>30</v>
      </c>
      <c r="H43" s="5" t="s">
        <v>25</v>
      </c>
      <c r="I43" s="5" t="s">
        <v>256</v>
      </c>
      <c r="J43" s="5" t="s">
        <v>14</v>
      </c>
      <c r="K43" s="5" t="s">
        <v>28</v>
      </c>
      <c r="L43" s="6"/>
      <c r="M43" s="6"/>
      <c r="N43" s="6"/>
      <c r="O43" s="5"/>
      <c r="P43" s="5"/>
    </row>
    <row r="44" spans="1:16" ht="27.6">
      <c r="A44" s="5" t="s">
        <v>203</v>
      </c>
      <c r="B44" s="5" t="s">
        <v>257</v>
      </c>
      <c r="C44" s="5" t="s">
        <v>258</v>
      </c>
      <c r="D44" s="5" t="s">
        <v>259</v>
      </c>
      <c r="E44" s="5" t="s">
        <v>260</v>
      </c>
      <c r="F44" s="5" t="s">
        <v>65</v>
      </c>
      <c r="G44" s="5" t="s">
        <v>27</v>
      </c>
      <c r="H44" s="5" t="s">
        <v>25</v>
      </c>
      <c r="I44" s="5" t="s">
        <v>261</v>
      </c>
      <c r="J44" s="5" t="s">
        <v>14</v>
      </c>
      <c r="K44" s="5" t="s">
        <v>28</v>
      </c>
      <c r="L44" s="6"/>
      <c r="M44" s="6"/>
      <c r="N44" s="6"/>
      <c r="O44" s="5"/>
      <c r="P44" s="5"/>
    </row>
    <row r="45" spans="1:16" ht="27.6">
      <c r="A45" s="5" t="s">
        <v>203</v>
      </c>
      <c r="B45" s="5" t="s">
        <v>262</v>
      </c>
      <c r="C45" s="5" t="s">
        <v>263</v>
      </c>
      <c r="D45" s="5" t="s">
        <v>264</v>
      </c>
      <c r="E45" s="5" t="s">
        <v>265</v>
      </c>
      <c r="F45" s="5" t="s">
        <v>65</v>
      </c>
      <c r="G45" s="5" t="s">
        <v>27</v>
      </c>
      <c r="H45" s="5" t="s">
        <v>25</v>
      </c>
      <c r="I45" s="5" t="s">
        <v>266</v>
      </c>
      <c r="J45" s="5" t="s">
        <v>14</v>
      </c>
      <c r="K45" s="5" t="s">
        <v>28</v>
      </c>
      <c r="L45" s="6"/>
      <c r="M45" s="6"/>
      <c r="N45" s="6"/>
      <c r="O45" s="5"/>
      <c r="P45" s="5"/>
    </row>
    <row r="46" spans="1:16">
      <c r="A46" s="5" t="s">
        <v>203</v>
      </c>
      <c r="B46" s="5" t="s">
        <v>267</v>
      </c>
      <c r="C46" s="5" t="s">
        <v>268</v>
      </c>
      <c r="D46" s="5" t="s">
        <v>269</v>
      </c>
      <c r="E46" s="5" t="s">
        <v>270</v>
      </c>
      <c r="F46" s="5" t="s">
        <v>130</v>
      </c>
      <c r="G46" s="5" t="s">
        <v>27</v>
      </c>
      <c r="H46" s="5" t="s">
        <v>25</v>
      </c>
      <c r="I46" s="5" t="s">
        <v>271</v>
      </c>
      <c r="J46" s="5" t="s">
        <v>14</v>
      </c>
      <c r="K46" s="5" t="s">
        <v>28</v>
      </c>
      <c r="L46" s="6"/>
      <c r="M46" s="6"/>
      <c r="N46" s="6"/>
      <c r="O46" s="5"/>
      <c r="P46" s="5"/>
    </row>
    <row r="47" spans="1:16" ht="27.6">
      <c r="A47" s="5" t="s">
        <v>203</v>
      </c>
      <c r="B47" s="5" t="s">
        <v>272</v>
      </c>
      <c r="C47" s="5" t="s">
        <v>115</v>
      </c>
      <c r="D47" s="5" t="s">
        <v>273</v>
      </c>
      <c r="E47" s="5" t="s">
        <v>274</v>
      </c>
      <c r="F47" s="5" t="s">
        <v>1242</v>
      </c>
      <c r="G47" s="5" t="s">
        <v>27</v>
      </c>
      <c r="H47" s="5" t="s">
        <v>25</v>
      </c>
      <c r="I47" s="5" t="s">
        <v>275</v>
      </c>
      <c r="J47" s="5" t="s">
        <v>276</v>
      </c>
      <c r="K47" s="5" t="s">
        <v>28</v>
      </c>
      <c r="L47" s="6"/>
      <c r="M47" s="6"/>
      <c r="N47" s="6"/>
      <c r="O47" s="5"/>
      <c r="P47" s="5"/>
    </row>
    <row r="48" spans="1:16" ht="27.6">
      <c r="A48" s="5" t="s">
        <v>277</v>
      </c>
      <c r="B48" s="5" t="s">
        <v>278</v>
      </c>
      <c r="C48" s="5" t="s">
        <v>279</v>
      </c>
      <c r="D48" s="5" t="s">
        <v>280</v>
      </c>
      <c r="E48" s="5" t="s">
        <v>281</v>
      </c>
      <c r="F48" s="5" t="s">
        <v>282</v>
      </c>
      <c r="G48" s="5" t="s">
        <v>27</v>
      </c>
      <c r="H48" s="5" t="s">
        <v>25</v>
      </c>
      <c r="I48" s="5" t="s">
        <v>283</v>
      </c>
      <c r="J48" s="5" t="s">
        <v>14</v>
      </c>
      <c r="K48" s="5" t="s">
        <v>28</v>
      </c>
      <c r="L48" s="6"/>
      <c r="M48" s="6"/>
      <c r="N48" s="6"/>
      <c r="O48" s="5"/>
      <c r="P48" s="5"/>
    </row>
    <row r="49" spans="1:16" ht="27.6">
      <c r="A49" s="5" t="s">
        <v>277</v>
      </c>
      <c r="B49" s="5" t="s">
        <v>284</v>
      </c>
      <c r="C49" s="5" t="s">
        <v>285</v>
      </c>
      <c r="D49" s="5" t="s">
        <v>286</v>
      </c>
      <c r="E49" s="5" t="s">
        <v>287</v>
      </c>
      <c r="F49" s="5" t="s">
        <v>282</v>
      </c>
      <c r="G49" s="5" t="s">
        <v>27</v>
      </c>
      <c r="H49" s="5" t="s">
        <v>25</v>
      </c>
      <c r="I49" s="5" t="s">
        <v>288</v>
      </c>
      <c r="J49" s="5" t="s">
        <v>14</v>
      </c>
      <c r="K49" s="5" t="s">
        <v>28</v>
      </c>
      <c r="L49" s="6"/>
      <c r="M49" s="6"/>
      <c r="N49" s="6"/>
      <c r="O49" s="5"/>
      <c r="P49" s="5"/>
    </row>
    <row r="50" spans="1:16">
      <c r="A50" s="5" t="s">
        <v>277</v>
      </c>
      <c r="B50" s="5" t="s">
        <v>289</v>
      </c>
      <c r="C50" s="5" t="s">
        <v>290</v>
      </c>
      <c r="D50" s="5" t="s">
        <v>291</v>
      </c>
      <c r="E50" s="5" t="s">
        <v>292</v>
      </c>
      <c r="F50" s="5" t="s">
        <v>130</v>
      </c>
      <c r="G50" s="5" t="s">
        <v>30</v>
      </c>
      <c r="H50" s="5" t="s">
        <v>25</v>
      </c>
      <c r="I50" s="5" t="s">
        <v>293</v>
      </c>
      <c r="J50" s="5" t="s">
        <v>218</v>
      </c>
      <c r="K50" s="5" t="s">
        <v>28</v>
      </c>
      <c r="L50" s="6"/>
      <c r="M50" s="6"/>
      <c r="N50" s="6"/>
      <c r="O50" s="5"/>
      <c r="P50" s="5"/>
    </row>
    <row r="51" spans="1:16">
      <c r="A51" s="5" t="s">
        <v>277</v>
      </c>
      <c r="B51" s="5" t="s">
        <v>294</v>
      </c>
      <c r="C51" s="5" t="s">
        <v>290</v>
      </c>
      <c r="D51" s="5" t="s">
        <v>295</v>
      </c>
      <c r="E51" s="5" t="s">
        <v>296</v>
      </c>
      <c r="F51" s="5" t="s">
        <v>130</v>
      </c>
      <c r="G51" s="5" t="s">
        <v>30</v>
      </c>
      <c r="H51" s="5" t="s">
        <v>25</v>
      </c>
      <c r="I51" s="5" t="s">
        <v>293</v>
      </c>
      <c r="J51" s="5" t="s">
        <v>218</v>
      </c>
      <c r="K51" s="5" t="s">
        <v>28</v>
      </c>
      <c r="L51" s="6"/>
      <c r="M51" s="6"/>
      <c r="N51" s="6"/>
      <c r="O51" s="5"/>
      <c r="P51" s="5"/>
    </row>
    <row r="52" spans="1:16">
      <c r="A52" s="5" t="s">
        <v>277</v>
      </c>
      <c r="B52" s="5" t="s">
        <v>297</v>
      </c>
      <c r="C52" s="5" t="s">
        <v>298</v>
      </c>
      <c r="D52" s="5" t="s">
        <v>299</v>
      </c>
      <c r="E52" s="5" t="s">
        <v>300</v>
      </c>
      <c r="F52" s="5" t="s">
        <v>130</v>
      </c>
      <c r="G52" s="5" t="s">
        <v>30</v>
      </c>
      <c r="H52" s="5" t="s">
        <v>25</v>
      </c>
      <c r="I52" s="5" t="s">
        <v>246</v>
      </c>
      <c r="J52" s="5" t="s">
        <v>14</v>
      </c>
      <c r="K52" s="5" t="s">
        <v>28</v>
      </c>
      <c r="L52" s="6"/>
      <c r="M52" s="6"/>
      <c r="N52" s="6"/>
      <c r="O52" s="5"/>
      <c r="P52" s="5"/>
    </row>
    <row r="53" spans="1:16">
      <c r="A53" s="5" t="s">
        <v>277</v>
      </c>
      <c r="B53" s="5" t="s">
        <v>301</v>
      </c>
      <c r="C53" s="5" t="s">
        <v>302</v>
      </c>
      <c r="D53" s="5" t="s">
        <v>303</v>
      </c>
      <c r="E53" s="5" t="s">
        <v>304</v>
      </c>
      <c r="F53" s="5" t="s">
        <v>130</v>
      </c>
      <c r="G53" s="5" t="s">
        <v>27</v>
      </c>
      <c r="H53" s="5" t="s">
        <v>25</v>
      </c>
      <c r="I53" s="5" t="s">
        <v>305</v>
      </c>
      <c r="J53" s="5" t="s">
        <v>218</v>
      </c>
      <c r="K53" s="5" t="s">
        <v>28</v>
      </c>
      <c r="L53" s="6"/>
      <c r="M53" s="6"/>
      <c r="N53" s="6"/>
      <c r="O53" s="5"/>
      <c r="P53" s="5"/>
    </row>
    <row r="54" spans="1:16">
      <c r="A54" s="5" t="s">
        <v>277</v>
      </c>
      <c r="B54" s="5" t="s">
        <v>306</v>
      </c>
      <c r="C54" s="5" t="s">
        <v>307</v>
      </c>
      <c r="D54" s="5" t="s">
        <v>308</v>
      </c>
      <c r="E54" s="5" t="s">
        <v>309</v>
      </c>
      <c r="F54" s="5" t="s">
        <v>130</v>
      </c>
      <c r="G54" s="5" t="s">
        <v>27</v>
      </c>
      <c r="H54" s="5" t="s">
        <v>25</v>
      </c>
      <c r="I54" s="5" t="s">
        <v>310</v>
      </c>
      <c r="J54" s="5" t="s">
        <v>218</v>
      </c>
      <c r="K54" s="5" t="s">
        <v>28</v>
      </c>
      <c r="L54" s="6"/>
      <c r="M54" s="6"/>
      <c r="N54" s="6"/>
      <c r="O54" s="5"/>
      <c r="P54" s="5"/>
    </row>
    <row r="55" spans="1:16">
      <c r="A55" s="5" t="s">
        <v>277</v>
      </c>
      <c r="B55" s="5" t="s">
        <v>311</v>
      </c>
      <c r="C55" s="5" t="s">
        <v>312</v>
      </c>
      <c r="D55" s="5" t="s">
        <v>313</v>
      </c>
      <c r="E55" s="5" t="s">
        <v>314</v>
      </c>
      <c r="F55" s="5" t="s">
        <v>130</v>
      </c>
      <c r="G55" s="5" t="s">
        <v>27</v>
      </c>
      <c r="H55" s="5" t="s">
        <v>25</v>
      </c>
      <c r="I55" s="5" t="s">
        <v>315</v>
      </c>
      <c r="J55" s="5" t="s">
        <v>14</v>
      </c>
      <c r="K55" s="5" t="s">
        <v>28</v>
      </c>
      <c r="L55" s="6"/>
      <c r="M55" s="6"/>
      <c r="N55" s="6"/>
      <c r="O55" s="5"/>
      <c r="P55" s="5"/>
    </row>
    <row r="56" spans="1:16">
      <c r="A56" s="5" t="s">
        <v>277</v>
      </c>
      <c r="B56" s="5" t="s">
        <v>316</v>
      </c>
      <c r="C56" s="5" t="s">
        <v>312</v>
      </c>
      <c r="D56" s="5" t="s">
        <v>317</v>
      </c>
      <c r="E56" s="5" t="s">
        <v>318</v>
      </c>
      <c r="F56" s="5" t="s">
        <v>130</v>
      </c>
      <c r="G56" s="5" t="s">
        <v>27</v>
      </c>
      <c r="H56" s="5" t="s">
        <v>25</v>
      </c>
      <c r="I56" s="5" t="s">
        <v>319</v>
      </c>
      <c r="J56" s="5" t="s">
        <v>14</v>
      </c>
      <c r="K56" s="5" t="s">
        <v>28</v>
      </c>
      <c r="L56" s="6"/>
      <c r="M56" s="6"/>
      <c r="N56" s="6"/>
      <c r="O56" s="5"/>
      <c r="P56" s="5"/>
    </row>
    <row r="57" spans="1:16" ht="27.6">
      <c r="A57" s="5" t="s">
        <v>277</v>
      </c>
      <c r="B57" s="5" t="s">
        <v>320</v>
      </c>
      <c r="C57" s="5" t="s">
        <v>312</v>
      </c>
      <c r="D57" s="5" t="s">
        <v>321</v>
      </c>
      <c r="E57" s="5" t="s">
        <v>322</v>
      </c>
      <c r="F57" s="5" t="s">
        <v>65</v>
      </c>
      <c r="G57" s="5" t="s">
        <v>27</v>
      </c>
      <c r="H57" s="5" t="s">
        <v>25</v>
      </c>
      <c r="I57" s="5" t="s">
        <v>323</v>
      </c>
      <c r="J57" s="5" t="s">
        <v>14</v>
      </c>
      <c r="K57" s="5" t="s">
        <v>28</v>
      </c>
      <c r="L57" s="6"/>
      <c r="M57" s="6"/>
      <c r="N57" s="6"/>
      <c r="O57" s="5"/>
      <c r="P57" s="5"/>
    </row>
    <row r="58" spans="1:16">
      <c r="A58" s="5" t="s">
        <v>277</v>
      </c>
      <c r="B58" s="5" t="s">
        <v>324</v>
      </c>
      <c r="C58" s="5" t="s">
        <v>325</v>
      </c>
      <c r="D58" s="5" t="s">
        <v>326</v>
      </c>
      <c r="E58" s="5" t="s">
        <v>327</v>
      </c>
      <c r="F58" s="5" t="s">
        <v>130</v>
      </c>
      <c r="G58" s="5" t="s">
        <v>27</v>
      </c>
      <c r="H58" s="5" t="s">
        <v>25</v>
      </c>
      <c r="I58" s="5" t="s">
        <v>328</v>
      </c>
      <c r="J58" s="5" t="s">
        <v>218</v>
      </c>
      <c r="K58" s="5" t="s">
        <v>28</v>
      </c>
      <c r="L58" s="6"/>
      <c r="M58" s="6"/>
      <c r="N58" s="6"/>
      <c r="O58" s="5"/>
      <c r="P58" s="5"/>
    </row>
    <row r="59" spans="1:16" ht="27.6">
      <c r="A59" s="5" t="s">
        <v>277</v>
      </c>
      <c r="B59" s="5" t="s">
        <v>329</v>
      </c>
      <c r="C59" s="5" t="s">
        <v>258</v>
      </c>
      <c r="D59" s="5" t="s">
        <v>330</v>
      </c>
      <c r="E59" s="5" t="s">
        <v>331</v>
      </c>
      <c r="F59" s="5" t="s">
        <v>130</v>
      </c>
      <c r="G59" s="5" t="s">
        <v>27</v>
      </c>
      <c r="H59" s="5" t="s">
        <v>25</v>
      </c>
      <c r="I59" s="5" t="s">
        <v>332</v>
      </c>
      <c r="J59" s="5" t="s">
        <v>14</v>
      </c>
      <c r="K59" s="5" t="s">
        <v>28</v>
      </c>
      <c r="L59" s="6"/>
      <c r="M59" s="6"/>
      <c r="N59" s="6"/>
      <c r="O59" s="5"/>
      <c r="P59" s="5"/>
    </row>
    <row r="60" spans="1:16">
      <c r="A60" s="5" t="s">
        <v>277</v>
      </c>
      <c r="B60" s="5" t="s">
        <v>333</v>
      </c>
      <c r="C60" s="5" t="s">
        <v>334</v>
      </c>
      <c r="D60" s="5" t="s">
        <v>335</v>
      </c>
      <c r="E60" s="5" t="s">
        <v>336</v>
      </c>
      <c r="F60" s="5" t="s">
        <v>130</v>
      </c>
      <c r="G60" s="5" t="s">
        <v>30</v>
      </c>
      <c r="H60" s="5" t="s">
        <v>25</v>
      </c>
      <c r="I60" s="5" t="s">
        <v>337</v>
      </c>
      <c r="J60" s="5" t="s">
        <v>14</v>
      </c>
      <c r="K60" s="5" t="s">
        <v>28</v>
      </c>
      <c r="L60" s="6"/>
      <c r="M60" s="6"/>
      <c r="N60" s="6"/>
      <c r="O60" s="5"/>
      <c r="P60" s="5"/>
    </row>
    <row r="61" spans="1:16" ht="27.6">
      <c r="A61" s="5" t="s">
        <v>277</v>
      </c>
      <c r="B61" s="5" t="s">
        <v>338</v>
      </c>
      <c r="C61" s="5" t="s">
        <v>115</v>
      </c>
      <c r="D61" s="5" t="s">
        <v>339</v>
      </c>
      <c r="E61" s="5" t="s">
        <v>340</v>
      </c>
      <c r="F61" s="5" t="s">
        <v>1242</v>
      </c>
      <c r="G61" s="5" t="s">
        <v>27</v>
      </c>
      <c r="H61" s="5" t="s">
        <v>25</v>
      </c>
      <c r="I61" s="5" t="s">
        <v>341</v>
      </c>
      <c r="J61" s="5" t="s">
        <v>342</v>
      </c>
      <c r="K61" s="5" t="s">
        <v>28</v>
      </c>
      <c r="L61" s="6"/>
      <c r="M61" s="6"/>
      <c r="N61" s="6"/>
      <c r="O61" s="5"/>
      <c r="P61" s="5"/>
    </row>
    <row r="62" spans="1:16">
      <c r="A62" s="5" t="s">
        <v>343</v>
      </c>
      <c r="B62" s="5" t="s">
        <v>344</v>
      </c>
      <c r="C62" s="5" t="s">
        <v>345</v>
      </c>
      <c r="D62" s="5" t="s">
        <v>346</v>
      </c>
      <c r="E62" s="5" t="s">
        <v>347</v>
      </c>
      <c r="F62" s="5" t="s">
        <v>130</v>
      </c>
      <c r="G62" s="5" t="s">
        <v>27</v>
      </c>
      <c r="H62" s="5" t="s">
        <v>25</v>
      </c>
      <c r="I62" s="5" t="s">
        <v>348</v>
      </c>
      <c r="J62" s="5" t="s">
        <v>14</v>
      </c>
      <c r="K62" s="5" t="s">
        <v>28</v>
      </c>
      <c r="L62" s="6"/>
      <c r="M62" s="6"/>
      <c r="N62" s="6"/>
      <c r="O62" s="5"/>
      <c r="P62" s="5"/>
    </row>
    <row r="63" spans="1:16" ht="27.6">
      <c r="A63" s="5" t="s">
        <v>343</v>
      </c>
      <c r="B63" s="5" t="s">
        <v>349</v>
      </c>
      <c r="C63" s="5" t="s">
        <v>350</v>
      </c>
      <c r="D63" s="5" t="s">
        <v>351</v>
      </c>
      <c r="E63" s="5" t="s">
        <v>352</v>
      </c>
      <c r="F63" s="5" t="s">
        <v>130</v>
      </c>
      <c r="G63" s="5" t="s">
        <v>27</v>
      </c>
      <c r="H63" s="5" t="s">
        <v>25</v>
      </c>
      <c r="I63" s="5" t="s">
        <v>353</v>
      </c>
      <c r="J63" s="5" t="s">
        <v>14</v>
      </c>
      <c r="K63" s="5" t="s">
        <v>28</v>
      </c>
      <c r="L63" s="6"/>
      <c r="M63" s="6"/>
      <c r="N63" s="6"/>
      <c r="O63" s="5"/>
      <c r="P63" s="5"/>
    </row>
    <row r="64" spans="1:16">
      <c r="A64" s="5" t="s">
        <v>343</v>
      </c>
      <c r="B64" s="5" t="s">
        <v>354</v>
      </c>
      <c r="C64" s="5" t="s">
        <v>350</v>
      </c>
      <c r="D64" s="5" t="s">
        <v>355</v>
      </c>
      <c r="E64" s="5" t="s">
        <v>356</v>
      </c>
      <c r="F64" s="5" t="s">
        <v>130</v>
      </c>
      <c r="G64" s="5" t="s">
        <v>30</v>
      </c>
      <c r="H64" s="5" t="s">
        <v>25</v>
      </c>
      <c r="I64" s="5" t="s">
        <v>357</v>
      </c>
      <c r="J64" s="5" t="s">
        <v>218</v>
      </c>
      <c r="K64" s="5" t="s">
        <v>28</v>
      </c>
      <c r="L64" s="6"/>
      <c r="M64" s="6"/>
      <c r="N64" s="6"/>
      <c r="O64" s="5"/>
      <c r="P64" s="5"/>
    </row>
    <row r="65" spans="1:16" ht="27.6">
      <c r="A65" s="5" t="s">
        <v>343</v>
      </c>
      <c r="B65" s="5" t="s">
        <v>358</v>
      </c>
      <c r="C65" s="5" t="s">
        <v>350</v>
      </c>
      <c r="D65" s="5" t="s">
        <v>359</v>
      </c>
      <c r="E65" s="5" t="s">
        <v>360</v>
      </c>
      <c r="F65" s="5" t="s">
        <v>130</v>
      </c>
      <c r="G65" s="5" t="s">
        <v>27</v>
      </c>
      <c r="H65" s="5" t="s">
        <v>25</v>
      </c>
      <c r="I65" s="5" t="s">
        <v>353</v>
      </c>
      <c r="J65" s="5" t="s">
        <v>14</v>
      </c>
      <c r="K65" s="5" t="s">
        <v>28</v>
      </c>
      <c r="L65" s="6"/>
      <c r="M65" s="6"/>
      <c r="N65" s="6"/>
      <c r="O65" s="5"/>
      <c r="P65" s="5"/>
    </row>
    <row r="66" spans="1:16">
      <c r="A66" s="5" t="s">
        <v>343</v>
      </c>
      <c r="B66" s="5" t="s">
        <v>361</v>
      </c>
      <c r="C66" s="5" t="s">
        <v>362</v>
      </c>
      <c r="D66" s="5" t="s">
        <v>363</v>
      </c>
      <c r="E66" s="5" t="s">
        <v>364</v>
      </c>
      <c r="F66" s="5" t="s">
        <v>130</v>
      </c>
      <c r="G66" s="5" t="s">
        <v>27</v>
      </c>
      <c r="H66" s="5" t="s">
        <v>25</v>
      </c>
      <c r="I66" s="5" t="s">
        <v>365</v>
      </c>
      <c r="J66" s="5" t="s">
        <v>14</v>
      </c>
      <c r="K66" s="5" t="s">
        <v>28</v>
      </c>
      <c r="L66" s="6"/>
      <c r="M66" s="6"/>
      <c r="N66" s="6"/>
      <c r="O66" s="5"/>
      <c r="P66" s="5"/>
    </row>
    <row r="67" spans="1:16" ht="27.6">
      <c r="A67" s="5" t="s">
        <v>343</v>
      </c>
      <c r="B67" s="5" t="s">
        <v>366</v>
      </c>
      <c r="C67" s="5" t="s">
        <v>367</v>
      </c>
      <c r="D67" s="5" t="s">
        <v>368</v>
      </c>
      <c r="E67" s="5" t="s">
        <v>369</v>
      </c>
      <c r="F67" s="5" t="s">
        <v>130</v>
      </c>
      <c r="G67" s="5" t="s">
        <v>30</v>
      </c>
      <c r="H67" s="5" t="s">
        <v>25</v>
      </c>
      <c r="I67" s="5" t="s">
        <v>370</v>
      </c>
      <c r="J67" s="5" t="s">
        <v>218</v>
      </c>
      <c r="K67" s="5" t="s">
        <v>28</v>
      </c>
      <c r="L67" s="6"/>
      <c r="M67" s="6"/>
      <c r="N67" s="6"/>
      <c r="O67" s="5"/>
      <c r="P67" s="5"/>
    </row>
    <row r="68" spans="1:16">
      <c r="A68" s="5" t="s">
        <v>343</v>
      </c>
      <c r="B68" s="5" t="s">
        <v>371</v>
      </c>
      <c r="C68" s="5" t="s">
        <v>372</v>
      </c>
      <c r="D68" s="5" t="s">
        <v>373</v>
      </c>
      <c r="E68" s="5" t="s">
        <v>374</v>
      </c>
      <c r="F68" s="5" t="s">
        <v>130</v>
      </c>
      <c r="G68" s="5" t="s">
        <v>27</v>
      </c>
      <c r="H68" s="5" t="s">
        <v>25</v>
      </c>
      <c r="I68" s="5" t="s">
        <v>370</v>
      </c>
      <c r="J68" s="5" t="s">
        <v>218</v>
      </c>
      <c r="K68" s="5" t="s">
        <v>28</v>
      </c>
      <c r="L68" s="6"/>
      <c r="M68" s="6"/>
      <c r="N68" s="6"/>
      <c r="O68" s="5"/>
      <c r="P68" s="5"/>
    </row>
    <row r="69" spans="1:16">
      <c r="A69" s="5" t="s">
        <v>343</v>
      </c>
      <c r="B69" s="5" t="s">
        <v>375</v>
      </c>
      <c r="C69" s="5" t="s">
        <v>376</v>
      </c>
      <c r="D69" s="5" t="s">
        <v>377</v>
      </c>
      <c r="E69" s="5" t="s">
        <v>378</v>
      </c>
      <c r="F69" s="5" t="s">
        <v>130</v>
      </c>
      <c r="G69" s="5" t="s">
        <v>27</v>
      </c>
      <c r="H69" s="5" t="s">
        <v>25</v>
      </c>
      <c r="I69" s="5" t="s">
        <v>379</v>
      </c>
      <c r="J69" s="5" t="s">
        <v>14</v>
      </c>
      <c r="K69" s="5" t="s">
        <v>28</v>
      </c>
      <c r="L69" s="6"/>
      <c r="M69" s="6"/>
      <c r="N69" s="6"/>
      <c r="O69" s="5"/>
      <c r="P69" s="5"/>
    </row>
    <row r="70" spans="1:16">
      <c r="A70" s="5" t="s">
        <v>343</v>
      </c>
      <c r="B70" s="5" t="s">
        <v>380</v>
      </c>
      <c r="C70" s="5" t="s">
        <v>381</v>
      </c>
      <c r="D70" s="5" t="s">
        <v>382</v>
      </c>
      <c r="E70" s="5" t="s">
        <v>383</v>
      </c>
      <c r="F70" s="5" t="s">
        <v>130</v>
      </c>
      <c r="G70" s="5" t="s">
        <v>27</v>
      </c>
      <c r="H70" s="5" t="s">
        <v>25</v>
      </c>
      <c r="I70" s="5" t="s">
        <v>357</v>
      </c>
      <c r="J70" s="5" t="s">
        <v>218</v>
      </c>
      <c r="K70" s="5" t="s">
        <v>28</v>
      </c>
      <c r="L70" s="6"/>
      <c r="M70" s="6"/>
      <c r="N70" s="6"/>
      <c r="O70" s="5"/>
      <c r="P70" s="5"/>
    </row>
    <row r="71" spans="1:16">
      <c r="A71" s="5" t="s">
        <v>343</v>
      </c>
      <c r="B71" s="5" t="s">
        <v>384</v>
      </c>
      <c r="C71" s="5" t="s">
        <v>381</v>
      </c>
      <c r="D71" s="5" t="s">
        <v>385</v>
      </c>
      <c r="E71" s="5" t="s">
        <v>386</v>
      </c>
      <c r="F71" s="5" t="s">
        <v>130</v>
      </c>
      <c r="G71" s="5" t="s">
        <v>30</v>
      </c>
      <c r="H71" s="5" t="s">
        <v>25</v>
      </c>
      <c r="I71" s="5" t="s">
        <v>357</v>
      </c>
      <c r="J71" s="5" t="s">
        <v>218</v>
      </c>
      <c r="K71" s="5" t="s">
        <v>28</v>
      </c>
      <c r="L71" s="6"/>
      <c r="M71" s="6"/>
      <c r="N71" s="6"/>
      <c r="O71" s="5"/>
      <c r="P71" s="5"/>
    </row>
    <row r="72" spans="1:16" ht="27.6">
      <c r="A72" s="5" t="s">
        <v>343</v>
      </c>
      <c r="B72" s="5" t="s">
        <v>387</v>
      </c>
      <c r="C72" s="5" t="s">
        <v>388</v>
      </c>
      <c r="D72" s="5" t="s">
        <v>389</v>
      </c>
      <c r="E72" s="5" t="s">
        <v>390</v>
      </c>
      <c r="F72" s="5" t="s">
        <v>130</v>
      </c>
      <c r="G72" s="5" t="s">
        <v>27</v>
      </c>
      <c r="H72" s="5" t="s">
        <v>25</v>
      </c>
      <c r="I72" s="5" t="s">
        <v>357</v>
      </c>
      <c r="J72" s="5" t="s">
        <v>218</v>
      </c>
      <c r="K72" s="5" t="s">
        <v>28</v>
      </c>
      <c r="L72" s="6"/>
      <c r="M72" s="6"/>
      <c r="N72" s="6"/>
      <c r="O72" s="5"/>
      <c r="P72" s="5"/>
    </row>
    <row r="73" spans="1:16">
      <c r="A73" s="5" t="s">
        <v>343</v>
      </c>
      <c r="B73" s="5" t="s">
        <v>391</v>
      </c>
      <c r="C73" s="5" t="s">
        <v>392</v>
      </c>
      <c r="D73" s="5" t="s">
        <v>393</v>
      </c>
      <c r="E73" s="5" t="s">
        <v>394</v>
      </c>
      <c r="F73" s="5" t="s">
        <v>130</v>
      </c>
      <c r="G73" s="5" t="s">
        <v>27</v>
      </c>
      <c r="H73" s="5" t="s">
        <v>25</v>
      </c>
      <c r="I73" s="5" t="s">
        <v>246</v>
      </c>
      <c r="J73" s="5" t="s">
        <v>218</v>
      </c>
      <c r="K73" s="5" t="s">
        <v>28</v>
      </c>
      <c r="L73" s="6"/>
      <c r="M73" s="6"/>
      <c r="N73" s="6"/>
      <c r="O73" s="5"/>
      <c r="P73" s="5"/>
    </row>
    <row r="74" spans="1:16">
      <c r="A74" s="5" t="s">
        <v>343</v>
      </c>
      <c r="B74" s="5" t="s">
        <v>395</v>
      </c>
      <c r="C74" s="5" t="s">
        <v>307</v>
      </c>
      <c r="D74" s="5" t="s">
        <v>396</v>
      </c>
      <c r="E74" s="5" t="s">
        <v>397</v>
      </c>
      <c r="F74" s="5" t="s">
        <v>130</v>
      </c>
      <c r="G74" s="5" t="s">
        <v>27</v>
      </c>
      <c r="H74" s="5" t="s">
        <v>25</v>
      </c>
      <c r="I74" s="5" t="s">
        <v>310</v>
      </c>
      <c r="J74" s="5" t="s">
        <v>218</v>
      </c>
      <c r="K74" s="5" t="s">
        <v>28</v>
      </c>
      <c r="L74" s="6"/>
      <c r="M74" s="6"/>
      <c r="N74" s="6"/>
      <c r="O74" s="5"/>
      <c r="P74" s="5"/>
    </row>
    <row r="75" spans="1:16">
      <c r="A75" s="5" t="s">
        <v>343</v>
      </c>
      <c r="B75" s="5" t="s">
        <v>398</v>
      </c>
      <c r="C75" s="5" t="s">
        <v>399</v>
      </c>
      <c r="D75" s="5" t="s">
        <v>400</v>
      </c>
      <c r="E75" s="5" t="s">
        <v>401</v>
      </c>
      <c r="F75" s="5" t="s">
        <v>130</v>
      </c>
      <c r="G75" s="5" t="s">
        <v>27</v>
      </c>
      <c r="H75" s="5" t="s">
        <v>25</v>
      </c>
      <c r="I75" s="5" t="s">
        <v>402</v>
      </c>
      <c r="J75" s="5" t="s">
        <v>14</v>
      </c>
      <c r="K75" s="5" t="s">
        <v>28</v>
      </c>
      <c r="L75" s="6"/>
      <c r="M75" s="6"/>
      <c r="N75" s="6"/>
      <c r="O75" s="5"/>
      <c r="P75" s="5"/>
    </row>
    <row r="76" spans="1:16">
      <c r="A76" s="5" t="s">
        <v>343</v>
      </c>
      <c r="B76" s="5" t="s">
        <v>403</v>
      </c>
      <c r="C76" s="5" t="s">
        <v>404</v>
      </c>
      <c r="D76" s="5" t="s">
        <v>405</v>
      </c>
      <c r="E76" s="5" t="s">
        <v>406</v>
      </c>
      <c r="F76" s="5" t="s">
        <v>130</v>
      </c>
      <c r="G76" s="5" t="s">
        <v>30</v>
      </c>
      <c r="H76" s="5" t="s">
        <v>25</v>
      </c>
      <c r="I76" s="5" t="s">
        <v>225</v>
      </c>
      <c r="J76" s="5" t="s">
        <v>14</v>
      </c>
      <c r="K76" s="5" t="s">
        <v>28</v>
      </c>
      <c r="L76" s="6"/>
      <c r="M76" s="6"/>
      <c r="N76" s="6"/>
      <c r="O76" s="5"/>
      <c r="P76" s="5"/>
    </row>
    <row r="77" spans="1:16">
      <c r="A77" s="5" t="s">
        <v>343</v>
      </c>
      <c r="B77" s="5" t="s">
        <v>407</v>
      </c>
      <c r="C77" s="5" t="s">
        <v>268</v>
      </c>
      <c r="D77" s="5" t="s">
        <v>408</v>
      </c>
      <c r="E77" s="5" t="s">
        <v>409</v>
      </c>
      <c r="F77" s="5" t="s">
        <v>130</v>
      </c>
      <c r="G77" s="5" t="s">
        <v>27</v>
      </c>
      <c r="H77" s="5" t="s">
        <v>25</v>
      </c>
      <c r="I77" s="5" t="s">
        <v>271</v>
      </c>
      <c r="J77" s="5" t="s">
        <v>14</v>
      </c>
      <c r="K77" s="5" t="s">
        <v>28</v>
      </c>
      <c r="L77" s="6"/>
      <c r="M77" s="6"/>
      <c r="N77" s="6"/>
      <c r="O77" s="5"/>
      <c r="P77" s="5"/>
    </row>
    <row r="78" spans="1:16" ht="27.6">
      <c r="A78" s="5" t="s">
        <v>343</v>
      </c>
      <c r="B78" s="5" t="s">
        <v>410</v>
      </c>
      <c r="C78" s="5" t="s">
        <v>334</v>
      </c>
      <c r="D78" s="5" t="s">
        <v>411</v>
      </c>
      <c r="E78" s="5" t="s">
        <v>412</v>
      </c>
      <c r="F78" s="5" t="s">
        <v>130</v>
      </c>
      <c r="G78" s="5" t="s">
        <v>27</v>
      </c>
      <c r="H78" s="5" t="s">
        <v>25</v>
      </c>
      <c r="I78" s="5" t="s">
        <v>337</v>
      </c>
      <c r="J78" s="5" t="s">
        <v>14</v>
      </c>
      <c r="K78" s="5" t="s">
        <v>28</v>
      </c>
      <c r="L78" s="6"/>
      <c r="M78" s="6"/>
      <c r="N78" s="6"/>
      <c r="O78" s="5"/>
      <c r="P78" s="5"/>
    </row>
    <row r="79" spans="1:16">
      <c r="A79" s="5" t="s">
        <v>343</v>
      </c>
      <c r="B79" s="5" t="s">
        <v>413</v>
      </c>
      <c r="C79" s="5" t="s">
        <v>414</v>
      </c>
      <c r="D79" s="5" t="s">
        <v>415</v>
      </c>
      <c r="E79" s="5" t="s">
        <v>416</v>
      </c>
      <c r="F79" s="5" t="s">
        <v>130</v>
      </c>
      <c r="G79" s="5" t="s">
        <v>27</v>
      </c>
      <c r="H79" s="5" t="s">
        <v>25</v>
      </c>
      <c r="I79" s="5" t="s">
        <v>417</v>
      </c>
      <c r="J79" s="5" t="s">
        <v>14</v>
      </c>
      <c r="K79" s="5" t="s">
        <v>28</v>
      </c>
      <c r="L79" s="6"/>
      <c r="M79" s="6"/>
      <c r="N79" s="6"/>
      <c r="O79" s="5"/>
      <c r="P79" s="5"/>
    </row>
    <row r="80" spans="1:16">
      <c r="A80" s="5" t="s">
        <v>343</v>
      </c>
      <c r="B80" s="5" t="s">
        <v>418</v>
      </c>
      <c r="C80" s="5" t="s">
        <v>414</v>
      </c>
      <c r="D80" s="5" t="s">
        <v>419</v>
      </c>
      <c r="E80" s="5" t="s">
        <v>416</v>
      </c>
      <c r="F80" s="5" t="s">
        <v>130</v>
      </c>
      <c r="G80" s="5" t="s">
        <v>27</v>
      </c>
      <c r="H80" s="5" t="s">
        <v>25</v>
      </c>
      <c r="I80" s="5" t="s">
        <v>420</v>
      </c>
      <c r="J80" s="5" t="s">
        <v>14</v>
      </c>
      <c r="K80" s="5" t="s">
        <v>28</v>
      </c>
      <c r="L80" s="6"/>
      <c r="M80" s="6"/>
      <c r="N80" s="6"/>
      <c r="O80" s="5"/>
      <c r="P80" s="5"/>
    </row>
    <row r="81" spans="1:16" ht="27.6">
      <c r="A81" s="5" t="s">
        <v>343</v>
      </c>
      <c r="B81" s="5" t="s">
        <v>421</v>
      </c>
      <c r="C81" s="5" t="s">
        <v>115</v>
      </c>
      <c r="D81" s="5" t="s">
        <v>422</v>
      </c>
      <c r="E81" s="5" t="s">
        <v>423</v>
      </c>
      <c r="F81" s="5" t="s">
        <v>1242</v>
      </c>
      <c r="G81" s="5" t="s">
        <v>27</v>
      </c>
      <c r="H81" s="5" t="s">
        <v>25</v>
      </c>
      <c r="I81" s="5" t="s">
        <v>424</v>
      </c>
      <c r="J81" s="5" t="s">
        <v>425</v>
      </c>
      <c r="K81" s="5" t="s">
        <v>28</v>
      </c>
      <c r="L81" s="6"/>
      <c r="M81" s="6"/>
      <c r="N81" s="6"/>
      <c r="O81" s="5"/>
      <c r="P81" s="5"/>
    </row>
    <row r="82" spans="1:16" ht="27.6">
      <c r="A82" s="5" t="s">
        <v>426</v>
      </c>
      <c r="B82" s="5" t="s">
        <v>427</v>
      </c>
      <c r="C82" s="5" t="s">
        <v>428</v>
      </c>
      <c r="D82" s="5" t="s">
        <v>429</v>
      </c>
      <c r="E82" s="5" t="s">
        <v>430</v>
      </c>
      <c r="F82" s="5" t="s">
        <v>130</v>
      </c>
      <c r="G82" s="5" t="s">
        <v>27</v>
      </c>
      <c r="H82" s="5" t="s">
        <v>25</v>
      </c>
      <c r="I82" s="5" t="s">
        <v>431</v>
      </c>
      <c r="J82" s="5" t="s">
        <v>14</v>
      </c>
      <c r="K82" s="5" t="s">
        <v>28</v>
      </c>
      <c r="L82" s="6"/>
      <c r="M82" s="6"/>
      <c r="N82" s="6"/>
      <c r="O82" s="5"/>
      <c r="P82" s="5"/>
    </row>
    <row r="83" spans="1:16">
      <c r="A83" s="5" t="s">
        <v>426</v>
      </c>
      <c r="B83" s="5" t="s">
        <v>432</v>
      </c>
      <c r="C83" s="5" t="s">
        <v>428</v>
      </c>
      <c r="D83" s="5" t="s">
        <v>433</v>
      </c>
      <c r="E83" s="5" t="s">
        <v>434</v>
      </c>
      <c r="F83" s="5" t="s">
        <v>130</v>
      </c>
      <c r="G83" s="5" t="s">
        <v>30</v>
      </c>
      <c r="H83" s="5" t="s">
        <v>25</v>
      </c>
      <c r="I83" s="5" t="s">
        <v>431</v>
      </c>
      <c r="J83" s="5" t="s">
        <v>14</v>
      </c>
      <c r="K83" s="5" t="s">
        <v>28</v>
      </c>
      <c r="L83" s="6"/>
      <c r="M83" s="6"/>
      <c r="N83" s="6"/>
      <c r="O83" s="5"/>
      <c r="P83" s="5"/>
    </row>
    <row r="84" spans="1:16" ht="27.6">
      <c r="A84" s="5" t="s">
        <v>426</v>
      </c>
      <c r="B84" s="5" t="s">
        <v>435</v>
      </c>
      <c r="C84" s="5" t="s">
        <v>436</v>
      </c>
      <c r="D84" s="5" t="s">
        <v>437</v>
      </c>
      <c r="E84" s="5" t="s">
        <v>438</v>
      </c>
      <c r="F84" s="5" t="s">
        <v>130</v>
      </c>
      <c r="G84" s="5" t="s">
        <v>30</v>
      </c>
      <c r="H84" s="5" t="s">
        <v>25</v>
      </c>
      <c r="I84" s="5" t="s">
        <v>439</v>
      </c>
      <c r="J84" s="5" t="s">
        <v>14</v>
      </c>
      <c r="K84" s="5" t="s">
        <v>28</v>
      </c>
      <c r="L84" s="6"/>
      <c r="M84" s="6"/>
      <c r="N84" s="6"/>
      <c r="O84" s="5"/>
      <c r="P84" s="5"/>
    </row>
    <row r="85" spans="1:16">
      <c r="A85" s="5" t="s">
        <v>426</v>
      </c>
      <c r="B85" s="5" t="s">
        <v>440</v>
      </c>
      <c r="C85" s="5" t="s">
        <v>436</v>
      </c>
      <c r="D85" s="5" t="s">
        <v>441</v>
      </c>
      <c r="E85" s="5" t="s">
        <v>442</v>
      </c>
      <c r="F85" s="5" t="s">
        <v>130</v>
      </c>
      <c r="G85" s="5" t="s">
        <v>30</v>
      </c>
      <c r="H85" s="5" t="s">
        <v>25</v>
      </c>
      <c r="I85" s="5" t="s">
        <v>439</v>
      </c>
      <c r="J85" s="5" t="s">
        <v>14</v>
      </c>
      <c r="K85" s="5" t="s">
        <v>28</v>
      </c>
      <c r="L85" s="6"/>
      <c r="M85" s="6"/>
      <c r="N85" s="6"/>
      <c r="O85" s="5"/>
      <c r="P85" s="5"/>
    </row>
    <row r="86" spans="1:16">
      <c r="A86" s="5" t="s">
        <v>426</v>
      </c>
      <c r="B86" s="5" t="s">
        <v>443</v>
      </c>
      <c r="C86" s="5" t="s">
        <v>444</v>
      </c>
      <c r="D86" s="5" t="s">
        <v>445</v>
      </c>
      <c r="E86" s="5" t="s">
        <v>446</v>
      </c>
      <c r="F86" s="5" t="s">
        <v>130</v>
      </c>
      <c r="G86" s="5" t="s">
        <v>30</v>
      </c>
      <c r="H86" s="5" t="s">
        <v>25</v>
      </c>
      <c r="I86" s="5" t="s">
        <v>439</v>
      </c>
      <c r="J86" s="5" t="s">
        <v>14</v>
      </c>
      <c r="K86" s="5" t="s">
        <v>28</v>
      </c>
      <c r="L86" s="6"/>
      <c r="M86" s="6"/>
      <c r="N86" s="6"/>
      <c r="O86" s="5"/>
      <c r="P86" s="5"/>
    </row>
    <row r="87" spans="1:16" ht="27.6">
      <c r="A87" s="5" t="s">
        <v>426</v>
      </c>
      <c r="B87" s="5" t="s">
        <v>447</v>
      </c>
      <c r="C87" s="5" t="s">
        <v>448</v>
      </c>
      <c r="D87" s="5" t="s">
        <v>449</v>
      </c>
      <c r="E87" s="5" t="s">
        <v>450</v>
      </c>
      <c r="F87" s="5" t="s">
        <v>130</v>
      </c>
      <c r="G87" s="5" t="s">
        <v>27</v>
      </c>
      <c r="H87" s="5" t="s">
        <v>25</v>
      </c>
      <c r="I87" s="5" t="s">
        <v>451</v>
      </c>
      <c r="J87" s="5" t="s">
        <v>14</v>
      </c>
      <c r="K87" s="5" t="s">
        <v>28</v>
      </c>
      <c r="L87" s="6"/>
      <c r="M87" s="6"/>
      <c r="N87" s="6"/>
      <c r="O87" s="5"/>
      <c r="P87" s="5"/>
    </row>
    <row r="88" spans="1:16">
      <c r="A88" s="5" t="s">
        <v>426</v>
      </c>
      <c r="B88" s="5" t="s">
        <v>452</v>
      </c>
      <c r="C88" s="5" t="s">
        <v>448</v>
      </c>
      <c r="D88" s="5" t="s">
        <v>453</v>
      </c>
      <c r="E88" s="5" t="s">
        <v>454</v>
      </c>
      <c r="F88" s="5" t="s">
        <v>130</v>
      </c>
      <c r="G88" s="5" t="s">
        <v>27</v>
      </c>
      <c r="H88" s="5" t="s">
        <v>25</v>
      </c>
      <c r="I88" s="5" t="s">
        <v>451</v>
      </c>
      <c r="J88" s="5" t="s">
        <v>14</v>
      </c>
      <c r="K88" s="5" t="s">
        <v>28</v>
      </c>
      <c r="L88" s="6"/>
      <c r="M88" s="6"/>
      <c r="N88" s="6"/>
      <c r="O88" s="5"/>
      <c r="P88" s="5"/>
    </row>
    <row r="89" spans="1:16">
      <c r="A89" s="5" t="s">
        <v>426</v>
      </c>
      <c r="B89" s="5" t="s">
        <v>455</v>
      </c>
      <c r="C89" s="5" t="s">
        <v>268</v>
      </c>
      <c r="D89" s="5" t="s">
        <v>456</v>
      </c>
      <c r="E89" s="5" t="s">
        <v>457</v>
      </c>
      <c r="F89" s="5" t="s">
        <v>130</v>
      </c>
      <c r="G89" s="5" t="s">
        <v>27</v>
      </c>
      <c r="H89" s="5" t="s">
        <v>25</v>
      </c>
      <c r="I89" s="5" t="s">
        <v>451</v>
      </c>
      <c r="J89" s="5" t="s">
        <v>14</v>
      </c>
      <c r="K89" s="5" t="s">
        <v>28</v>
      </c>
      <c r="L89" s="6"/>
      <c r="M89" s="6"/>
      <c r="N89" s="6"/>
      <c r="O89" s="5"/>
      <c r="P89" s="5"/>
    </row>
    <row r="90" spans="1:16" ht="27.6">
      <c r="A90" s="5" t="s">
        <v>426</v>
      </c>
      <c r="B90" s="5" t="s">
        <v>458</v>
      </c>
      <c r="C90" s="5" t="s">
        <v>459</v>
      </c>
      <c r="D90" s="5" t="s">
        <v>460</v>
      </c>
      <c r="E90" s="5" t="s">
        <v>461</v>
      </c>
      <c r="F90" s="5" t="s">
        <v>130</v>
      </c>
      <c r="G90" s="5" t="s">
        <v>27</v>
      </c>
      <c r="H90" s="5" t="s">
        <v>25</v>
      </c>
      <c r="I90" s="5" t="s">
        <v>462</v>
      </c>
      <c r="J90" s="5" t="s">
        <v>14</v>
      </c>
      <c r="K90" s="5" t="s">
        <v>28</v>
      </c>
      <c r="L90" s="6"/>
      <c r="M90" s="6"/>
      <c r="N90" s="6"/>
      <c r="O90" s="5"/>
      <c r="P90" s="5"/>
    </row>
    <row r="91" spans="1:16" ht="27.6">
      <c r="A91" s="5" t="s">
        <v>426</v>
      </c>
      <c r="B91" s="5" t="s">
        <v>463</v>
      </c>
      <c r="C91" s="5" t="s">
        <v>115</v>
      </c>
      <c r="D91" s="5" t="s">
        <v>464</v>
      </c>
      <c r="E91" s="5" t="s">
        <v>465</v>
      </c>
      <c r="F91" s="5" t="s">
        <v>1242</v>
      </c>
      <c r="G91" s="5" t="s">
        <v>27</v>
      </c>
      <c r="H91" s="5" t="s">
        <v>25</v>
      </c>
      <c r="I91" s="5" t="s">
        <v>466</v>
      </c>
      <c r="J91" s="5" t="s">
        <v>467</v>
      </c>
      <c r="K91" s="5" t="s">
        <v>28</v>
      </c>
      <c r="L91" s="6"/>
      <c r="M91" s="6"/>
      <c r="N91" s="6"/>
      <c r="O91" s="5"/>
      <c r="P91" s="5"/>
    </row>
    <row r="92" spans="1:16">
      <c r="A92" s="5" t="s">
        <v>468</v>
      </c>
      <c r="B92" s="5" t="s">
        <v>469</v>
      </c>
      <c r="C92" s="5" t="s">
        <v>470</v>
      </c>
      <c r="D92" s="5" t="s">
        <v>471</v>
      </c>
      <c r="E92" s="5" t="s">
        <v>472</v>
      </c>
      <c r="F92" s="5" t="s">
        <v>130</v>
      </c>
      <c r="G92" s="5" t="s">
        <v>27</v>
      </c>
      <c r="H92" s="5" t="s">
        <v>25</v>
      </c>
      <c r="I92" s="5" t="s">
        <v>473</v>
      </c>
      <c r="J92" s="5" t="s">
        <v>14</v>
      </c>
      <c r="K92" s="5" t="s">
        <v>28</v>
      </c>
      <c r="L92" s="6"/>
      <c r="M92" s="6"/>
      <c r="N92" s="6"/>
      <c r="O92" s="5"/>
      <c r="P92" s="5"/>
    </row>
    <row r="93" spans="1:16" ht="27.6">
      <c r="A93" s="5" t="s">
        <v>468</v>
      </c>
      <c r="B93" s="5" t="s">
        <v>474</v>
      </c>
      <c r="C93" s="5" t="s">
        <v>475</v>
      </c>
      <c r="D93" s="5" t="s">
        <v>476</v>
      </c>
      <c r="E93" s="5" t="s">
        <v>477</v>
      </c>
      <c r="F93" s="5" t="s">
        <v>130</v>
      </c>
      <c r="G93" s="5" t="s">
        <v>27</v>
      </c>
      <c r="H93" s="5" t="s">
        <v>25</v>
      </c>
      <c r="I93" s="5" t="s">
        <v>473</v>
      </c>
      <c r="J93" s="5" t="s">
        <v>14</v>
      </c>
      <c r="K93" s="5" t="s">
        <v>28</v>
      </c>
      <c r="L93" s="6"/>
      <c r="M93" s="6"/>
      <c r="N93" s="6"/>
      <c r="O93" s="5"/>
      <c r="P93" s="5"/>
    </row>
    <row r="94" spans="1:16" ht="27.6">
      <c r="A94" s="5" t="s">
        <v>468</v>
      </c>
      <c r="B94" s="5" t="s">
        <v>478</v>
      </c>
      <c r="C94" s="5" t="s">
        <v>479</v>
      </c>
      <c r="D94" s="5" t="s">
        <v>480</v>
      </c>
      <c r="E94" s="5" t="s">
        <v>481</v>
      </c>
      <c r="F94" s="5" t="s">
        <v>130</v>
      </c>
      <c r="G94" s="5" t="s">
        <v>27</v>
      </c>
      <c r="H94" s="5" t="s">
        <v>25</v>
      </c>
      <c r="I94" s="5" t="s">
        <v>473</v>
      </c>
      <c r="J94" s="5" t="s">
        <v>14</v>
      </c>
      <c r="K94" s="5" t="s">
        <v>28</v>
      </c>
      <c r="L94" s="6"/>
      <c r="M94" s="6"/>
      <c r="N94" s="6"/>
      <c r="O94" s="5"/>
      <c r="P94" s="5"/>
    </row>
    <row r="95" spans="1:16">
      <c r="A95" s="5" t="s">
        <v>468</v>
      </c>
      <c r="B95" s="5" t="s">
        <v>482</v>
      </c>
      <c r="C95" s="5" t="s">
        <v>479</v>
      </c>
      <c r="D95" s="5" t="s">
        <v>483</v>
      </c>
      <c r="E95" s="5" t="s">
        <v>484</v>
      </c>
      <c r="F95" s="5" t="s">
        <v>130</v>
      </c>
      <c r="G95" s="5" t="s">
        <v>30</v>
      </c>
      <c r="H95" s="5" t="s">
        <v>25</v>
      </c>
      <c r="I95" s="5" t="s">
        <v>473</v>
      </c>
      <c r="J95" s="5" t="s">
        <v>14</v>
      </c>
      <c r="K95" s="5" t="s">
        <v>28</v>
      </c>
      <c r="L95" s="6"/>
      <c r="M95" s="6"/>
      <c r="N95" s="6"/>
      <c r="O95" s="5"/>
      <c r="P95" s="5"/>
    </row>
    <row r="96" spans="1:16">
      <c r="A96" s="5" t="s">
        <v>468</v>
      </c>
      <c r="B96" s="5" t="s">
        <v>485</v>
      </c>
      <c r="C96" s="5" t="s">
        <v>486</v>
      </c>
      <c r="D96" s="5" t="s">
        <v>487</v>
      </c>
      <c r="E96" s="5" t="s">
        <v>488</v>
      </c>
      <c r="F96" s="5" t="s">
        <v>130</v>
      </c>
      <c r="G96" s="5" t="s">
        <v>27</v>
      </c>
      <c r="H96" s="5" t="s">
        <v>25</v>
      </c>
      <c r="I96" s="5" t="s">
        <v>473</v>
      </c>
      <c r="J96" s="5" t="s">
        <v>14</v>
      </c>
      <c r="K96" s="5" t="s">
        <v>28</v>
      </c>
      <c r="L96" s="6"/>
      <c r="M96" s="6"/>
      <c r="N96" s="6"/>
      <c r="O96" s="5"/>
      <c r="P96" s="5"/>
    </row>
    <row r="97" spans="1:16">
      <c r="A97" s="5" t="s">
        <v>468</v>
      </c>
      <c r="B97" s="5" t="s">
        <v>489</v>
      </c>
      <c r="C97" s="5" t="s">
        <v>490</v>
      </c>
      <c r="D97" s="5" t="s">
        <v>491</v>
      </c>
      <c r="E97" s="5" t="s">
        <v>492</v>
      </c>
      <c r="F97" s="5" t="s">
        <v>130</v>
      </c>
      <c r="G97" s="5" t="s">
        <v>30</v>
      </c>
      <c r="H97" s="5" t="s">
        <v>25</v>
      </c>
      <c r="I97" s="5" t="s">
        <v>473</v>
      </c>
      <c r="J97" s="5" t="s">
        <v>14</v>
      </c>
      <c r="K97" s="5" t="s">
        <v>28</v>
      </c>
      <c r="L97" s="6"/>
      <c r="M97" s="6"/>
      <c r="N97" s="6"/>
      <c r="O97" s="5"/>
      <c r="P97" s="5"/>
    </row>
    <row r="98" spans="1:16">
      <c r="A98" s="5" t="s">
        <v>468</v>
      </c>
      <c r="B98" s="5" t="s">
        <v>493</v>
      </c>
      <c r="C98" s="5" t="s">
        <v>494</v>
      </c>
      <c r="D98" s="5" t="s">
        <v>495</v>
      </c>
      <c r="E98" s="5" t="s">
        <v>496</v>
      </c>
      <c r="F98" s="5" t="s">
        <v>130</v>
      </c>
      <c r="G98" s="5" t="s">
        <v>27</v>
      </c>
      <c r="H98" s="5" t="s">
        <v>25</v>
      </c>
      <c r="I98" s="5" t="s">
        <v>473</v>
      </c>
      <c r="J98" s="5" t="s">
        <v>14</v>
      </c>
      <c r="K98" s="5" t="s">
        <v>28</v>
      </c>
      <c r="L98" s="6"/>
      <c r="M98" s="6"/>
      <c r="N98" s="6"/>
      <c r="O98" s="5"/>
      <c r="P98" s="5"/>
    </row>
    <row r="99" spans="1:16">
      <c r="A99" s="5" t="s">
        <v>468</v>
      </c>
      <c r="B99" s="5" t="s">
        <v>497</v>
      </c>
      <c r="C99" s="5" t="s">
        <v>498</v>
      </c>
      <c r="D99" s="5" t="s">
        <v>499</v>
      </c>
      <c r="E99" s="5" t="s">
        <v>500</v>
      </c>
      <c r="F99" s="5" t="s">
        <v>130</v>
      </c>
      <c r="G99" s="5" t="s">
        <v>27</v>
      </c>
      <c r="H99" s="5" t="s">
        <v>25</v>
      </c>
      <c r="I99" s="5" t="s">
        <v>473</v>
      </c>
      <c r="J99" s="5" t="s">
        <v>14</v>
      </c>
      <c r="K99" s="5" t="s">
        <v>28</v>
      </c>
      <c r="L99" s="6"/>
      <c r="M99" s="6"/>
      <c r="N99" s="6"/>
      <c r="O99" s="5"/>
      <c r="P99" s="5"/>
    </row>
    <row r="100" spans="1:16">
      <c r="A100" s="5" t="s">
        <v>468</v>
      </c>
      <c r="B100" s="5" t="s">
        <v>501</v>
      </c>
      <c r="C100" s="5" t="s">
        <v>502</v>
      </c>
      <c r="D100" s="5" t="s">
        <v>503</v>
      </c>
      <c r="E100" s="5" t="s">
        <v>504</v>
      </c>
      <c r="F100" s="5" t="s">
        <v>130</v>
      </c>
      <c r="G100" s="5" t="s">
        <v>27</v>
      </c>
      <c r="H100" s="5" t="s">
        <v>25</v>
      </c>
      <c r="I100" s="5" t="s">
        <v>505</v>
      </c>
      <c r="J100" s="5" t="s">
        <v>14</v>
      </c>
      <c r="K100" s="5" t="s">
        <v>28</v>
      </c>
      <c r="L100" s="6"/>
      <c r="M100" s="6"/>
      <c r="N100" s="6"/>
      <c r="O100" s="5"/>
      <c r="P100" s="5"/>
    </row>
    <row r="101" spans="1:16">
      <c r="A101" s="5" t="s">
        <v>468</v>
      </c>
      <c r="B101" s="5" t="s">
        <v>506</v>
      </c>
      <c r="C101" s="5" t="s">
        <v>502</v>
      </c>
      <c r="D101" s="5" t="s">
        <v>507</v>
      </c>
      <c r="E101" s="5" t="s">
        <v>508</v>
      </c>
      <c r="F101" s="5" t="s">
        <v>130</v>
      </c>
      <c r="G101" s="5" t="s">
        <v>27</v>
      </c>
      <c r="H101" s="5" t="s">
        <v>25</v>
      </c>
      <c r="I101" s="5" t="s">
        <v>505</v>
      </c>
      <c r="J101" s="5" t="s">
        <v>14</v>
      </c>
      <c r="K101" s="5" t="s">
        <v>28</v>
      </c>
      <c r="L101" s="6"/>
      <c r="M101" s="6"/>
      <c r="N101" s="6"/>
      <c r="O101" s="5"/>
      <c r="P101" s="5"/>
    </row>
    <row r="102" spans="1:16">
      <c r="A102" s="5" t="s">
        <v>468</v>
      </c>
      <c r="B102" s="5" t="s">
        <v>509</v>
      </c>
      <c r="C102" s="5" t="s">
        <v>510</v>
      </c>
      <c r="D102" s="5" t="s">
        <v>511</v>
      </c>
      <c r="E102" s="5" t="s">
        <v>512</v>
      </c>
      <c r="F102" s="5" t="s">
        <v>130</v>
      </c>
      <c r="G102" s="5" t="s">
        <v>30</v>
      </c>
      <c r="H102" s="5" t="s">
        <v>25</v>
      </c>
      <c r="I102" s="5" t="s">
        <v>473</v>
      </c>
      <c r="J102" s="5" t="s">
        <v>14</v>
      </c>
      <c r="K102" s="5" t="s">
        <v>28</v>
      </c>
      <c r="L102" s="6"/>
      <c r="M102" s="6"/>
      <c r="N102" s="6"/>
      <c r="O102" s="5"/>
      <c r="P102" s="5"/>
    </row>
    <row r="103" spans="1:16">
      <c r="A103" s="5" t="s">
        <v>468</v>
      </c>
      <c r="B103" s="5" t="s">
        <v>513</v>
      </c>
      <c r="C103" s="5" t="s">
        <v>510</v>
      </c>
      <c r="D103" s="5" t="s">
        <v>514</v>
      </c>
      <c r="E103" s="5" t="s">
        <v>515</v>
      </c>
      <c r="F103" s="5" t="s">
        <v>130</v>
      </c>
      <c r="G103" s="5" t="s">
        <v>30</v>
      </c>
      <c r="H103" s="5" t="s">
        <v>25</v>
      </c>
      <c r="I103" s="5" t="s">
        <v>473</v>
      </c>
      <c r="J103" s="5" t="s">
        <v>14</v>
      </c>
      <c r="K103" s="5" t="s">
        <v>28</v>
      </c>
      <c r="L103" s="6"/>
      <c r="M103" s="6"/>
      <c r="N103" s="6"/>
      <c r="O103" s="5"/>
      <c r="P103" s="5"/>
    </row>
    <row r="104" spans="1:16">
      <c r="A104" s="5" t="s">
        <v>468</v>
      </c>
      <c r="B104" s="5" t="s">
        <v>516</v>
      </c>
      <c r="C104" s="5" t="s">
        <v>517</v>
      </c>
      <c r="D104" s="5" t="s">
        <v>518</v>
      </c>
      <c r="E104" s="5" t="s">
        <v>519</v>
      </c>
      <c r="F104" s="5" t="s">
        <v>130</v>
      </c>
      <c r="G104" s="5" t="s">
        <v>33</v>
      </c>
      <c r="H104" s="5" t="s">
        <v>25</v>
      </c>
      <c r="I104" s="5" t="s">
        <v>473</v>
      </c>
      <c r="J104" s="5" t="s">
        <v>14</v>
      </c>
      <c r="K104" s="5" t="s">
        <v>28</v>
      </c>
      <c r="L104" s="6"/>
      <c r="M104" s="6"/>
      <c r="N104" s="6"/>
      <c r="O104" s="5"/>
      <c r="P104" s="5"/>
    </row>
    <row r="105" spans="1:16">
      <c r="A105" s="5" t="s">
        <v>468</v>
      </c>
      <c r="B105" s="5" t="s">
        <v>520</v>
      </c>
      <c r="C105" s="5" t="s">
        <v>517</v>
      </c>
      <c r="D105" s="5" t="s">
        <v>521</v>
      </c>
      <c r="E105" s="5" t="s">
        <v>522</v>
      </c>
      <c r="F105" s="5" t="s">
        <v>130</v>
      </c>
      <c r="G105" s="5" t="s">
        <v>30</v>
      </c>
      <c r="H105" s="5" t="s">
        <v>25</v>
      </c>
      <c r="I105" s="5" t="s">
        <v>473</v>
      </c>
      <c r="J105" s="5" t="s">
        <v>14</v>
      </c>
      <c r="K105" s="5" t="s">
        <v>28</v>
      </c>
      <c r="L105" s="6"/>
      <c r="M105" s="6"/>
      <c r="N105" s="6"/>
      <c r="O105" s="5"/>
      <c r="P105" s="5"/>
    </row>
    <row r="106" spans="1:16" ht="27.6">
      <c r="A106" s="5" t="s">
        <v>468</v>
      </c>
      <c r="B106" s="5" t="s">
        <v>523</v>
      </c>
      <c r="C106" s="5" t="s">
        <v>524</v>
      </c>
      <c r="D106" s="5" t="s">
        <v>525</v>
      </c>
      <c r="E106" s="5" t="s">
        <v>526</v>
      </c>
      <c r="F106" s="5" t="s">
        <v>65</v>
      </c>
      <c r="G106" s="5" t="s">
        <v>30</v>
      </c>
      <c r="H106" s="5" t="s">
        <v>25</v>
      </c>
      <c r="I106" s="5" t="s">
        <v>527</v>
      </c>
      <c r="J106" s="5" t="s">
        <v>14</v>
      </c>
      <c r="K106" s="5" t="s">
        <v>28</v>
      </c>
      <c r="L106" s="6"/>
      <c r="M106" s="6"/>
      <c r="N106" s="6"/>
      <c r="O106" s="5"/>
      <c r="P106" s="5"/>
    </row>
    <row r="107" spans="1:16" ht="27.6">
      <c r="A107" s="5" t="s">
        <v>468</v>
      </c>
      <c r="B107" s="5" t="s">
        <v>528</v>
      </c>
      <c r="C107" s="5" t="s">
        <v>115</v>
      </c>
      <c r="D107" s="5" t="s">
        <v>529</v>
      </c>
      <c r="E107" s="5" t="s">
        <v>530</v>
      </c>
      <c r="F107" s="5" t="s">
        <v>1242</v>
      </c>
      <c r="G107" s="5" t="s">
        <v>27</v>
      </c>
      <c r="H107" s="5" t="s">
        <v>25</v>
      </c>
      <c r="I107" s="5" t="s">
        <v>531</v>
      </c>
      <c r="J107" s="5" t="s">
        <v>532</v>
      </c>
      <c r="K107" s="5" t="s">
        <v>28</v>
      </c>
      <c r="L107" s="6"/>
      <c r="M107" s="6"/>
      <c r="N107" s="6"/>
      <c r="O107" s="5"/>
      <c r="P107" s="5"/>
    </row>
    <row r="108" spans="1:16" ht="41.4">
      <c r="A108" s="5" t="s">
        <v>533</v>
      </c>
      <c r="B108" s="5" t="s">
        <v>534</v>
      </c>
      <c r="C108" s="5" t="s">
        <v>535</v>
      </c>
      <c r="D108" s="5" t="s">
        <v>536</v>
      </c>
      <c r="E108" s="5" t="s">
        <v>537</v>
      </c>
      <c r="F108" s="5" t="s">
        <v>538</v>
      </c>
      <c r="G108" s="5" t="s">
        <v>27</v>
      </c>
      <c r="H108" s="5" t="s">
        <v>25</v>
      </c>
      <c r="I108" s="5" t="s">
        <v>539</v>
      </c>
      <c r="J108" s="5" t="s">
        <v>14</v>
      </c>
      <c r="K108" s="5" t="s">
        <v>28</v>
      </c>
      <c r="L108" s="6"/>
      <c r="M108" s="6"/>
      <c r="N108" s="6"/>
      <c r="O108" s="5"/>
      <c r="P108" s="5"/>
    </row>
    <row r="109" spans="1:16" ht="41.4">
      <c r="A109" s="5" t="s">
        <v>533</v>
      </c>
      <c r="B109" s="5" t="s">
        <v>540</v>
      </c>
      <c r="C109" s="5" t="s">
        <v>535</v>
      </c>
      <c r="D109" s="5" t="s">
        <v>541</v>
      </c>
      <c r="E109" s="5" t="s">
        <v>537</v>
      </c>
      <c r="F109" s="5" t="s">
        <v>538</v>
      </c>
      <c r="G109" s="5" t="s">
        <v>27</v>
      </c>
      <c r="H109" s="5" t="s">
        <v>25</v>
      </c>
      <c r="I109" s="5" t="s">
        <v>542</v>
      </c>
      <c r="J109" s="5" t="s">
        <v>14</v>
      </c>
      <c r="K109" s="5" t="s">
        <v>28</v>
      </c>
      <c r="L109" s="6"/>
      <c r="M109" s="6"/>
      <c r="N109" s="6"/>
      <c r="O109" s="5"/>
      <c r="P109" s="5"/>
    </row>
    <row r="110" spans="1:16" ht="41.4">
      <c r="A110" s="5" t="s">
        <v>533</v>
      </c>
      <c r="B110" s="5" t="s">
        <v>543</v>
      </c>
      <c r="C110" s="5" t="s">
        <v>535</v>
      </c>
      <c r="D110" s="5" t="s">
        <v>544</v>
      </c>
      <c r="E110" s="5" t="s">
        <v>537</v>
      </c>
      <c r="F110" s="5" t="s">
        <v>538</v>
      </c>
      <c r="G110" s="5" t="s">
        <v>27</v>
      </c>
      <c r="H110" s="5" t="s">
        <v>25</v>
      </c>
      <c r="I110" s="5" t="s">
        <v>545</v>
      </c>
      <c r="J110" s="5" t="s">
        <v>14</v>
      </c>
      <c r="K110" s="5" t="s">
        <v>28</v>
      </c>
      <c r="L110" s="6"/>
      <c r="M110" s="6"/>
      <c r="N110" s="6"/>
      <c r="O110" s="5"/>
      <c r="P110" s="5"/>
    </row>
    <row r="111" spans="1:16" ht="41.4">
      <c r="A111" s="5" t="s">
        <v>533</v>
      </c>
      <c r="B111" s="5" t="s">
        <v>546</v>
      </c>
      <c r="C111" s="5" t="s">
        <v>535</v>
      </c>
      <c r="D111" s="5" t="s">
        <v>547</v>
      </c>
      <c r="E111" s="5" t="s">
        <v>537</v>
      </c>
      <c r="F111" s="5" t="s">
        <v>538</v>
      </c>
      <c r="G111" s="5" t="s">
        <v>27</v>
      </c>
      <c r="H111" s="5" t="s">
        <v>25</v>
      </c>
      <c r="I111" s="5" t="s">
        <v>548</v>
      </c>
      <c r="J111" s="5" t="s">
        <v>14</v>
      </c>
      <c r="K111" s="5" t="s">
        <v>28</v>
      </c>
      <c r="L111" s="6"/>
      <c r="M111" s="6"/>
      <c r="N111" s="6"/>
      <c r="O111" s="5"/>
      <c r="P111" s="5"/>
    </row>
    <row r="112" spans="1:16" ht="41.4">
      <c r="A112" s="5" t="s">
        <v>533</v>
      </c>
      <c r="B112" s="5" t="s">
        <v>549</v>
      </c>
      <c r="C112" s="5" t="s">
        <v>535</v>
      </c>
      <c r="D112" s="5" t="s">
        <v>550</v>
      </c>
      <c r="E112" s="5" t="s">
        <v>537</v>
      </c>
      <c r="F112" s="5" t="s">
        <v>538</v>
      </c>
      <c r="G112" s="5" t="s">
        <v>27</v>
      </c>
      <c r="H112" s="5" t="s">
        <v>25</v>
      </c>
      <c r="I112" s="5" t="s">
        <v>551</v>
      </c>
      <c r="J112" s="5" t="s">
        <v>14</v>
      </c>
      <c r="K112" s="5" t="s">
        <v>28</v>
      </c>
      <c r="L112" s="6"/>
      <c r="M112" s="6"/>
      <c r="N112" s="6"/>
      <c r="O112" s="5"/>
      <c r="P112" s="5"/>
    </row>
    <row r="113" spans="1:16" ht="41.4">
      <c r="A113" s="5" t="s">
        <v>533</v>
      </c>
      <c r="B113" s="5" t="s">
        <v>552</v>
      </c>
      <c r="C113" s="5" t="s">
        <v>535</v>
      </c>
      <c r="D113" s="5" t="s">
        <v>553</v>
      </c>
      <c r="E113" s="5" t="s">
        <v>537</v>
      </c>
      <c r="F113" s="5" t="s">
        <v>538</v>
      </c>
      <c r="G113" s="5" t="s">
        <v>27</v>
      </c>
      <c r="H113" s="5" t="s">
        <v>25</v>
      </c>
      <c r="I113" s="5" t="s">
        <v>554</v>
      </c>
      <c r="J113" s="5" t="s">
        <v>14</v>
      </c>
      <c r="K113" s="5" t="s">
        <v>28</v>
      </c>
      <c r="L113" s="6"/>
      <c r="M113" s="6"/>
      <c r="N113" s="6"/>
      <c r="O113" s="5"/>
      <c r="P113" s="5"/>
    </row>
    <row r="114" spans="1:16" ht="41.4">
      <c r="A114" s="5" t="s">
        <v>533</v>
      </c>
      <c r="B114" s="5" t="s">
        <v>555</v>
      </c>
      <c r="C114" s="5" t="s">
        <v>535</v>
      </c>
      <c r="D114" s="5" t="s">
        <v>556</v>
      </c>
      <c r="E114" s="5" t="s">
        <v>537</v>
      </c>
      <c r="F114" s="5" t="s">
        <v>538</v>
      </c>
      <c r="G114" s="5" t="s">
        <v>27</v>
      </c>
      <c r="H114" s="5" t="s">
        <v>25</v>
      </c>
      <c r="I114" s="5" t="s">
        <v>557</v>
      </c>
      <c r="J114" s="5" t="s">
        <v>14</v>
      </c>
      <c r="K114" s="5" t="s">
        <v>28</v>
      </c>
      <c r="L114" s="6"/>
      <c r="M114" s="6"/>
      <c r="N114" s="6"/>
      <c r="O114" s="5"/>
      <c r="P114" s="5"/>
    </row>
    <row r="115" spans="1:16" ht="41.4">
      <c r="A115" s="5" t="s">
        <v>533</v>
      </c>
      <c r="B115" s="5" t="s">
        <v>558</v>
      </c>
      <c r="C115" s="5" t="s">
        <v>535</v>
      </c>
      <c r="D115" s="5" t="s">
        <v>559</v>
      </c>
      <c r="E115" s="5" t="s">
        <v>537</v>
      </c>
      <c r="F115" s="5" t="s">
        <v>538</v>
      </c>
      <c r="G115" s="5" t="s">
        <v>27</v>
      </c>
      <c r="H115" s="5" t="s">
        <v>25</v>
      </c>
      <c r="I115" s="5" t="s">
        <v>560</v>
      </c>
      <c r="J115" s="5" t="s">
        <v>14</v>
      </c>
      <c r="K115" s="5" t="s">
        <v>28</v>
      </c>
      <c r="L115" s="6"/>
      <c r="M115" s="6"/>
      <c r="N115" s="6"/>
      <c r="O115" s="5"/>
      <c r="P115" s="5"/>
    </row>
    <row r="116" spans="1:16" ht="41.4">
      <c r="A116" s="5" t="s">
        <v>533</v>
      </c>
      <c r="B116" s="5" t="s">
        <v>561</v>
      </c>
      <c r="C116" s="5" t="s">
        <v>535</v>
      </c>
      <c r="D116" s="5" t="s">
        <v>562</v>
      </c>
      <c r="E116" s="5" t="s">
        <v>537</v>
      </c>
      <c r="F116" s="5" t="s">
        <v>538</v>
      </c>
      <c r="G116" s="5" t="s">
        <v>27</v>
      </c>
      <c r="H116" s="5" t="s">
        <v>25</v>
      </c>
      <c r="I116" s="5" t="s">
        <v>563</v>
      </c>
      <c r="J116" s="5" t="s">
        <v>14</v>
      </c>
      <c r="K116" s="5" t="s">
        <v>28</v>
      </c>
      <c r="L116" s="6"/>
      <c r="M116" s="6"/>
      <c r="N116" s="6"/>
      <c r="O116" s="5"/>
      <c r="P116" s="5"/>
    </row>
    <row r="117" spans="1:16" ht="41.4">
      <c r="A117" s="5" t="s">
        <v>533</v>
      </c>
      <c r="B117" s="5" t="s">
        <v>564</v>
      </c>
      <c r="C117" s="5" t="s">
        <v>535</v>
      </c>
      <c r="D117" s="5" t="s">
        <v>565</v>
      </c>
      <c r="E117" s="5" t="s">
        <v>537</v>
      </c>
      <c r="F117" s="5" t="s">
        <v>538</v>
      </c>
      <c r="G117" s="5" t="s">
        <v>27</v>
      </c>
      <c r="H117" s="5" t="s">
        <v>25</v>
      </c>
      <c r="I117" s="5" t="s">
        <v>566</v>
      </c>
      <c r="J117" s="5" t="s">
        <v>14</v>
      </c>
      <c r="K117" s="5" t="s">
        <v>28</v>
      </c>
      <c r="L117" s="6"/>
      <c r="M117" s="6"/>
      <c r="N117" s="6"/>
      <c r="O117" s="5"/>
      <c r="P117" s="5"/>
    </row>
    <row r="118" spans="1:16" ht="41.4">
      <c r="A118" s="5" t="s">
        <v>533</v>
      </c>
      <c r="B118" s="5" t="s">
        <v>567</v>
      </c>
      <c r="C118" s="5" t="s">
        <v>535</v>
      </c>
      <c r="D118" s="5" t="s">
        <v>568</v>
      </c>
      <c r="E118" s="5" t="s">
        <v>537</v>
      </c>
      <c r="F118" s="5" t="s">
        <v>538</v>
      </c>
      <c r="G118" s="5" t="s">
        <v>27</v>
      </c>
      <c r="H118" s="5" t="s">
        <v>25</v>
      </c>
      <c r="I118" s="5" t="s">
        <v>569</v>
      </c>
      <c r="J118" s="5" t="s">
        <v>14</v>
      </c>
      <c r="K118" s="5" t="s">
        <v>28</v>
      </c>
      <c r="L118" s="6"/>
      <c r="M118" s="6"/>
      <c r="N118" s="6"/>
      <c r="O118" s="5"/>
      <c r="P118" s="5"/>
    </row>
    <row r="119" spans="1:16" ht="41.4">
      <c r="A119" s="5" t="s">
        <v>533</v>
      </c>
      <c r="B119" s="5" t="s">
        <v>570</v>
      </c>
      <c r="C119" s="5" t="s">
        <v>535</v>
      </c>
      <c r="D119" s="5" t="s">
        <v>571</v>
      </c>
      <c r="E119" s="5" t="s">
        <v>537</v>
      </c>
      <c r="F119" s="5" t="s">
        <v>538</v>
      </c>
      <c r="G119" s="5" t="s">
        <v>27</v>
      </c>
      <c r="H119" s="5" t="s">
        <v>25</v>
      </c>
      <c r="I119" s="5" t="s">
        <v>572</v>
      </c>
      <c r="J119" s="5" t="s">
        <v>14</v>
      </c>
      <c r="K119" s="5" t="s">
        <v>28</v>
      </c>
      <c r="L119" s="6"/>
      <c r="M119" s="6"/>
      <c r="N119" s="6"/>
      <c r="O119" s="5"/>
      <c r="P119" s="5"/>
    </row>
    <row r="120" spans="1:16" ht="41.4">
      <c r="A120" s="5" t="s">
        <v>533</v>
      </c>
      <c r="B120" s="5" t="s">
        <v>573</v>
      </c>
      <c r="C120" s="5" t="s">
        <v>535</v>
      </c>
      <c r="D120" s="5" t="s">
        <v>574</v>
      </c>
      <c r="E120" s="5" t="s">
        <v>537</v>
      </c>
      <c r="F120" s="5" t="s">
        <v>538</v>
      </c>
      <c r="G120" s="5" t="s">
        <v>27</v>
      </c>
      <c r="H120" s="5" t="s">
        <v>25</v>
      </c>
      <c r="I120" s="5" t="s">
        <v>575</v>
      </c>
      <c r="J120" s="5" t="s">
        <v>14</v>
      </c>
      <c r="K120" s="5" t="s">
        <v>28</v>
      </c>
      <c r="L120" s="6"/>
      <c r="M120" s="6"/>
      <c r="N120" s="6"/>
      <c r="O120" s="5"/>
      <c r="P120" s="5"/>
    </row>
    <row r="121" spans="1:16" ht="41.4">
      <c r="A121" s="5" t="s">
        <v>533</v>
      </c>
      <c r="B121" s="5" t="s">
        <v>576</v>
      </c>
      <c r="C121" s="5" t="s">
        <v>535</v>
      </c>
      <c r="D121" s="5" t="s">
        <v>577</v>
      </c>
      <c r="E121" s="5" t="s">
        <v>537</v>
      </c>
      <c r="F121" s="5" t="s">
        <v>538</v>
      </c>
      <c r="G121" s="5" t="s">
        <v>27</v>
      </c>
      <c r="H121" s="5" t="s">
        <v>25</v>
      </c>
      <c r="I121" s="5" t="s">
        <v>578</v>
      </c>
      <c r="J121" s="5" t="s">
        <v>14</v>
      </c>
      <c r="K121" s="5" t="s">
        <v>28</v>
      </c>
      <c r="L121" s="6"/>
      <c r="M121" s="6"/>
      <c r="N121" s="6"/>
      <c r="O121" s="5"/>
      <c r="P121" s="5"/>
    </row>
    <row r="122" spans="1:16" ht="41.4">
      <c r="A122" s="5" t="s">
        <v>533</v>
      </c>
      <c r="B122" s="5" t="s">
        <v>579</v>
      </c>
      <c r="C122" s="5" t="s">
        <v>535</v>
      </c>
      <c r="D122" s="5" t="s">
        <v>580</v>
      </c>
      <c r="E122" s="5" t="s">
        <v>537</v>
      </c>
      <c r="F122" s="5" t="s">
        <v>538</v>
      </c>
      <c r="G122" s="5" t="s">
        <v>27</v>
      </c>
      <c r="H122" s="5" t="s">
        <v>25</v>
      </c>
      <c r="I122" s="5" t="s">
        <v>581</v>
      </c>
      <c r="J122" s="5" t="s">
        <v>14</v>
      </c>
      <c r="K122" s="5" t="s">
        <v>28</v>
      </c>
      <c r="L122" s="6"/>
      <c r="M122" s="6"/>
      <c r="N122" s="6"/>
      <c r="O122" s="5"/>
      <c r="P122" s="5"/>
    </row>
    <row r="123" spans="1:16" ht="41.4">
      <c r="A123" s="5" t="s">
        <v>533</v>
      </c>
      <c r="B123" s="5" t="s">
        <v>582</v>
      </c>
      <c r="C123" s="5" t="s">
        <v>535</v>
      </c>
      <c r="D123" s="5" t="s">
        <v>583</v>
      </c>
      <c r="E123" s="5" t="s">
        <v>537</v>
      </c>
      <c r="F123" s="5" t="s">
        <v>538</v>
      </c>
      <c r="G123" s="5" t="s">
        <v>27</v>
      </c>
      <c r="H123" s="5" t="s">
        <v>25</v>
      </c>
      <c r="I123" s="5" t="s">
        <v>584</v>
      </c>
      <c r="J123" s="5" t="s">
        <v>14</v>
      </c>
      <c r="K123" s="5" t="s">
        <v>28</v>
      </c>
      <c r="L123" s="6"/>
      <c r="M123" s="6"/>
      <c r="N123" s="6"/>
      <c r="O123" s="5"/>
      <c r="P123" s="5"/>
    </row>
    <row r="124" spans="1:16" ht="41.4">
      <c r="A124" s="5" t="s">
        <v>533</v>
      </c>
      <c r="B124" s="5" t="s">
        <v>585</v>
      </c>
      <c r="C124" s="5" t="s">
        <v>535</v>
      </c>
      <c r="D124" s="5" t="s">
        <v>586</v>
      </c>
      <c r="E124" s="5" t="s">
        <v>537</v>
      </c>
      <c r="F124" s="5" t="s">
        <v>538</v>
      </c>
      <c r="G124" s="5" t="s">
        <v>27</v>
      </c>
      <c r="H124" s="5" t="s">
        <v>25</v>
      </c>
      <c r="I124" s="5" t="s">
        <v>587</v>
      </c>
      <c r="J124" s="5" t="s">
        <v>14</v>
      </c>
      <c r="K124" s="5" t="s">
        <v>28</v>
      </c>
      <c r="L124" s="6"/>
      <c r="M124" s="6"/>
      <c r="N124" s="6"/>
      <c r="O124" s="5"/>
      <c r="P124" s="5"/>
    </row>
    <row r="125" spans="1:16" ht="41.4">
      <c r="A125" s="5" t="s">
        <v>533</v>
      </c>
      <c r="B125" s="5" t="s">
        <v>588</v>
      </c>
      <c r="C125" s="5" t="s">
        <v>535</v>
      </c>
      <c r="D125" s="5" t="s">
        <v>589</v>
      </c>
      <c r="E125" s="5" t="s">
        <v>537</v>
      </c>
      <c r="F125" s="5" t="s">
        <v>538</v>
      </c>
      <c r="G125" s="5" t="s">
        <v>27</v>
      </c>
      <c r="H125" s="5" t="s">
        <v>25</v>
      </c>
      <c r="I125" s="5" t="s">
        <v>590</v>
      </c>
      <c r="J125" s="5" t="s">
        <v>14</v>
      </c>
      <c r="K125" s="5" t="s">
        <v>28</v>
      </c>
      <c r="L125" s="6"/>
      <c r="M125" s="6"/>
      <c r="N125" s="6"/>
      <c r="O125" s="5"/>
      <c r="P125" s="5"/>
    </row>
    <row r="126" spans="1:16" ht="41.4">
      <c r="A126" s="5" t="s">
        <v>533</v>
      </c>
      <c r="B126" s="5" t="s">
        <v>591</v>
      </c>
      <c r="C126" s="5" t="s">
        <v>535</v>
      </c>
      <c r="D126" s="5" t="s">
        <v>592</v>
      </c>
      <c r="E126" s="5" t="s">
        <v>537</v>
      </c>
      <c r="F126" s="5" t="s">
        <v>538</v>
      </c>
      <c r="G126" s="5" t="s">
        <v>27</v>
      </c>
      <c r="H126" s="5" t="s">
        <v>25</v>
      </c>
      <c r="I126" s="5" t="s">
        <v>593</v>
      </c>
      <c r="J126" s="5" t="s">
        <v>14</v>
      </c>
      <c r="K126" s="5" t="s">
        <v>28</v>
      </c>
      <c r="L126" s="6"/>
      <c r="M126" s="6"/>
      <c r="N126" s="6"/>
      <c r="O126" s="5"/>
      <c r="P126" s="5"/>
    </row>
    <row r="127" spans="1:16" ht="41.4">
      <c r="A127" s="5" t="s">
        <v>533</v>
      </c>
      <c r="B127" s="5" t="s">
        <v>594</v>
      </c>
      <c r="C127" s="5" t="s">
        <v>535</v>
      </c>
      <c r="D127" s="5" t="s">
        <v>595</v>
      </c>
      <c r="E127" s="5" t="s">
        <v>537</v>
      </c>
      <c r="F127" s="5" t="s">
        <v>538</v>
      </c>
      <c r="G127" s="5" t="s">
        <v>27</v>
      </c>
      <c r="H127" s="5" t="s">
        <v>25</v>
      </c>
      <c r="I127" s="5" t="s">
        <v>596</v>
      </c>
      <c r="J127" s="5" t="s">
        <v>14</v>
      </c>
      <c r="K127" s="5" t="s">
        <v>28</v>
      </c>
      <c r="L127" s="6"/>
      <c r="M127" s="6"/>
      <c r="N127" s="6"/>
      <c r="O127" s="5"/>
      <c r="P127" s="5"/>
    </row>
    <row r="128" spans="1:16" ht="41.4">
      <c r="A128" s="5" t="s">
        <v>533</v>
      </c>
      <c r="B128" s="5" t="s">
        <v>597</v>
      </c>
      <c r="C128" s="5" t="s">
        <v>535</v>
      </c>
      <c r="D128" s="5" t="s">
        <v>598</v>
      </c>
      <c r="E128" s="5" t="s">
        <v>537</v>
      </c>
      <c r="F128" s="5" t="s">
        <v>538</v>
      </c>
      <c r="G128" s="5" t="s">
        <v>27</v>
      </c>
      <c r="H128" s="5" t="s">
        <v>25</v>
      </c>
      <c r="I128" s="5" t="s">
        <v>599</v>
      </c>
      <c r="J128" s="5" t="s">
        <v>14</v>
      </c>
      <c r="K128" s="5" t="s">
        <v>28</v>
      </c>
      <c r="L128" s="6"/>
      <c r="M128" s="6"/>
      <c r="N128" s="6"/>
      <c r="O128" s="5"/>
      <c r="P128" s="5"/>
    </row>
    <row r="129" spans="1:16" ht="41.4">
      <c r="A129" s="5" t="s">
        <v>533</v>
      </c>
      <c r="B129" s="5" t="s">
        <v>600</v>
      </c>
      <c r="C129" s="5" t="s">
        <v>535</v>
      </c>
      <c r="D129" s="5" t="s">
        <v>601</v>
      </c>
      <c r="E129" s="5" t="s">
        <v>537</v>
      </c>
      <c r="F129" s="5" t="s">
        <v>538</v>
      </c>
      <c r="G129" s="5" t="s">
        <v>27</v>
      </c>
      <c r="H129" s="5" t="s">
        <v>25</v>
      </c>
      <c r="I129" s="5" t="s">
        <v>602</v>
      </c>
      <c r="J129" s="5" t="s">
        <v>14</v>
      </c>
      <c r="K129" s="5" t="s">
        <v>28</v>
      </c>
      <c r="L129" s="6"/>
      <c r="M129" s="6"/>
      <c r="N129" s="6"/>
      <c r="O129" s="5"/>
      <c r="P129" s="5"/>
    </row>
    <row r="130" spans="1:16" ht="41.4">
      <c r="A130" s="5" t="s">
        <v>533</v>
      </c>
      <c r="B130" s="5" t="s">
        <v>603</v>
      </c>
      <c r="C130" s="5" t="s">
        <v>535</v>
      </c>
      <c r="D130" s="5" t="s">
        <v>604</v>
      </c>
      <c r="E130" s="5" t="s">
        <v>537</v>
      </c>
      <c r="F130" s="5" t="s">
        <v>538</v>
      </c>
      <c r="G130" s="5" t="s">
        <v>27</v>
      </c>
      <c r="H130" s="5" t="s">
        <v>25</v>
      </c>
      <c r="I130" s="5" t="s">
        <v>605</v>
      </c>
      <c r="J130" s="5" t="s">
        <v>14</v>
      </c>
      <c r="K130" s="5" t="s">
        <v>28</v>
      </c>
      <c r="L130" s="6"/>
      <c r="M130" s="6"/>
      <c r="N130" s="6"/>
      <c r="O130" s="5"/>
      <c r="P130" s="5"/>
    </row>
    <row r="131" spans="1:16" ht="41.4">
      <c r="A131" s="5" t="s">
        <v>533</v>
      </c>
      <c r="B131" s="5" t="s">
        <v>606</v>
      </c>
      <c r="C131" s="5" t="s">
        <v>535</v>
      </c>
      <c r="D131" s="5" t="s">
        <v>607</v>
      </c>
      <c r="E131" s="5" t="s">
        <v>537</v>
      </c>
      <c r="F131" s="5" t="s">
        <v>538</v>
      </c>
      <c r="G131" s="5" t="s">
        <v>27</v>
      </c>
      <c r="H131" s="5" t="s">
        <v>25</v>
      </c>
      <c r="I131" s="5" t="s">
        <v>608</v>
      </c>
      <c r="J131" s="5" t="s">
        <v>14</v>
      </c>
      <c r="K131" s="5" t="s">
        <v>28</v>
      </c>
      <c r="L131" s="6"/>
      <c r="M131" s="6"/>
      <c r="N131" s="6"/>
      <c r="O131" s="5"/>
      <c r="P131" s="5"/>
    </row>
    <row r="132" spans="1:16" ht="41.4">
      <c r="A132" s="5" t="s">
        <v>533</v>
      </c>
      <c r="B132" s="5" t="s">
        <v>609</v>
      </c>
      <c r="C132" s="5" t="s">
        <v>535</v>
      </c>
      <c r="D132" s="5" t="s">
        <v>610</v>
      </c>
      <c r="E132" s="5" t="s">
        <v>537</v>
      </c>
      <c r="F132" s="5" t="s">
        <v>538</v>
      </c>
      <c r="G132" s="5" t="s">
        <v>27</v>
      </c>
      <c r="H132" s="5" t="s">
        <v>25</v>
      </c>
      <c r="I132" s="5" t="s">
        <v>611</v>
      </c>
      <c r="J132" s="5" t="s">
        <v>14</v>
      </c>
      <c r="K132" s="5" t="s">
        <v>28</v>
      </c>
      <c r="L132" s="6"/>
      <c r="M132" s="6"/>
      <c r="N132" s="6"/>
      <c r="O132" s="5"/>
      <c r="P132" s="5"/>
    </row>
    <row r="133" spans="1:16" ht="27.6">
      <c r="A133" s="5" t="s">
        <v>533</v>
      </c>
      <c r="B133" s="5" t="s">
        <v>612</v>
      </c>
      <c r="C133" s="5" t="s">
        <v>115</v>
      </c>
      <c r="D133" s="5" t="s">
        <v>613</v>
      </c>
      <c r="E133" s="5" t="s">
        <v>614</v>
      </c>
      <c r="F133" s="5" t="s">
        <v>65</v>
      </c>
      <c r="G133" s="5" t="s">
        <v>27</v>
      </c>
      <c r="H133" s="5" t="s">
        <v>25</v>
      </c>
      <c r="I133" s="5" t="s">
        <v>615</v>
      </c>
      <c r="J133" s="5" t="s">
        <v>616</v>
      </c>
      <c r="K133" s="5" t="s">
        <v>28</v>
      </c>
      <c r="L133" s="6"/>
      <c r="M133" s="6"/>
      <c r="N133" s="6"/>
      <c r="O133" s="5"/>
      <c r="P133" s="5"/>
    </row>
    <row r="134" spans="1:16" ht="27.6">
      <c r="A134" s="5" t="s">
        <v>533</v>
      </c>
      <c r="B134" s="5" t="s">
        <v>617</v>
      </c>
      <c r="C134" s="5" t="s">
        <v>115</v>
      </c>
      <c r="D134" s="5" t="s">
        <v>618</v>
      </c>
      <c r="E134" s="5" t="s">
        <v>619</v>
      </c>
      <c r="F134" s="5" t="s">
        <v>1242</v>
      </c>
      <c r="G134" s="5" t="s">
        <v>27</v>
      </c>
      <c r="H134" s="5" t="s">
        <v>25</v>
      </c>
      <c r="I134" s="5" t="s">
        <v>620</v>
      </c>
      <c r="J134" s="5" t="s">
        <v>621</v>
      </c>
      <c r="K134" s="5" t="s">
        <v>28</v>
      </c>
      <c r="L134" s="6"/>
      <c r="M134" s="6"/>
      <c r="N134" s="6"/>
      <c r="O134" s="5"/>
      <c r="P134" s="5"/>
    </row>
    <row r="135" spans="1:16" ht="27.6">
      <c r="A135" s="5" t="s">
        <v>622</v>
      </c>
      <c r="B135" s="5" t="s">
        <v>623</v>
      </c>
      <c r="C135" s="5" t="s">
        <v>624</v>
      </c>
      <c r="D135" s="5" t="s">
        <v>625</v>
      </c>
      <c r="E135" s="5" t="s">
        <v>626</v>
      </c>
      <c r="F135" s="5" t="s">
        <v>65</v>
      </c>
      <c r="G135" s="5" t="s">
        <v>27</v>
      </c>
      <c r="H135" s="5" t="s">
        <v>25</v>
      </c>
      <c r="I135" s="5" t="s">
        <v>627</v>
      </c>
      <c r="J135" s="5" t="s">
        <v>14</v>
      </c>
      <c r="K135" s="5" t="s">
        <v>28</v>
      </c>
      <c r="L135" s="6"/>
      <c r="M135" s="6"/>
      <c r="N135" s="6"/>
      <c r="O135" s="5"/>
      <c r="P135" s="5"/>
    </row>
    <row r="136" spans="1:16" ht="27.6">
      <c r="A136" s="5" t="s">
        <v>622</v>
      </c>
      <c r="B136" s="5" t="s">
        <v>628</v>
      </c>
      <c r="C136" s="5" t="s">
        <v>624</v>
      </c>
      <c r="D136" s="5" t="s">
        <v>629</v>
      </c>
      <c r="E136" s="5" t="s">
        <v>630</v>
      </c>
      <c r="F136" s="5" t="s">
        <v>65</v>
      </c>
      <c r="G136" s="5" t="s">
        <v>27</v>
      </c>
      <c r="H136" s="5" t="s">
        <v>25</v>
      </c>
      <c r="I136" s="5" t="s">
        <v>631</v>
      </c>
      <c r="J136" s="5" t="s">
        <v>14</v>
      </c>
      <c r="K136" s="5" t="s">
        <v>28</v>
      </c>
      <c r="L136" s="6"/>
      <c r="M136" s="6"/>
      <c r="N136" s="6"/>
      <c r="O136" s="5"/>
      <c r="P136" s="5"/>
    </row>
    <row r="137" spans="1:16" ht="27.6">
      <c r="A137" s="5" t="s">
        <v>622</v>
      </c>
      <c r="B137" s="5" t="s">
        <v>632</v>
      </c>
      <c r="C137" s="5" t="s">
        <v>624</v>
      </c>
      <c r="D137" s="5" t="s">
        <v>633</v>
      </c>
      <c r="E137" s="5" t="s">
        <v>634</v>
      </c>
      <c r="F137" s="5" t="s">
        <v>65</v>
      </c>
      <c r="G137" s="5" t="s">
        <v>27</v>
      </c>
      <c r="H137" s="5" t="s">
        <v>25</v>
      </c>
      <c r="I137" s="5" t="s">
        <v>627</v>
      </c>
      <c r="J137" s="5" t="s">
        <v>14</v>
      </c>
      <c r="K137" s="5" t="s">
        <v>28</v>
      </c>
      <c r="L137" s="6"/>
      <c r="M137" s="6"/>
      <c r="N137" s="6"/>
      <c r="O137" s="5"/>
      <c r="P137" s="5"/>
    </row>
    <row r="138" spans="1:16" ht="27.6">
      <c r="A138" s="5" t="s">
        <v>622</v>
      </c>
      <c r="B138" s="5" t="s">
        <v>635</v>
      </c>
      <c r="C138" s="5" t="s">
        <v>624</v>
      </c>
      <c r="D138" s="5" t="s">
        <v>636</v>
      </c>
      <c r="E138" s="5" t="s">
        <v>637</v>
      </c>
      <c r="F138" s="5" t="s">
        <v>65</v>
      </c>
      <c r="G138" s="5" t="s">
        <v>27</v>
      </c>
      <c r="H138" s="5" t="s">
        <v>25</v>
      </c>
      <c r="I138" s="5" t="s">
        <v>638</v>
      </c>
      <c r="J138" s="5" t="s">
        <v>14</v>
      </c>
      <c r="K138" s="5" t="s">
        <v>28</v>
      </c>
      <c r="L138" s="6"/>
      <c r="M138" s="6"/>
      <c r="N138" s="6"/>
      <c r="O138" s="5"/>
      <c r="P138" s="5"/>
    </row>
    <row r="139" spans="1:16" ht="27.6">
      <c r="A139" s="5" t="s">
        <v>622</v>
      </c>
      <c r="B139" s="5" t="s">
        <v>639</v>
      </c>
      <c r="C139" s="5" t="s">
        <v>624</v>
      </c>
      <c r="D139" s="5" t="s">
        <v>640</v>
      </c>
      <c r="E139" s="5" t="s">
        <v>641</v>
      </c>
      <c r="F139" s="5" t="s">
        <v>65</v>
      </c>
      <c r="G139" s="5" t="s">
        <v>27</v>
      </c>
      <c r="H139" s="5" t="s">
        <v>25</v>
      </c>
      <c r="I139" s="5" t="s">
        <v>642</v>
      </c>
      <c r="J139" s="5" t="s">
        <v>14</v>
      </c>
      <c r="K139" s="5" t="s">
        <v>28</v>
      </c>
      <c r="L139" s="6"/>
      <c r="M139" s="6"/>
      <c r="N139" s="6"/>
      <c r="O139" s="5"/>
      <c r="P139" s="5"/>
    </row>
    <row r="140" spans="1:16" ht="27.6">
      <c r="A140" s="5" t="s">
        <v>622</v>
      </c>
      <c r="B140" s="5" t="s">
        <v>643</v>
      </c>
      <c r="C140" s="5" t="s">
        <v>624</v>
      </c>
      <c r="D140" s="5" t="s">
        <v>644</v>
      </c>
      <c r="E140" s="5" t="s">
        <v>645</v>
      </c>
      <c r="F140" s="5" t="s">
        <v>65</v>
      </c>
      <c r="G140" s="5" t="s">
        <v>27</v>
      </c>
      <c r="H140" s="5" t="s">
        <v>25</v>
      </c>
      <c r="I140" s="5" t="s">
        <v>646</v>
      </c>
      <c r="J140" s="5" t="s">
        <v>14</v>
      </c>
      <c r="K140" s="5" t="s">
        <v>28</v>
      </c>
      <c r="L140" s="6"/>
      <c r="M140" s="6"/>
      <c r="N140" s="6"/>
      <c r="O140" s="5"/>
      <c r="P140" s="5"/>
    </row>
    <row r="141" spans="1:16" ht="27.6">
      <c r="A141" s="5" t="s">
        <v>622</v>
      </c>
      <c r="B141" s="5" t="s">
        <v>647</v>
      </c>
      <c r="C141" s="5" t="s">
        <v>624</v>
      </c>
      <c r="D141" s="5" t="s">
        <v>648</v>
      </c>
      <c r="E141" s="5" t="s">
        <v>649</v>
      </c>
      <c r="F141" s="5" t="s">
        <v>65</v>
      </c>
      <c r="G141" s="5" t="s">
        <v>27</v>
      </c>
      <c r="H141" s="5" t="s">
        <v>25</v>
      </c>
      <c r="I141" s="5" t="s">
        <v>650</v>
      </c>
      <c r="J141" s="5" t="s">
        <v>14</v>
      </c>
      <c r="K141" s="5" t="s">
        <v>28</v>
      </c>
      <c r="L141" s="6"/>
      <c r="M141" s="6"/>
      <c r="N141" s="6"/>
      <c r="O141" s="5"/>
      <c r="P141" s="5"/>
    </row>
    <row r="142" spans="1:16" ht="27.6">
      <c r="A142" s="5" t="s">
        <v>622</v>
      </c>
      <c r="B142" s="5" t="s">
        <v>651</v>
      </c>
      <c r="C142" s="5" t="s">
        <v>268</v>
      </c>
      <c r="D142" s="5" t="s">
        <v>652</v>
      </c>
      <c r="E142" s="5" t="s">
        <v>653</v>
      </c>
      <c r="F142" s="5" t="s">
        <v>65</v>
      </c>
      <c r="G142" s="5" t="s">
        <v>27</v>
      </c>
      <c r="H142" s="5" t="s">
        <v>25</v>
      </c>
      <c r="I142" s="5" t="s">
        <v>654</v>
      </c>
      <c r="J142" s="5" t="s">
        <v>14</v>
      </c>
      <c r="K142" s="5" t="s">
        <v>28</v>
      </c>
      <c r="L142" s="6"/>
      <c r="M142" s="6"/>
      <c r="N142" s="6"/>
      <c r="O142" s="5"/>
      <c r="P142" s="5"/>
    </row>
    <row r="143" spans="1:16">
      <c r="A143" s="5" t="s">
        <v>622</v>
      </c>
      <c r="B143" s="5" t="s">
        <v>655</v>
      </c>
      <c r="C143" s="5" t="s">
        <v>656</v>
      </c>
      <c r="D143" s="5" t="s">
        <v>657</v>
      </c>
      <c r="E143" s="5" t="s">
        <v>658</v>
      </c>
      <c r="F143" s="5" t="s">
        <v>130</v>
      </c>
      <c r="G143" s="5" t="s">
        <v>27</v>
      </c>
      <c r="H143" s="5" t="s">
        <v>25</v>
      </c>
      <c r="I143" s="5" t="s">
        <v>659</v>
      </c>
      <c r="J143" s="5" t="s">
        <v>660</v>
      </c>
      <c r="K143" s="5" t="s">
        <v>28</v>
      </c>
      <c r="L143" s="6"/>
      <c r="M143" s="6"/>
      <c r="N143" s="6"/>
      <c r="O143" s="5"/>
      <c r="P143" s="5"/>
    </row>
    <row r="144" spans="1:16" ht="27.6">
      <c r="A144" s="5" t="s">
        <v>622</v>
      </c>
      <c r="B144" s="5" t="s">
        <v>661</v>
      </c>
      <c r="C144" s="5" t="s">
        <v>656</v>
      </c>
      <c r="D144" s="5" t="s">
        <v>662</v>
      </c>
      <c r="E144" s="5" t="s">
        <v>663</v>
      </c>
      <c r="F144" s="5" t="s">
        <v>65</v>
      </c>
      <c r="G144" s="5" t="s">
        <v>27</v>
      </c>
      <c r="H144" s="5" t="s">
        <v>25</v>
      </c>
      <c r="I144" s="5" t="s">
        <v>664</v>
      </c>
      <c r="J144" s="5" t="s">
        <v>665</v>
      </c>
      <c r="K144" s="5" t="s">
        <v>28</v>
      </c>
      <c r="L144" s="6"/>
      <c r="M144" s="6"/>
      <c r="N144" s="6"/>
      <c r="O144" s="5"/>
      <c r="P144" s="5"/>
    </row>
    <row r="145" spans="1:16" ht="27.6">
      <c r="A145" s="5" t="s">
        <v>622</v>
      </c>
      <c r="B145" s="5" t="s">
        <v>666</v>
      </c>
      <c r="C145" s="5" t="s">
        <v>115</v>
      </c>
      <c r="D145" s="5" t="s">
        <v>667</v>
      </c>
      <c r="E145" s="5" t="s">
        <v>668</v>
      </c>
      <c r="F145" s="5" t="s">
        <v>1242</v>
      </c>
      <c r="G145" s="5" t="s">
        <v>27</v>
      </c>
      <c r="H145" s="5" t="s">
        <v>25</v>
      </c>
      <c r="I145" s="5" t="s">
        <v>669</v>
      </c>
      <c r="J145" s="5" t="s">
        <v>670</v>
      </c>
      <c r="K145" s="5" t="s">
        <v>28</v>
      </c>
      <c r="L145" s="6"/>
      <c r="M145" s="6"/>
      <c r="N145" s="6"/>
      <c r="O145" s="5"/>
      <c r="P145" s="5"/>
    </row>
    <row r="146" spans="1:16">
      <c r="A146" s="5" t="s">
        <v>671</v>
      </c>
      <c r="B146" s="5" t="s">
        <v>672</v>
      </c>
      <c r="C146" s="5" t="s">
        <v>673</v>
      </c>
      <c r="D146" s="5" t="s">
        <v>674</v>
      </c>
      <c r="E146" s="5" t="s">
        <v>675</v>
      </c>
      <c r="F146" s="5" t="s">
        <v>130</v>
      </c>
      <c r="G146" s="5" t="s">
        <v>27</v>
      </c>
      <c r="H146" s="5" t="s">
        <v>25</v>
      </c>
      <c r="I146" s="5" t="s">
        <v>676</v>
      </c>
      <c r="J146" s="5" t="s">
        <v>677</v>
      </c>
      <c r="K146" s="5" t="s">
        <v>28</v>
      </c>
      <c r="L146" s="6"/>
      <c r="M146" s="6"/>
      <c r="N146" s="6"/>
      <c r="O146" s="5"/>
      <c r="P146" s="5"/>
    </row>
    <row r="147" spans="1:16" ht="41.4">
      <c r="A147" s="5" t="s">
        <v>671</v>
      </c>
      <c r="B147" s="5" t="s">
        <v>678</v>
      </c>
      <c r="C147" s="5" t="s">
        <v>263</v>
      </c>
      <c r="D147" s="5" t="s">
        <v>679</v>
      </c>
      <c r="E147" s="5" t="s">
        <v>680</v>
      </c>
      <c r="F147" s="5" t="s">
        <v>65</v>
      </c>
      <c r="G147" s="5" t="s">
        <v>27</v>
      </c>
      <c r="H147" s="5" t="s">
        <v>25</v>
      </c>
      <c r="I147" s="5" t="s">
        <v>681</v>
      </c>
      <c r="J147" s="5" t="s">
        <v>14</v>
      </c>
      <c r="K147" s="5" t="s">
        <v>28</v>
      </c>
      <c r="L147" s="6"/>
      <c r="M147" s="6"/>
      <c r="N147" s="6"/>
      <c r="O147" s="5"/>
      <c r="P147" s="5"/>
    </row>
    <row r="148" spans="1:16">
      <c r="A148" s="5" t="s">
        <v>671</v>
      </c>
      <c r="B148" s="5" t="s">
        <v>682</v>
      </c>
      <c r="C148" s="5" t="s">
        <v>683</v>
      </c>
      <c r="D148" s="5" t="s">
        <v>684</v>
      </c>
      <c r="E148" s="5" t="s">
        <v>685</v>
      </c>
      <c r="F148" s="5" t="s">
        <v>130</v>
      </c>
      <c r="G148" s="5" t="s">
        <v>27</v>
      </c>
      <c r="H148" s="5" t="s">
        <v>25</v>
      </c>
      <c r="I148" s="5" t="s">
        <v>686</v>
      </c>
      <c r="J148" s="5" t="s">
        <v>687</v>
      </c>
      <c r="K148" s="5" t="s">
        <v>28</v>
      </c>
      <c r="L148" s="6"/>
      <c r="M148" s="6"/>
      <c r="N148" s="6"/>
      <c r="O148" s="5"/>
      <c r="P148" s="5"/>
    </row>
    <row r="149" spans="1:16">
      <c r="A149" s="5" t="s">
        <v>671</v>
      </c>
      <c r="B149" s="5" t="s">
        <v>688</v>
      </c>
      <c r="C149" s="5" t="s">
        <v>689</v>
      </c>
      <c r="D149" s="5" t="s">
        <v>690</v>
      </c>
      <c r="E149" s="5" t="s">
        <v>691</v>
      </c>
      <c r="F149" s="5" t="s">
        <v>130</v>
      </c>
      <c r="G149" s="5" t="s">
        <v>30</v>
      </c>
      <c r="H149" s="5" t="s">
        <v>25</v>
      </c>
      <c r="I149" s="5" t="s">
        <v>686</v>
      </c>
      <c r="J149" s="5" t="s">
        <v>692</v>
      </c>
      <c r="K149" s="5" t="s">
        <v>28</v>
      </c>
      <c r="L149" s="6"/>
      <c r="M149" s="6"/>
      <c r="N149" s="6"/>
      <c r="O149" s="5"/>
      <c r="P149" s="5"/>
    </row>
    <row r="150" spans="1:16" ht="27.6">
      <c r="A150" s="5" t="s">
        <v>671</v>
      </c>
      <c r="B150" s="5" t="s">
        <v>693</v>
      </c>
      <c r="C150" s="5" t="s">
        <v>694</v>
      </c>
      <c r="D150" s="5" t="s">
        <v>695</v>
      </c>
      <c r="E150" s="5" t="s">
        <v>696</v>
      </c>
      <c r="F150" s="5" t="s">
        <v>130</v>
      </c>
      <c r="G150" s="5" t="s">
        <v>27</v>
      </c>
      <c r="H150" s="5" t="s">
        <v>25</v>
      </c>
      <c r="I150" s="5" t="s">
        <v>686</v>
      </c>
      <c r="J150" s="5" t="s">
        <v>687</v>
      </c>
      <c r="K150" s="5" t="s">
        <v>28</v>
      </c>
      <c r="L150" s="6"/>
      <c r="M150" s="6"/>
      <c r="N150" s="6"/>
      <c r="O150" s="5"/>
      <c r="P150" s="5"/>
    </row>
    <row r="151" spans="1:16">
      <c r="A151" s="5" t="s">
        <v>671</v>
      </c>
      <c r="B151" s="5" t="s">
        <v>697</v>
      </c>
      <c r="C151" s="5" t="s">
        <v>698</v>
      </c>
      <c r="D151" s="5" t="s">
        <v>699</v>
      </c>
      <c r="E151" s="5" t="s">
        <v>700</v>
      </c>
      <c r="F151" s="5" t="s">
        <v>130</v>
      </c>
      <c r="G151" s="5" t="s">
        <v>27</v>
      </c>
      <c r="H151" s="5" t="s">
        <v>25</v>
      </c>
      <c r="I151" s="5" t="s">
        <v>701</v>
      </c>
      <c r="J151" s="5" t="s">
        <v>702</v>
      </c>
      <c r="K151" s="5" t="s">
        <v>28</v>
      </c>
      <c r="L151" s="6"/>
      <c r="M151" s="6"/>
      <c r="N151" s="6"/>
      <c r="O151" s="5"/>
      <c r="P151" s="5"/>
    </row>
    <row r="152" spans="1:16" ht="27.6">
      <c r="A152" s="5" t="s">
        <v>671</v>
      </c>
      <c r="B152" s="5" t="s">
        <v>703</v>
      </c>
      <c r="C152" s="5" t="s">
        <v>184</v>
      </c>
      <c r="D152" s="5" t="s">
        <v>704</v>
      </c>
      <c r="E152" s="5" t="s">
        <v>705</v>
      </c>
      <c r="F152" s="5" t="s">
        <v>65</v>
      </c>
      <c r="G152" s="5" t="s">
        <v>27</v>
      </c>
      <c r="H152" s="5" t="s">
        <v>25</v>
      </c>
      <c r="I152" s="5" t="s">
        <v>191</v>
      </c>
      <c r="J152" s="5" t="s">
        <v>14</v>
      </c>
      <c r="K152" s="5" t="s">
        <v>28</v>
      </c>
      <c r="L152" s="6"/>
      <c r="M152" s="6"/>
      <c r="N152" s="6"/>
      <c r="O152" s="5"/>
      <c r="P152" s="5"/>
    </row>
    <row r="153" spans="1:16" ht="27.6">
      <c r="A153" s="5" t="s">
        <v>671</v>
      </c>
      <c r="B153" s="5" t="s">
        <v>706</v>
      </c>
      <c r="C153" s="5" t="s">
        <v>258</v>
      </c>
      <c r="D153" s="5" t="s">
        <v>707</v>
      </c>
      <c r="E153" s="5" t="s">
        <v>708</v>
      </c>
      <c r="F153" s="5" t="s">
        <v>65</v>
      </c>
      <c r="G153" s="5" t="s">
        <v>27</v>
      </c>
      <c r="H153" s="5" t="s">
        <v>25</v>
      </c>
      <c r="I153" s="5" t="s">
        <v>709</v>
      </c>
      <c r="J153" s="5" t="s">
        <v>14</v>
      </c>
      <c r="K153" s="5" t="s">
        <v>28</v>
      </c>
      <c r="L153" s="6"/>
      <c r="M153" s="6"/>
      <c r="N153" s="6"/>
      <c r="O153" s="5"/>
      <c r="P153" s="5"/>
    </row>
    <row r="154" spans="1:16">
      <c r="A154" s="5" t="s">
        <v>671</v>
      </c>
      <c r="B154" s="5" t="s">
        <v>710</v>
      </c>
      <c r="C154" s="5" t="s">
        <v>448</v>
      </c>
      <c r="D154" s="5" t="s">
        <v>711</v>
      </c>
      <c r="E154" s="5" t="s">
        <v>712</v>
      </c>
      <c r="F154" s="5" t="s">
        <v>130</v>
      </c>
      <c r="G154" s="5" t="s">
        <v>27</v>
      </c>
      <c r="H154" s="5" t="s">
        <v>25</v>
      </c>
      <c r="I154" s="5" t="s">
        <v>713</v>
      </c>
      <c r="J154" s="5" t="s">
        <v>714</v>
      </c>
      <c r="K154" s="5" t="s">
        <v>28</v>
      </c>
      <c r="L154" s="6"/>
      <c r="M154" s="6"/>
      <c r="N154" s="6"/>
      <c r="O154" s="5"/>
      <c r="P154" s="5"/>
    </row>
    <row r="155" spans="1:16" ht="27.6">
      <c r="A155" s="5" t="s">
        <v>671</v>
      </c>
      <c r="B155" s="5" t="s">
        <v>715</v>
      </c>
      <c r="C155" s="5" t="s">
        <v>716</v>
      </c>
      <c r="D155" s="5" t="s">
        <v>717</v>
      </c>
      <c r="E155" s="5" t="s">
        <v>718</v>
      </c>
      <c r="F155" s="5" t="s">
        <v>65</v>
      </c>
      <c r="G155" s="5" t="s">
        <v>27</v>
      </c>
      <c r="H155" s="5" t="s">
        <v>25</v>
      </c>
      <c r="I155" s="5" t="s">
        <v>719</v>
      </c>
      <c r="J155" s="5" t="s">
        <v>720</v>
      </c>
      <c r="K155" s="5" t="s">
        <v>28</v>
      </c>
      <c r="L155" s="6"/>
      <c r="M155" s="6"/>
      <c r="N155" s="6"/>
      <c r="O155" s="5"/>
      <c r="P155" s="5"/>
    </row>
    <row r="156" spans="1:16" ht="41.4">
      <c r="A156" s="5" t="s">
        <v>671</v>
      </c>
      <c r="B156" s="5" t="s">
        <v>721</v>
      </c>
      <c r="C156" s="5" t="s">
        <v>722</v>
      </c>
      <c r="D156" s="5" t="s">
        <v>723</v>
      </c>
      <c r="E156" s="5" t="s">
        <v>724</v>
      </c>
      <c r="F156" s="5" t="s">
        <v>59</v>
      </c>
      <c r="G156" s="5" t="s">
        <v>30</v>
      </c>
      <c r="H156" s="5" t="s">
        <v>25</v>
      </c>
      <c r="I156" s="5" t="s">
        <v>725</v>
      </c>
      <c r="J156" s="5" t="s">
        <v>726</v>
      </c>
      <c r="K156" s="5" t="s">
        <v>28</v>
      </c>
      <c r="L156" s="6"/>
      <c r="M156" s="6"/>
      <c r="N156" s="6"/>
      <c r="O156" s="5"/>
      <c r="P156" s="5"/>
    </row>
    <row r="157" spans="1:16" ht="27.6">
      <c r="A157" s="5" t="s">
        <v>671</v>
      </c>
      <c r="B157" s="5" t="s">
        <v>727</v>
      </c>
      <c r="C157" s="5" t="s">
        <v>728</v>
      </c>
      <c r="D157" s="5" t="s">
        <v>729</v>
      </c>
      <c r="E157" s="5" t="s">
        <v>730</v>
      </c>
      <c r="F157" s="5" t="s">
        <v>65</v>
      </c>
      <c r="G157" s="5" t="s">
        <v>27</v>
      </c>
      <c r="H157" s="5" t="s">
        <v>25</v>
      </c>
      <c r="I157" s="5" t="s">
        <v>731</v>
      </c>
      <c r="J157" s="5" t="s">
        <v>14</v>
      </c>
      <c r="K157" s="5" t="s">
        <v>28</v>
      </c>
      <c r="L157" s="6"/>
      <c r="M157" s="6"/>
      <c r="N157" s="6"/>
      <c r="O157" s="5"/>
      <c r="P157" s="5"/>
    </row>
    <row r="158" spans="1:16" ht="27.6">
      <c r="A158" s="5" t="s">
        <v>671</v>
      </c>
      <c r="B158" s="5" t="s">
        <v>732</v>
      </c>
      <c r="C158" s="5" t="s">
        <v>728</v>
      </c>
      <c r="D158" s="5" t="s">
        <v>733</v>
      </c>
      <c r="E158" s="5" t="s">
        <v>734</v>
      </c>
      <c r="F158" s="5" t="s">
        <v>65</v>
      </c>
      <c r="G158" s="5" t="s">
        <v>27</v>
      </c>
      <c r="H158" s="5" t="s">
        <v>25</v>
      </c>
      <c r="I158" s="5" t="s">
        <v>735</v>
      </c>
      <c r="J158" s="5" t="s">
        <v>736</v>
      </c>
      <c r="K158" s="5" t="s">
        <v>28</v>
      </c>
      <c r="L158" s="6"/>
      <c r="M158" s="6"/>
      <c r="N158" s="6"/>
      <c r="O158" s="5"/>
      <c r="P158" s="5"/>
    </row>
    <row r="159" spans="1:16" ht="27.6">
      <c r="A159" s="5" t="s">
        <v>671</v>
      </c>
      <c r="B159" s="5" t="s">
        <v>737</v>
      </c>
      <c r="C159" s="5" t="s">
        <v>728</v>
      </c>
      <c r="D159" s="5" t="s">
        <v>738</v>
      </c>
      <c r="E159" s="5" t="s">
        <v>739</v>
      </c>
      <c r="F159" s="5" t="s">
        <v>65</v>
      </c>
      <c r="G159" s="5" t="s">
        <v>27</v>
      </c>
      <c r="H159" s="5" t="s">
        <v>25</v>
      </c>
      <c r="I159" s="5" t="s">
        <v>740</v>
      </c>
      <c r="J159" s="5" t="s">
        <v>665</v>
      </c>
      <c r="K159" s="5" t="s">
        <v>28</v>
      </c>
      <c r="L159" s="6"/>
      <c r="M159" s="6"/>
      <c r="N159" s="6"/>
      <c r="O159" s="5"/>
      <c r="P159" s="5"/>
    </row>
    <row r="160" spans="1:16" ht="27.6">
      <c r="A160" s="5" t="s">
        <v>671</v>
      </c>
      <c r="B160" s="5" t="s">
        <v>741</v>
      </c>
      <c r="C160" s="5" t="s">
        <v>742</v>
      </c>
      <c r="D160" s="5" t="s">
        <v>743</v>
      </c>
      <c r="E160" s="5" t="s">
        <v>744</v>
      </c>
      <c r="F160" s="5" t="s">
        <v>65</v>
      </c>
      <c r="G160" s="5" t="s">
        <v>27</v>
      </c>
      <c r="H160" s="5" t="s">
        <v>25</v>
      </c>
      <c r="I160" s="5" t="s">
        <v>745</v>
      </c>
      <c r="J160" s="5" t="s">
        <v>720</v>
      </c>
      <c r="K160" s="5" t="s">
        <v>28</v>
      </c>
      <c r="L160" s="6"/>
      <c r="M160" s="6"/>
      <c r="N160" s="6"/>
      <c r="O160" s="5"/>
      <c r="P160" s="5"/>
    </row>
    <row r="161" spans="1:16" ht="27.6">
      <c r="A161" s="5" t="s">
        <v>671</v>
      </c>
      <c r="B161" s="5" t="s">
        <v>746</v>
      </c>
      <c r="C161" s="5" t="s">
        <v>747</v>
      </c>
      <c r="D161" s="5" t="s">
        <v>748</v>
      </c>
      <c r="E161" s="5" t="s">
        <v>749</v>
      </c>
      <c r="F161" s="5" t="s">
        <v>65</v>
      </c>
      <c r="G161" s="5" t="s">
        <v>30</v>
      </c>
      <c r="H161" s="5" t="s">
        <v>25</v>
      </c>
      <c r="I161" s="5" t="s">
        <v>750</v>
      </c>
      <c r="J161" s="5" t="s">
        <v>751</v>
      </c>
      <c r="K161" s="5" t="s">
        <v>28</v>
      </c>
      <c r="L161" s="6"/>
      <c r="M161" s="6"/>
      <c r="N161" s="6"/>
      <c r="O161" s="5"/>
      <c r="P161" s="5"/>
    </row>
  </sheetData>
  <conditionalFormatting sqref="G2:G161">
    <cfRule type="expression" dxfId="14" priority="7">
      <formula>G2="CRITICAL"</formula>
    </cfRule>
    <cfRule type="expression" dxfId="13" priority="8">
      <formula>G2="HIGH"</formula>
    </cfRule>
  </conditionalFormatting>
  <conditionalFormatting sqref="H2:H161">
    <cfRule type="expression" dxfId="12" priority="1">
      <formula>H2="PASS"</formula>
    </cfRule>
    <cfRule type="expression" dxfId="11" priority="2">
      <formula>H2="FAIL"</formula>
    </cfRule>
    <cfRule type="expression" dxfId="10" priority="3">
      <formula>H2="BLOCKED"</formula>
    </cfRule>
    <cfRule type="expression" dxfId="9" priority="4">
      <formula>H2="IN_PROGRESS"</formula>
    </cfRule>
    <cfRule type="expression" dxfId="8" priority="5">
      <formula>H2="NOT_STARTED"</formula>
    </cfRule>
    <cfRule type="expression" dxfId="7" priority="6">
      <formula>H2="NOT_APPLICABLE"</formula>
    </cfRule>
  </conditionalFormatting>
  <dataValidations count="3">
    <dataValidation type="list" sqref="H2:H161" xr:uid="{00000000-0002-0000-0200-000000000000}">
      <formula1>"NOT_STARTED,IN_PROGRESS,PASS,FAIL,BLOCKED,NOT_APPLICABLE"</formula1>
    </dataValidation>
    <dataValidation type="list" sqref="G2:G161" xr:uid="{00000000-0002-0000-0200-000001000000}">
      <formula1>"CRITICAL,HIGH,MEDIUM,LOW"</formula1>
    </dataValidation>
    <dataValidation type="list" sqref="K2:K161" xr:uid="{00000000-0002-0000-0200-000002000000}">
      <formula1>"Researcher,ChatGPT Support,Engineer Support,Researcher + Support"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/>
  </sheetViews>
  <sheetFormatPr defaultRowHeight="13.8"/>
  <cols>
    <col min="1" max="1" width="8" customWidth="1"/>
    <col min="2" max="2" width="42" customWidth="1"/>
    <col min="3" max="3" width="18" customWidth="1"/>
    <col min="4" max="4" width="12" customWidth="1"/>
    <col min="5" max="5" width="9" customWidth="1"/>
    <col min="6" max="6" width="10" customWidth="1"/>
    <col min="7" max="7" width="9" customWidth="1"/>
    <col min="8" max="8" width="10" customWidth="1"/>
    <col min="9" max="9" width="12" customWidth="1"/>
    <col min="10" max="10" width="46" customWidth="1"/>
    <col min="11" max="11" width="40" customWidth="1"/>
    <col min="12" max="12" width="22" customWidth="1"/>
    <col min="13" max="14" width="13" customWidth="1"/>
    <col min="15" max="15" width="18" customWidth="1"/>
    <col min="16" max="16" width="30" customWidth="1"/>
  </cols>
  <sheetData>
    <row r="1" spans="1:16" ht="27.6">
      <c r="A1" s="3" t="s">
        <v>10</v>
      </c>
      <c r="B1" s="3" t="s">
        <v>11</v>
      </c>
      <c r="C1" s="3" t="s">
        <v>7</v>
      </c>
      <c r="D1" s="3" t="s">
        <v>752</v>
      </c>
      <c r="E1" s="3" t="s">
        <v>14</v>
      </c>
      <c r="F1" s="3" t="s">
        <v>753</v>
      </c>
      <c r="G1" s="3" t="s">
        <v>35</v>
      </c>
      <c r="H1" s="3" t="s">
        <v>39</v>
      </c>
      <c r="I1" s="3" t="s">
        <v>754</v>
      </c>
      <c r="J1" s="3" t="s">
        <v>755</v>
      </c>
      <c r="K1" s="3" t="s">
        <v>756</v>
      </c>
      <c r="L1" s="3" t="s">
        <v>757</v>
      </c>
      <c r="M1" s="3" t="s">
        <v>49</v>
      </c>
      <c r="N1" s="3" t="s">
        <v>758</v>
      </c>
      <c r="O1" s="3" t="s">
        <v>24</v>
      </c>
      <c r="P1" s="3" t="s">
        <v>53</v>
      </c>
    </row>
    <row r="2" spans="1:16" ht="96.6">
      <c r="A2" s="5" t="s">
        <v>54</v>
      </c>
      <c r="B2" s="5" t="s">
        <v>759</v>
      </c>
      <c r="C2" s="5" t="s">
        <v>32</v>
      </c>
      <c r="D2" s="7">
        <v>1</v>
      </c>
      <c r="E2" s="5">
        <v>14</v>
      </c>
      <c r="F2" s="5">
        <v>14</v>
      </c>
      <c r="G2" s="5">
        <v>0</v>
      </c>
      <c r="H2" s="5">
        <v>0</v>
      </c>
      <c r="I2" s="5">
        <v>0</v>
      </c>
      <c r="J2" s="5" t="s">
        <v>760</v>
      </c>
      <c r="K2" s="5" t="s">
        <v>761</v>
      </c>
      <c r="L2" s="5" t="s">
        <v>762</v>
      </c>
      <c r="M2" s="5"/>
      <c r="N2" s="5"/>
      <c r="O2" s="5" t="s">
        <v>28</v>
      </c>
      <c r="P2" s="5" t="s">
        <v>1282</v>
      </c>
    </row>
    <row r="3" spans="1:16" ht="41.4">
      <c r="A3" s="5" t="s">
        <v>119</v>
      </c>
      <c r="B3" s="5" t="s">
        <v>763</v>
      </c>
      <c r="C3" s="5" t="s">
        <v>26</v>
      </c>
      <c r="D3" s="7">
        <f t="shared" ref="D3:D11" si="0">IF(F3=0,0,E3/F3)</f>
        <v>0</v>
      </c>
      <c r="E3" s="5">
        <f>COUNTIFS(Detailed_Tasks!$A:$A,A3,Detailed_Tasks!$H:$H,"PASS")</f>
        <v>0</v>
      </c>
      <c r="F3" s="5">
        <f>COUNTIF(Detailed_Tasks!$A:$A,A3)</f>
        <v>16</v>
      </c>
      <c r="G3" s="5">
        <f>COUNTIFS(Detailed_Tasks!$A:$A,A3,Detailed_Tasks!$H:$H,"FAIL")</f>
        <v>0</v>
      </c>
      <c r="H3" s="5">
        <f>COUNTIFS(Detailed_Tasks!$A:$A,A3,Detailed_Tasks!$H:$H,"BLOCKED")</f>
        <v>0</v>
      </c>
      <c r="I3" s="5">
        <f>COUNTIFS(Detailed_Tasks!$A:$A,A3,Detailed_Tasks!$H:$H,"IN_PROGRESS")</f>
        <v>0</v>
      </c>
      <c r="J3" s="5" t="s">
        <v>764</v>
      </c>
      <c r="K3" s="5" t="s">
        <v>765</v>
      </c>
      <c r="L3" s="5" t="s">
        <v>118</v>
      </c>
      <c r="M3" s="5"/>
      <c r="N3" s="5"/>
      <c r="O3" s="5" t="s">
        <v>28</v>
      </c>
      <c r="P3" s="5"/>
    </row>
    <row r="4" spans="1:16" ht="41.4">
      <c r="A4" s="5" t="s">
        <v>203</v>
      </c>
      <c r="B4" s="5" t="s">
        <v>766</v>
      </c>
      <c r="C4" s="5" t="s">
        <v>26</v>
      </c>
      <c r="D4" s="7">
        <f t="shared" si="0"/>
        <v>0</v>
      </c>
      <c r="E4" s="5">
        <f>COUNTIFS(Detailed_Tasks!$A:$A,A4,Detailed_Tasks!$H:$H,"PASS")</f>
        <v>0</v>
      </c>
      <c r="F4" s="5">
        <f>COUNTIF(Detailed_Tasks!$A:$A,A4)</f>
        <v>16</v>
      </c>
      <c r="G4" s="5">
        <f>COUNTIFS(Detailed_Tasks!$A:$A,A4,Detailed_Tasks!$H:$H,"FAIL")</f>
        <v>0</v>
      </c>
      <c r="H4" s="5">
        <f>COUNTIFS(Detailed_Tasks!$A:$A,A4,Detailed_Tasks!$H:$H,"BLOCKED")</f>
        <v>0</v>
      </c>
      <c r="I4" s="5">
        <f>COUNTIFS(Detailed_Tasks!$A:$A,A4,Detailed_Tasks!$H:$H,"IN_PROGRESS")</f>
        <v>0</v>
      </c>
      <c r="J4" s="5" t="s">
        <v>767</v>
      </c>
      <c r="K4" s="5" t="s">
        <v>768</v>
      </c>
      <c r="L4" s="5" t="s">
        <v>769</v>
      </c>
      <c r="M4" s="5"/>
      <c r="N4" s="5"/>
      <c r="O4" s="5" t="s">
        <v>28</v>
      </c>
      <c r="P4" s="5"/>
    </row>
    <row r="5" spans="1:16" ht="27.6">
      <c r="A5" s="5" t="s">
        <v>277</v>
      </c>
      <c r="B5" s="5" t="s">
        <v>770</v>
      </c>
      <c r="C5" s="5" t="s">
        <v>26</v>
      </c>
      <c r="D5" s="7">
        <f t="shared" si="0"/>
        <v>0</v>
      </c>
      <c r="E5" s="5">
        <f>COUNTIFS(Detailed_Tasks!$A:$A,A5,Detailed_Tasks!$H:$H,"PASS")</f>
        <v>0</v>
      </c>
      <c r="F5" s="5">
        <f>COUNTIF(Detailed_Tasks!$A:$A,A5)</f>
        <v>14</v>
      </c>
      <c r="G5" s="5">
        <f>COUNTIFS(Detailed_Tasks!$A:$A,A5,Detailed_Tasks!$H:$H,"FAIL")</f>
        <v>0</v>
      </c>
      <c r="H5" s="5">
        <f>COUNTIFS(Detailed_Tasks!$A:$A,A5,Detailed_Tasks!$H:$H,"BLOCKED")</f>
        <v>0</v>
      </c>
      <c r="I5" s="5">
        <f>COUNTIFS(Detailed_Tasks!$A:$A,A5,Detailed_Tasks!$H:$H,"IN_PROGRESS")</f>
        <v>0</v>
      </c>
      <c r="J5" s="5" t="s">
        <v>771</v>
      </c>
      <c r="K5" s="5" t="s">
        <v>772</v>
      </c>
      <c r="L5" s="5" t="s">
        <v>773</v>
      </c>
      <c r="M5" s="5"/>
      <c r="N5" s="5"/>
      <c r="O5" s="5" t="s">
        <v>28</v>
      </c>
      <c r="P5" s="5"/>
    </row>
    <row r="6" spans="1:16" ht="41.4">
      <c r="A6" s="5" t="s">
        <v>343</v>
      </c>
      <c r="B6" s="5" t="s">
        <v>774</v>
      </c>
      <c r="C6" s="5" t="s">
        <v>26</v>
      </c>
      <c r="D6" s="7">
        <f t="shared" si="0"/>
        <v>0</v>
      </c>
      <c r="E6" s="5">
        <f>COUNTIFS(Detailed_Tasks!$A:$A,A6,Detailed_Tasks!$H:$H,"PASS")</f>
        <v>0</v>
      </c>
      <c r="F6" s="5">
        <f>COUNTIF(Detailed_Tasks!$A:$A,A6)</f>
        <v>20</v>
      </c>
      <c r="G6" s="5">
        <f>COUNTIFS(Detailed_Tasks!$A:$A,A6,Detailed_Tasks!$H:$H,"FAIL")</f>
        <v>0</v>
      </c>
      <c r="H6" s="5">
        <f>COUNTIFS(Detailed_Tasks!$A:$A,A6,Detailed_Tasks!$H:$H,"BLOCKED")</f>
        <v>0</v>
      </c>
      <c r="I6" s="5">
        <f>COUNTIFS(Detailed_Tasks!$A:$A,A6,Detailed_Tasks!$H:$H,"IN_PROGRESS")</f>
        <v>0</v>
      </c>
      <c r="J6" s="5" t="s">
        <v>775</v>
      </c>
      <c r="K6" s="5" t="s">
        <v>776</v>
      </c>
      <c r="L6" s="5" t="s">
        <v>777</v>
      </c>
      <c r="M6" s="5"/>
      <c r="N6" s="5"/>
      <c r="O6" s="5" t="s">
        <v>28</v>
      </c>
      <c r="P6" s="5"/>
    </row>
    <row r="7" spans="1:16" ht="27.6">
      <c r="A7" s="5" t="s">
        <v>426</v>
      </c>
      <c r="B7" s="5" t="s">
        <v>778</v>
      </c>
      <c r="C7" s="5" t="s">
        <v>26</v>
      </c>
      <c r="D7" s="7">
        <f t="shared" si="0"/>
        <v>0</v>
      </c>
      <c r="E7" s="5">
        <f>COUNTIFS(Detailed_Tasks!$A:$A,A7,Detailed_Tasks!$H:$H,"PASS")</f>
        <v>0</v>
      </c>
      <c r="F7" s="5">
        <f>COUNTIF(Detailed_Tasks!$A:$A,A7)</f>
        <v>10</v>
      </c>
      <c r="G7" s="5">
        <f>COUNTIFS(Detailed_Tasks!$A:$A,A7,Detailed_Tasks!$H:$H,"FAIL")</f>
        <v>0</v>
      </c>
      <c r="H7" s="5">
        <f>COUNTIFS(Detailed_Tasks!$A:$A,A7,Detailed_Tasks!$H:$H,"BLOCKED")</f>
        <v>0</v>
      </c>
      <c r="I7" s="5">
        <f>COUNTIFS(Detailed_Tasks!$A:$A,A7,Detailed_Tasks!$H:$H,"IN_PROGRESS")</f>
        <v>0</v>
      </c>
      <c r="J7" s="5" t="s">
        <v>779</v>
      </c>
      <c r="K7" s="5" t="s">
        <v>780</v>
      </c>
      <c r="L7" s="5" t="s">
        <v>781</v>
      </c>
      <c r="M7" s="5"/>
      <c r="N7" s="5"/>
      <c r="O7" s="5" t="s">
        <v>28</v>
      </c>
      <c r="P7" s="5"/>
    </row>
    <row r="8" spans="1:16" ht="27.6">
      <c r="A8" s="5" t="s">
        <v>468</v>
      </c>
      <c r="B8" s="5" t="s">
        <v>782</v>
      </c>
      <c r="C8" s="5" t="s">
        <v>26</v>
      </c>
      <c r="D8" s="7">
        <f t="shared" si="0"/>
        <v>0</v>
      </c>
      <c r="E8" s="5">
        <f>COUNTIFS(Detailed_Tasks!$A:$A,A8,Detailed_Tasks!$H:$H,"PASS")</f>
        <v>0</v>
      </c>
      <c r="F8" s="5">
        <f>COUNTIF(Detailed_Tasks!$A:$A,A8)</f>
        <v>16</v>
      </c>
      <c r="G8" s="5">
        <f>COUNTIFS(Detailed_Tasks!$A:$A,A8,Detailed_Tasks!$H:$H,"FAIL")</f>
        <v>0</v>
      </c>
      <c r="H8" s="5">
        <f>COUNTIFS(Detailed_Tasks!$A:$A,A8,Detailed_Tasks!$H:$H,"BLOCKED")</f>
        <v>0</v>
      </c>
      <c r="I8" s="5">
        <f>COUNTIFS(Detailed_Tasks!$A:$A,A8,Detailed_Tasks!$H:$H,"IN_PROGRESS")</f>
        <v>0</v>
      </c>
      <c r="J8" s="5" t="s">
        <v>783</v>
      </c>
      <c r="K8" s="5" t="s">
        <v>784</v>
      </c>
      <c r="L8" s="5" t="s">
        <v>785</v>
      </c>
      <c r="M8" s="5"/>
      <c r="N8" s="5"/>
      <c r="O8" s="5" t="s">
        <v>28</v>
      </c>
      <c r="P8" s="5"/>
    </row>
    <row r="9" spans="1:16" ht="27.6">
      <c r="A9" s="5" t="s">
        <v>533</v>
      </c>
      <c r="B9" s="5" t="s">
        <v>786</v>
      </c>
      <c r="C9" s="5" t="s">
        <v>26</v>
      </c>
      <c r="D9" s="7">
        <f t="shared" si="0"/>
        <v>0</v>
      </c>
      <c r="E9" s="5">
        <f>COUNTIFS(Detailed_Tasks!$A:$A,A9,Detailed_Tasks!$H:$H,"PASS")</f>
        <v>0</v>
      </c>
      <c r="F9" s="5">
        <f>COUNTIF(Detailed_Tasks!$A:$A,A9)</f>
        <v>27</v>
      </c>
      <c r="G9" s="5">
        <f>COUNTIFS(Detailed_Tasks!$A:$A,A9,Detailed_Tasks!$H:$H,"FAIL")</f>
        <v>0</v>
      </c>
      <c r="H9" s="5">
        <f>COUNTIFS(Detailed_Tasks!$A:$A,A9,Detailed_Tasks!$H:$H,"BLOCKED")</f>
        <v>0</v>
      </c>
      <c r="I9" s="5">
        <f>COUNTIFS(Detailed_Tasks!$A:$A,A9,Detailed_Tasks!$H:$H,"IN_PROGRESS")</f>
        <v>0</v>
      </c>
      <c r="J9" s="5" t="s">
        <v>787</v>
      </c>
      <c r="K9" s="5" t="s">
        <v>788</v>
      </c>
      <c r="L9" s="5" t="s">
        <v>789</v>
      </c>
      <c r="M9" s="5"/>
      <c r="N9" s="5"/>
      <c r="O9" s="5" t="s">
        <v>28</v>
      </c>
      <c r="P9" s="5"/>
    </row>
    <row r="10" spans="1:16" ht="41.4">
      <c r="A10" s="5" t="s">
        <v>622</v>
      </c>
      <c r="B10" s="5" t="s">
        <v>790</v>
      </c>
      <c r="C10" s="5" t="s">
        <v>26</v>
      </c>
      <c r="D10" s="7">
        <f t="shared" si="0"/>
        <v>0</v>
      </c>
      <c r="E10" s="5">
        <f>COUNTIFS(Detailed_Tasks!$A:$A,A10,Detailed_Tasks!$H:$H,"PASS")</f>
        <v>0</v>
      </c>
      <c r="F10" s="5">
        <f>COUNTIF(Detailed_Tasks!$A:$A,A10)</f>
        <v>11</v>
      </c>
      <c r="G10" s="5">
        <f>COUNTIFS(Detailed_Tasks!$A:$A,A10,Detailed_Tasks!$H:$H,"FAIL")</f>
        <v>0</v>
      </c>
      <c r="H10" s="5">
        <f>COUNTIFS(Detailed_Tasks!$A:$A,A10,Detailed_Tasks!$H:$H,"BLOCKED")</f>
        <v>0</v>
      </c>
      <c r="I10" s="5">
        <f>COUNTIFS(Detailed_Tasks!$A:$A,A10,Detailed_Tasks!$H:$H,"IN_PROGRESS")</f>
        <v>0</v>
      </c>
      <c r="J10" s="5" t="s">
        <v>791</v>
      </c>
      <c r="K10" s="5" t="s">
        <v>792</v>
      </c>
      <c r="L10" s="5" t="s">
        <v>793</v>
      </c>
      <c r="M10" s="5"/>
      <c r="N10" s="5"/>
      <c r="O10" s="5" t="s">
        <v>28</v>
      </c>
      <c r="P10" s="5"/>
    </row>
    <row r="11" spans="1:16" ht="27.6">
      <c r="A11" s="5" t="s">
        <v>671</v>
      </c>
      <c r="B11" s="5" t="s">
        <v>794</v>
      </c>
      <c r="C11" s="5" t="s">
        <v>40</v>
      </c>
      <c r="D11" s="7">
        <f t="shared" si="0"/>
        <v>0</v>
      </c>
      <c r="E11" s="5">
        <f>COUNTIFS(Detailed_Tasks!$A:$A,A11,Detailed_Tasks!$H:$H,"PASS")</f>
        <v>0</v>
      </c>
      <c r="F11" s="5">
        <f>COUNTIF(Detailed_Tasks!$A:$A,A11)</f>
        <v>16</v>
      </c>
      <c r="G11" s="5">
        <f>COUNTIFS(Detailed_Tasks!$A:$A,A11,Detailed_Tasks!$H:$H,"FAIL")</f>
        <v>0</v>
      </c>
      <c r="H11" s="5">
        <f>COUNTIFS(Detailed_Tasks!$A:$A,A11,Detailed_Tasks!$H:$H,"BLOCKED")</f>
        <v>0</v>
      </c>
      <c r="I11" s="5">
        <f>COUNTIFS(Detailed_Tasks!$A:$A,A11,Detailed_Tasks!$H:$H,"IN_PROGRESS")</f>
        <v>0</v>
      </c>
      <c r="J11" s="5" t="s">
        <v>795</v>
      </c>
      <c r="K11" s="5" t="s">
        <v>796</v>
      </c>
      <c r="L11" s="5" t="s">
        <v>797</v>
      </c>
      <c r="M11" s="5"/>
      <c r="N11" s="5"/>
      <c r="O11" s="5" t="s">
        <v>28</v>
      </c>
      <c r="P11" s="5"/>
    </row>
  </sheetData>
  <conditionalFormatting sqref="C2:C11">
    <cfRule type="expression" dxfId="6" priority="1">
      <formula>C2="CLOSED / PASS"</formula>
    </cfRule>
    <cfRule type="expression" dxfId="5" priority="2">
      <formula>C2="IN_PROGRESS"</formula>
    </cfRule>
    <cfRule type="expression" dxfId="4" priority="3">
      <formula>OR(C2="BLOCKED / FAIL",C2="NOT_AUTHORIZED")</formula>
    </cfRule>
  </conditionalFormatting>
  <conditionalFormatting sqref="D2:D11">
    <cfRule type="dataBar" priority="4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</cfRule>
    <cfRule type="dataBar" priority="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{AE176EA8-7480-B599-1270-8AD8A7972516}</x14:id>
        </ext>
      </extLst>
    </cfRule>
  </conditionalFormatting>
  <dataValidations count="1">
    <dataValidation type="list" sqref="C2:C11" xr:uid="{00000000-0002-0000-0300-000000000000}">
      <formula1>"NOT_OPEN,IN_PROGRESS,CLOSED / PASS,BLOCKED / FAIL,NOT_AUTHORIZED"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176EA8-7480-B599-1270-8AD8A7972516}">
            <x14:dataBar>
              <x14:cfvo type="min"/>
              <x14:cfvo type="max"/>
              <x14:negativeFillColor auto="1"/>
              <x14:axisColor auto="1"/>
            </x14:dataBar>
          </x14:cfRule>
          <xm:sqref>D2:D11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0"/>
  <sheetViews>
    <sheetView workbookViewId="0"/>
  </sheetViews>
  <sheetFormatPr defaultRowHeight="13.8"/>
  <cols>
    <col min="1" max="1" width="11" customWidth="1"/>
    <col min="2" max="2" width="8" customWidth="1"/>
    <col min="3" max="3" width="42" customWidth="1"/>
    <col min="4" max="4" width="18" customWidth="1"/>
    <col min="5" max="5" width="11" customWidth="1"/>
    <col min="6" max="6" width="16" customWidth="1"/>
    <col min="7" max="9" width="42" customWidth="1"/>
    <col min="10" max="10" width="14" customWidth="1"/>
    <col min="11" max="11" width="34" customWidth="1"/>
    <col min="12" max="12" width="32" customWidth="1"/>
  </cols>
  <sheetData>
    <row r="1" spans="1:12" ht="27.6">
      <c r="A1" s="2" t="s">
        <v>798</v>
      </c>
      <c r="B1" s="2" t="s">
        <v>10</v>
      </c>
      <c r="C1" s="2" t="s">
        <v>799</v>
      </c>
      <c r="D1" s="2" t="s">
        <v>800</v>
      </c>
      <c r="E1" s="2" t="s">
        <v>801</v>
      </c>
      <c r="F1" s="2" t="s">
        <v>12</v>
      </c>
      <c r="G1" s="2" t="s">
        <v>802</v>
      </c>
      <c r="H1" s="2" t="s">
        <v>803</v>
      </c>
      <c r="I1" s="2" t="s">
        <v>804</v>
      </c>
      <c r="J1" s="2" t="s">
        <v>805</v>
      </c>
      <c r="K1" s="2" t="s">
        <v>806</v>
      </c>
      <c r="L1" s="2" t="s">
        <v>53</v>
      </c>
    </row>
    <row r="2" spans="1:12" ht="41.4">
      <c r="A2" s="5" t="s">
        <v>807</v>
      </c>
      <c r="B2" s="5" t="s">
        <v>54</v>
      </c>
      <c r="C2" s="5" t="s">
        <v>60</v>
      </c>
      <c r="D2" s="5" t="s">
        <v>808</v>
      </c>
      <c r="E2" s="5" t="s">
        <v>665</v>
      </c>
      <c r="F2" s="5" t="s">
        <v>1269</v>
      </c>
      <c r="G2" s="5" t="s">
        <v>60</v>
      </c>
      <c r="H2" s="5" t="s">
        <v>1270</v>
      </c>
      <c r="I2" s="5" t="s">
        <v>1271</v>
      </c>
      <c r="J2" s="5" t="s">
        <v>14</v>
      </c>
      <c r="K2" s="5" t="s">
        <v>59</v>
      </c>
      <c r="L2" s="5"/>
    </row>
    <row r="3" spans="1:12" ht="27.6">
      <c r="A3" s="5" t="s">
        <v>811</v>
      </c>
      <c r="B3" s="5" t="s">
        <v>54</v>
      </c>
      <c r="C3" s="5" t="s">
        <v>66</v>
      </c>
      <c r="D3" s="5" t="s">
        <v>808</v>
      </c>
      <c r="E3" s="5" t="s">
        <v>665</v>
      </c>
      <c r="F3" s="5" t="s">
        <v>1269</v>
      </c>
      <c r="G3" s="5" t="s">
        <v>66</v>
      </c>
      <c r="H3" s="5" t="s">
        <v>1165</v>
      </c>
      <c r="I3" s="5" t="s">
        <v>66</v>
      </c>
      <c r="J3" s="5" t="s">
        <v>14</v>
      </c>
      <c r="K3" s="5" t="s">
        <v>65</v>
      </c>
      <c r="L3" s="5"/>
    </row>
    <row r="4" spans="1:12" ht="27.6">
      <c r="A4" s="5" t="s">
        <v>812</v>
      </c>
      <c r="B4" s="5" t="s">
        <v>54</v>
      </c>
      <c r="C4" s="5" t="s">
        <v>71</v>
      </c>
      <c r="D4" s="5" t="s">
        <v>808</v>
      </c>
      <c r="E4" s="5" t="s">
        <v>665</v>
      </c>
      <c r="F4" s="5" t="s">
        <v>1269</v>
      </c>
      <c r="G4" s="5" t="s">
        <v>71</v>
      </c>
      <c r="H4" s="5" t="s">
        <v>130</v>
      </c>
      <c r="I4" s="5" t="s">
        <v>71</v>
      </c>
      <c r="J4" s="5" t="s">
        <v>14</v>
      </c>
      <c r="K4" s="5" t="s">
        <v>65</v>
      </c>
      <c r="L4" s="5"/>
    </row>
    <row r="5" spans="1:12" ht="27.6">
      <c r="A5" s="5" t="s">
        <v>813</v>
      </c>
      <c r="B5" s="5" t="s">
        <v>54</v>
      </c>
      <c r="C5" s="5" t="s">
        <v>75</v>
      </c>
      <c r="D5" s="5" t="s">
        <v>808</v>
      </c>
      <c r="E5" s="5" t="s">
        <v>665</v>
      </c>
      <c r="F5" s="5" t="s">
        <v>1269</v>
      </c>
      <c r="G5" s="5" t="s">
        <v>75</v>
      </c>
      <c r="H5" s="5" t="s">
        <v>65</v>
      </c>
      <c r="I5" s="5" t="s">
        <v>75</v>
      </c>
      <c r="J5" s="5" t="s">
        <v>14</v>
      </c>
      <c r="K5" s="5" t="s">
        <v>65</v>
      </c>
      <c r="L5" s="5"/>
    </row>
    <row r="6" spans="1:12" ht="55.2">
      <c r="A6" s="5" t="s">
        <v>814</v>
      </c>
      <c r="B6" s="5" t="s">
        <v>54</v>
      </c>
      <c r="C6" s="5" t="s">
        <v>79</v>
      </c>
      <c r="D6" s="5" t="s">
        <v>808</v>
      </c>
      <c r="E6" s="5" t="s">
        <v>665</v>
      </c>
      <c r="F6" s="5" t="s">
        <v>1269</v>
      </c>
      <c r="G6" s="5" t="s">
        <v>79</v>
      </c>
      <c r="H6" s="5" t="s">
        <v>1272</v>
      </c>
      <c r="I6" s="5" t="s">
        <v>1273</v>
      </c>
      <c r="J6" s="5" t="s">
        <v>14</v>
      </c>
      <c r="K6" s="5" t="s">
        <v>65</v>
      </c>
      <c r="L6" s="5"/>
    </row>
    <row r="7" spans="1:12" ht="41.4">
      <c r="A7" s="5" t="s">
        <v>815</v>
      </c>
      <c r="B7" s="5" t="s">
        <v>54</v>
      </c>
      <c r="C7" s="5" t="s">
        <v>1246</v>
      </c>
      <c r="D7" s="5" t="s">
        <v>1249</v>
      </c>
      <c r="E7" s="5" t="s">
        <v>665</v>
      </c>
      <c r="F7" s="5" t="s">
        <v>1269</v>
      </c>
      <c r="G7" s="5" t="s">
        <v>1246</v>
      </c>
      <c r="H7" s="5" t="s">
        <v>1246</v>
      </c>
      <c r="I7" s="5" t="s">
        <v>1274</v>
      </c>
      <c r="J7" s="5" t="s">
        <v>14</v>
      </c>
      <c r="K7" s="5" t="s">
        <v>65</v>
      </c>
      <c r="L7" s="5" t="s">
        <v>1250</v>
      </c>
    </row>
    <row r="8" spans="1:12" ht="27.6">
      <c r="A8" s="5" t="s">
        <v>816</v>
      </c>
      <c r="B8" s="5" t="s">
        <v>54</v>
      </c>
      <c r="C8" s="5" t="s">
        <v>88</v>
      </c>
      <c r="D8" s="5" t="s">
        <v>808</v>
      </c>
      <c r="E8" s="5" t="s">
        <v>665</v>
      </c>
      <c r="F8" s="5" t="s">
        <v>1239</v>
      </c>
      <c r="G8" s="5" t="s">
        <v>88</v>
      </c>
      <c r="H8" s="5" t="s">
        <v>88</v>
      </c>
      <c r="I8" s="5" t="s">
        <v>1275</v>
      </c>
      <c r="J8" s="5" t="s">
        <v>14</v>
      </c>
      <c r="K8" s="5" t="s">
        <v>65</v>
      </c>
      <c r="L8" s="5"/>
    </row>
    <row r="9" spans="1:12" ht="27.6">
      <c r="A9" s="5" t="s">
        <v>817</v>
      </c>
      <c r="B9" s="5" t="s">
        <v>54</v>
      </c>
      <c r="C9" s="5" t="s">
        <v>93</v>
      </c>
      <c r="D9" s="5" t="s">
        <v>808</v>
      </c>
      <c r="E9" s="5" t="s">
        <v>665</v>
      </c>
      <c r="F9" s="5" t="s">
        <v>1239</v>
      </c>
      <c r="G9" s="5" t="s">
        <v>93</v>
      </c>
      <c r="H9" s="5" t="s">
        <v>93</v>
      </c>
      <c r="I9" s="5" t="s">
        <v>1276</v>
      </c>
      <c r="J9" s="5" t="s">
        <v>14</v>
      </c>
      <c r="K9" s="5" t="s">
        <v>65</v>
      </c>
      <c r="L9" s="5"/>
    </row>
    <row r="10" spans="1:12" ht="27.6">
      <c r="A10" s="5" t="s">
        <v>818</v>
      </c>
      <c r="B10" s="5" t="s">
        <v>54</v>
      </c>
      <c r="C10" s="5" t="s">
        <v>97</v>
      </c>
      <c r="D10" s="5" t="s">
        <v>808</v>
      </c>
      <c r="E10" s="5" t="s">
        <v>665</v>
      </c>
      <c r="F10" s="5" t="s">
        <v>1239</v>
      </c>
      <c r="G10" s="5" t="s">
        <v>97</v>
      </c>
      <c r="H10" s="5" t="s">
        <v>97</v>
      </c>
      <c r="I10" s="5" t="s">
        <v>1277</v>
      </c>
      <c r="J10" s="5" t="s">
        <v>14</v>
      </c>
      <c r="K10" s="5" t="s">
        <v>65</v>
      </c>
      <c r="L10" s="5"/>
    </row>
    <row r="11" spans="1:12" ht="27.6">
      <c r="A11" s="5" t="s">
        <v>819</v>
      </c>
      <c r="B11" s="5" t="s">
        <v>54</v>
      </c>
      <c r="C11" s="5" t="s">
        <v>101</v>
      </c>
      <c r="D11" s="5" t="s">
        <v>808</v>
      </c>
      <c r="E11" s="5" t="s">
        <v>665</v>
      </c>
      <c r="F11" s="5" t="s">
        <v>1239</v>
      </c>
      <c r="G11" s="5" t="s">
        <v>101</v>
      </c>
      <c r="H11" s="5" t="s">
        <v>101</v>
      </c>
      <c r="I11" s="5" t="s">
        <v>1278</v>
      </c>
      <c r="J11" s="5" t="s">
        <v>14</v>
      </c>
      <c r="K11" s="5" t="s">
        <v>65</v>
      </c>
      <c r="L11" s="5"/>
    </row>
    <row r="12" spans="1:12" ht="27.6">
      <c r="A12" s="5" t="s">
        <v>820</v>
      </c>
      <c r="B12" s="5" t="s">
        <v>54</v>
      </c>
      <c r="C12" s="5" t="s">
        <v>107</v>
      </c>
      <c r="D12" s="5" t="s">
        <v>808</v>
      </c>
      <c r="E12" s="5" t="s">
        <v>665</v>
      </c>
      <c r="F12" s="5" t="s">
        <v>1239</v>
      </c>
      <c r="G12" s="5" t="s">
        <v>107</v>
      </c>
      <c r="H12" s="5" t="s">
        <v>1264</v>
      </c>
      <c r="I12" s="5" t="s">
        <v>1267</v>
      </c>
      <c r="J12" s="5" t="s">
        <v>14</v>
      </c>
      <c r="K12" s="5" t="s">
        <v>1242</v>
      </c>
      <c r="L12" s="5"/>
    </row>
    <row r="13" spans="1:12" ht="27.6">
      <c r="A13" s="5" t="s">
        <v>821</v>
      </c>
      <c r="B13" s="5" t="s">
        <v>54</v>
      </c>
      <c r="C13" s="5" t="s">
        <v>112</v>
      </c>
      <c r="D13" s="5" t="s">
        <v>808</v>
      </c>
      <c r="E13" s="5" t="s">
        <v>665</v>
      </c>
      <c r="F13" s="5" t="s">
        <v>1239</v>
      </c>
      <c r="G13" s="5" t="s">
        <v>112</v>
      </c>
      <c r="H13" s="5" t="s">
        <v>1279</v>
      </c>
      <c r="I13" s="5" t="s">
        <v>1267</v>
      </c>
      <c r="J13" s="5" t="s">
        <v>14</v>
      </c>
      <c r="K13" s="5" t="s">
        <v>1242</v>
      </c>
      <c r="L13" s="5"/>
    </row>
    <row r="14" spans="1:12" ht="69">
      <c r="A14" s="5" t="s">
        <v>822</v>
      </c>
      <c r="B14" s="5" t="s">
        <v>54</v>
      </c>
      <c r="C14" s="5" t="s">
        <v>823</v>
      </c>
      <c r="D14" s="5" t="s">
        <v>808</v>
      </c>
      <c r="E14" s="5" t="s">
        <v>972</v>
      </c>
      <c r="F14" s="5" t="s">
        <v>41</v>
      </c>
      <c r="G14" s="5" t="s">
        <v>823</v>
      </c>
      <c r="H14" s="5"/>
      <c r="I14" s="5"/>
      <c r="J14" s="5" t="s">
        <v>41</v>
      </c>
      <c r="K14" s="5" t="s">
        <v>1242</v>
      </c>
      <c r="L14" s="5" t="s">
        <v>1280</v>
      </c>
    </row>
    <row r="15" spans="1:12" ht="27.6">
      <c r="A15" s="5" t="s">
        <v>824</v>
      </c>
      <c r="B15" s="5" t="s">
        <v>119</v>
      </c>
      <c r="C15" s="5" t="s">
        <v>124</v>
      </c>
      <c r="D15" s="5" t="s">
        <v>808</v>
      </c>
      <c r="E15" s="5" t="s">
        <v>665</v>
      </c>
      <c r="F15" s="5" t="s">
        <v>809</v>
      </c>
      <c r="G15" s="5" t="s">
        <v>124</v>
      </c>
      <c r="H15" s="5"/>
      <c r="I15" s="5"/>
      <c r="J15" s="5" t="s">
        <v>810</v>
      </c>
      <c r="K15" s="5" t="s">
        <v>1242</v>
      </c>
      <c r="L15" s="5"/>
    </row>
    <row r="16" spans="1:12">
      <c r="A16" s="5" t="s">
        <v>825</v>
      </c>
      <c r="B16" s="5" t="s">
        <v>119</v>
      </c>
      <c r="C16" s="5" t="s">
        <v>131</v>
      </c>
      <c r="D16" s="5" t="s">
        <v>808</v>
      </c>
      <c r="E16" s="5" t="s">
        <v>665</v>
      </c>
      <c r="F16" s="5" t="s">
        <v>809</v>
      </c>
      <c r="G16" s="5" t="s">
        <v>131</v>
      </c>
      <c r="H16" s="5"/>
      <c r="I16" s="5"/>
      <c r="J16" s="5" t="s">
        <v>810</v>
      </c>
      <c r="K16" s="5" t="s">
        <v>130</v>
      </c>
      <c r="L16" s="5"/>
    </row>
    <row r="17" spans="1:12" ht="27.6">
      <c r="A17" s="5" t="s">
        <v>826</v>
      </c>
      <c r="B17" s="5" t="s">
        <v>119</v>
      </c>
      <c r="C17" s="5" t="s">
        <v>141</v>
      </c>
      <c r="D17" s="5" t="s">
        <v>808</v>
      </c>
      <c r="E17" s="5" t="s">
        <v>665</v>
      </c>
      <c r="F17" s="5" t="s">
        <v>809</v>
      </c>
      <c r="G17" s="5" t="s">
        <v>141</v>
      </c>
      <c r="H17" s="5"/>
      <c r="I17" s="5"/>
      <c r="J17" s="5" t="s">
        <v>810</v>
      </c>
      <c r="K17" s="5" t="s">
        <v>1242</v>
      </c>
      <c r="L17" s="5"/>
    </row>
    <row r="18" spans="1:12" ht="27.6">
      <c r="A18" s="5" t="s">
        <v>827</v>
      </c>
      <c r="B18" s="5" t="s">
        <v>119</v>
      </c>
      <c r="C18" s="5" t="s">
        <v>147</v>
      </c>
      <c r="D18" s="5" t="s">
        <v>808</v>
      </c>
      <c r="E18" s="5" t="s">
        <v>665</v>
      </c>
      <c r="F18" s="5" t="s">
        <v>809</v>
      </c>
      <c r="G18" s="5" t="s">
        <v>147</v>
      </c>
      <c r="H18" s="5"/>
      <c r="I18" s="5"/>
      <c r="J18" s="5" t="s">
        <v>810</v>
      </c>
      <c r="K18" s="5" t="s">
        <v>65</v>
      </c>
      <c r="L18" s="5"/>
    </row>
    <row r="19" spans="1:12" ht="27.6">
      <c r="A19" s="5" t="s">
        <v>828</v>
      </c>
      <c r="B19" s="5" t="s">
        <v>119</v>
      </c>
      <c r="C19" s="5" t="s">
        <v>153</v>
      </c>
      <c r="D19" s="5" t="s">
        <v>808</v>
      </c>
      <c r="E19" s="5" t="s">
        <v>665</v>
      </c>
      <c r="F19" s="5" t="s">
        <v>809</v>
      </c>
      <c r="G19" s="5" t="s">
        <v>153</v>
      </c>
      <c r="H19" s="5"/>
      <c r="I19" s="5"/>
      <c r="J19" s="5" t="s">
        <v>810</v>
      </c>
      <c r="K19" s="5" t="s">
        <v>65</v>
      </c>
      <c r="L19" s="5"/>
    </row>
    <row r="20" spans="1:12">
      <c r="A20" s="5" t="s">
        <v>829</v>
      </c>
      <c r="B20" s="5" t="s">
        <v>119</v>
      </c>
      <c r="C20" s="5" t="s">
        <v>158</v>
      </c>
      <c r="D20" s="5" t="s">
        <v>808</v>
      </c>
      <c r="E20" s="5" t="s">
        <v>665</v>
      </c>
      <c r="F20" s="5" t="s">
        <v>809</v>
      </c>
      <c r="G20" s="5" t="s">
        <v>158</v>
      </c>
      <c r="H20" s="5"/>
      <c r="I20" s="5"/>
      <c r="J20" s="5" t="s">
        <v>810</v>
      </c>
      <c r="K20" s="5" t="s">
        <v>130</v>
      </c>
      <c r="L20" s="5"/>
    </row>
    <row r="21" spans="1:12">
      <c r="A21" s="5" t="s">
        <v>830</v>
      </c>
      <c r="B21" s="5" t="s">
        <v>119</v>
      </c>
      <c r="C21" s="5" t="s">
        <v>167</v>
      </c>
      <c r="D21" s="5" t="s">
        <v>808</v>
      </c>
      <c r="E21" s="5" t="s">
        <v>665</v>
      </c>
      <c r="F21" s="5" t="s">
        <v>809</v>
      </c>
      <c r="G21" s="5" t="s">
        <v>167</v>
      </c>
      <c r="H21" s="5"/>
      <c r="I21" s="5"/>
      <c r="J21" s="5" t="s">
        <v>810</v>
      </c>
      <c r="K21" s="5" t="s">
        <v>130</v>
      </c>
      <c r="L21" s="5"/>
    </row>
    <row r="22" spans="1:12">
      <c r="A22" s="5" t="s">
        <v>831</v>
      </c>
      <c r="B22" s="5" t="s">
        <v>119</v>
      </c>
      <c r="C22" s="5" t="s">
        <v>176</v>
      </c>
      <c r="D22" s="5" t="s">
        <v>808</v>
      </c>
      <c r="E22" s="5" t="s">
        <v>665</v>
      </c>
      <c r="F22" s="5" t="s">
        <v>809</v>
      </c>
      <c r="G22" s="5" t="s">
        <v>176</v>
      </c>
      <c r="H22" s="5"/>
      <c r="I22" s="5"/>
      <c r="J22" s="5" t="s">
        <v>810</v>
      </c>
      <c r="K22" s="5" t="s">
        <v>130</v>
      </c>
      <c r="L22" s="5"/>
    </row>
    <row r="23" spans="1:12" ht="27.6">
      <c r="A23" s="5" t="s">
        <v>832</v>
      </c>
      <c r="B23" s="5" t="s">
        <v>119</v>
      </c>
      <c r="C23" s="5" t="s">
        <v>181</v>
      </c>
      <c r="D23" s="5" t="s">
        <v>808</v>
      </c>
      <c r="E23" s="5" t="s">
        <v>665</v>
      </c>
      <c r="F23" s="5" t="s">
        <v>809</v>
      </c>
      <c r="G23" s="5" t="s">
        <v>181</v>
      </c>
      <c r="H23" s="5"/>
      <c r="I23" s="5"/>
      <c r="J23" s="5" t="s">
        <v>810</v>
      </c>
      <c r="K23" s="5" t="s">
        <v>65</v>
      </c>
      <c r="L23" s="5"/>
    </row>
    <row r="24" spans="1:12" ht="27.6">
      <c r="A24" s="5" t="s">
        <v>833</v>
      </c>
      <c r="B24" s="5" t="s">
        <v>119</v>
      </c>
      <c r="C24" s="5" t="s">
        <v>191</v>
      </c>
      <c r="D24" s="5" t="s">
        <v>808</v>
      </c>
      <c r="E24" s="5" t="s">
        <v>665</v>
      </c>
      <c r="F24" s="5" t="s">
        <v>809</v>
      </c>
      <c r="G24" s="5" t="s">
        <v>191</v>
      </c>
      <c r="H24" s="5"/>
      <c r="I24" s="5"/>
      <c r="J24" s="5" t="s">
        <v>810</v>
      </c>
      <c r="K24" s="5" t="s">
        <v>65</v>
      </c>
      <c r="L24" s="5"/>
    </row>
    <row r="25" spans="1:12" ht="27.6">
      <c r="A25" s="5" t="s">
        <v>834</v>
      </c>
      <c r="B25" s="5" t="s">
        <v>119</v>
      </c>
      <c r="C25" s="5" t="s">
        <v>197</v>
      </c>
      <c r="D25" s="5" t="s">
        <v>808</v>
      </c>
      <c r="E25" s="5" t="s">
        <v>665</v>
      </c>
      <c r="F25" s="5" t="s">
        <v>809</v>
      </c>
      <c r="G25" s="5" t="s">
        <v>197</v>
      </c>
      <c r="H25" s="5"/>
      <c r="I25" s="5"/>
      <c r="J25" s="5" t="s">
        <v>810</v>
      </c>
      <c r="K25" s="5" t="s">
        <v>65</v>
      </c>
      <c r="L25" s="5"/>
    </row>
    <row r="26" spans="1:12" ht="27.6">
      <c r="A26" s="5" t="s">
        <v>835</v>
      </c>
      <c r="B26" s="5" t="s">
        <v>119</v>
      </c>
      <c r="C26" s="5" t="s">
        <v>201</v>
      </c>
      <c r="D26" s="5" t="s">
        <v>808</v>
      </c>
      <c r="E26" s="5" t="s">
        <v>665</v>
      </c>
      <c r="F26" s="5" t="s">
        <v>809</v>
      </c>
      <c r="G26" s="5" t="s">
        <v>201</v>
      </c>
      <c r="H26" s="5"/>
      <c r="I26" s="5"/>
      <c r="J26" s="5" t="s">
        <v>810</v>
      </c>
      <c r="K26" s="5" t="s">
        <v>1242</v>
      </c>
      <c r="L26" s="5"/>
    </row>
    <row r="27" spans="1:12">
      <c r="A27" s="5" t="s">
        <v>836</v>
      </c>
      <c r="B27" s="5" t="s">
        <v>203</v>
      </c>
      <c r="C27" s="5" t="s">
        <v>208</v>
      </c>
      <c r="D27" s="5" t="s">
        <v>808</v>
      </c>
      <c r="E27" s="5" t="s">
        <v>665</v>
      </c>
      <c r="F27" s="5" t="s">
        <v>809</v>
      </c>
      <c r="G27" s="5" t="s">
        <v>208</v>
      </c>
      <c r="H27" s="5"/>
      <c r="I27" s="5"/>
      <c r="J27" s="5" t="s">
        <v>810</v>
      </c>
      <c r="K27" s="5" t="s">
        <v>130</v>
      </c>
      <c r="L27" s="5"/>
    </row>
    <row r="28" spans="1:12">
      <c r="A28" s="5" t="s">
        <v>837</v>
      </c>
      <c r="B28" s="5" t="s">
        <v>203</v>
      </c>
      <c r="C28" s="5" t="s">
        <v>213</v>
      </c>
      <c r="D28" s="5" t="s">
        <v>808</v>
      </c>
      <c r="E28" s="5" t="s">
        <v>665</v>
      </c>
      <c r="F28" s="5" t="s">
        <v>809</v>
      </c>
      <c r="G28" s="5" t="s">
        <v>213</v>
      </c>
      <c r="H28" s="5"/>
      <c r="I28" s="5"/>
      <c r="J28" s="5" t="s">
        <v>810</v>
      </c>
      <c r="K28" s="5" t="s">
        <v>130</v>
      </c>
      <c r="L28" s="5"/>
    </row>
    <row r="29" spans="1:12">
      <c r="A29" s="5" t="s">
        <v>838</v>
      </c>
      <c r="B29" s="5" t="s">
        <v>203</v>
      </c>
      <c r="C29" s="5" t="s">
        <v>225</v>
      </c>
      <c r="D29" s="5" t="s">
        <v>808</v>
      </c>
      <c r="E29" s="5" t="s">
        <v>665</v>
      </c>
      <c r="F29" s="5" t="s">
        <v>809</v>
      </c>
      <c r="G29" s="5" t="s">
        <v>225</v>
      </c>
      <c r="H29" s="5"/>
      <c r="I29" s="5"/>
      <c r="J29" s="5" t="s">
        <v>810</v>
      </c>
      <c r="K29" s="5" t="s">
        <v>130</v>
      </c>
      <c r="L29" s="5"/>
    </row>
    <row r="30" spans="1:12">
      <c r="A30" s="5" t="s">
        <v>839</v>
      </c>
      <c r="B30" s="5" t="s">
        <v>203</v>
      </c>
      <c r="C30" s="5" t="s">
        <v>230</v>
      </c>
      <c r="D30" s="5" t="s">
        <v>808</v>
      </c>
      <c r="E30" s="5" t="s">
        <v>665</v>
      </c>
      <c r="F30" s="5" t="s">
        <v>809</v>
      </c>
      <c r="G30" s="5" t="s">
        <v>230</v>
      </c>
      <c r="H30" s="5"/>
      <c r="I30" s="5"/>
      <c r="J30" s="5" t="s">
        <v>810</v>
      </c>
      <c r="K30" s="5" t="s">
        <v>130</v>
      </c>
      <c r="L30" s="5"/>
    </row>
    <row r="31" spans="1:12" ht="27.6">
      <c r="A31" s="5" t="s">
        <v>840</v>
      </c>
      <c r="B31" s="5" t="s">
        <v>203</v>
      </c>
      <c r="C31" s="5" t="s">
        <v>234</v>
      </c>
      <c r="D31" s="5" t="s">
        <v>808</v>
      </c>
      <c r="E31" s="5" t="s">
        <v>665</v>
      </c>
      <c r="F31" s="5" t="s">
        <v>809</v>
      </c>
      <c r="G31" s="5" t="s">
        <v>234</v>
      </c>
      <c r="H31" s="5"/>
      <c r="I31" s="5"/>
      <c r="J31" s="5" t="s">
        <v>810</v>
      </c>
      <c r="K31" s="5" t="s">
        <v>65</v>
      </c>
      <c r="L31" s="5"/>
    </row>
    <row r="32" spans="1:12">
      <c r="A32" s="5" t="s">
        <v>841</v>
      </c>
      <c r="B32" s="5" t="s">
        <v>203</v>
      </c>
      <c r="C32" s="5" t="s">
        <v>241</v>
      </c>
      <c r="D32" s="5" t="s">
        <v>808</v>
      </c>
      <c r="E32" s="5" t="s">
        <v>665</v>
      </c>
      <c r="F32" s="5" t="s">
        <v>809</v>
      </c>
      <c r="G32" s="5" t="s">
        <v>241</v>
      </c>
      <c r="H32" s="5"/>
      <c r="I32" s="5"/>
      <c r="J32" s="5" t="s">
        <v>810</v>
      </c>
      <c r="K32" s="5" t="s">
        <v>130</v>
      </c>
      <c r="L32" s="5"/>
    </row>
    <row r="33" spans="1:12">
      <c r="A33" s="5" t="s">
        <v>842</v>
      </c>
      <c r="B33" s="5" t="s">
        <v>203</v>
      </c>
      <c r="C33" s="5" t="s">
        <v>246</v>
      </c>
      <c r="D33" s="5" t="s">
        <v>808</v>
      </c>
      <c r="E33" s="5" t="s">
        <v>665</v>
      </c>
      <c r="F33" s="5" t="s">
        <v>809</v>
      </c>
      <c r="G33" s="5" t="s">
        <v>246</v>
      </c>
      <c r="H33" s="5"/>
      <c r="I33" s="5"/>
      <c r="J33" s="5" t="s">
        <v>810</v>
      </c>
      <c r="K33" s="5" t="s">
        <v>130</v>
      </c>
      <c r="L33" s="5"/>
    </row>
    <row r="34" spans="1:12" ht="27.6">
      <c r="A34" s="5" t="s">
        <v>843</v>
      </c>
      <c r="B34" s="5" t="s">
        <v>203</v>
      </c>
      <c r="C34" s="5" t="s">
        <v>251</v>
      </c>
      <c r="D34" s="5" t="s">
        <v>808</v>
      </c>
      <c r="E34" s="5" t="s">
        <v>665</v>
      </c>
      <c r="F34" s="5" t="s">
        <v>809</v>
      </c>
      <c r="G34" s="5" t="s">
        <v>251</v>
      </c>
      <c r="H34" s="5"/>
      <c r="I34" s="5"/>
      <c r="J34" s="5" t="s">
        <v>810</v>
      </c>
      <c r="K34" s="5" t="s">
        <v>65</v>
      </c>
      <c r="L34" s="5"/>
    </row>
    <row r="35" spans="1:12" ht="27.6">
      <c r="A35" s="5" t="s">
        <v>844</v>
      </c>
      <c r="B35" s="5" t="s">
        <v>203</v>
      </c>
      <c r="C35" s="5" t="s">
        <v>256</v>
      </c>
      <c r="D35" s="5" t="s">
        <v>808</v>
      </c>
      <c r="E35" s="5" t="s">
        <v>665</v>
      </c>
      <c r="F35" s="5" t="s">
        <v>809</v>
      </c>
      <c r="G35" s="5" t="s">
        <v>256</v>
      </c>
      <c r="H35" s="5"/>
      <c r="I35" s="5"/>
      <c r="J35" s="5" t="s">
        <v>810</v>
      </c>
      <c r="K35" s="5" t="s">
        <v>65</v>
      </c>
      <c r="L35" s="5"/>
    </row>
    <row r="36" spans="1:12" ht="27.6">
      <c r="A36" s="5" t="s">
        <v>845</v>
      </c>
      <c r="B36" s="5" t="s">
        <v>203</v>
      </c>
      <c r="C36" s="5" t="s">
        <v>261</v>
      </c>
      <c r="D36" s="5" t="s">
        <v>808</v>
      </c>
      <c r="E36" s="5" t="s">
        <v>665</v>
      </c>
      <c r="F36" s="5" t="s">
        <v>809</v>
      </c>
      <c r="G36" s="5" t="s">
        <v>261</v>
      </c>
      <c r="H36" s="5"/>
      <c r="I36" s="5"/>
      <c r="J36" s="5" t="s">
        <v>810</v>
      </c>
      <c r="K36" s="5" t="s">
        <v>65</v>
      </c>
      <c r="L36" s="5"/>
    </row>
    <row r="37" spans="1:12" ht="27.6">
      <c r="A37" s="5" t="s">
        <v>846</v>
      </c>
      <c r="B37" s="5" t="s">
        <v>203</v>
      </c>
      <c r="C37" s="5" t="s">
        <v>266</v>
      </c>
      <c r="D37" s="5" t="s">
        <v>808</v>
      </c>
      <c r="E37" s="5" t="s">
        <v>665</v>
      </c>
      <c r="F37" s="5" t="s">
        <v>809</v>
      </c>
      <c r="G37" s="5" t="s">
        <v>266</v>
      </c>
      <c r="H37" s="5"/>
      <c r="I37" s="5"/>
      <c r="J37" s="5" t="s">
        <v>810</v>
      </c>
      <c r="K37" s="5" t="s">
        <v>65</v>
      </c>
      <c r="L37" s="5"/>
    </row>
    <row r="38" spans="1:12">
      <c r="A38" s="5" t="s">
        <v>847</v>
      </c>
      <c r="B38" s="5" t="s">
        <v>203</v>
      </c>
      <c r="C38" s="5" t="s">
        <v>271</v>
      </c>
      <c r="D38" s="5" t="s">
        <v>808</v>
      </c>
      <c r="E38" s="5" t="s">
        <v>665</v>
      </c>
      <c r="F38" s="5" t="s">
        <v>809</v>
      </c>
      <c r="G38" s="5" t="s">
        <v>271</v>
      </c>
      <c r="H38" s="5"/>
      <c r="I38" s="5"/>
      <c r="J38" s="5" t="s">
        <v>810</v>
      </c>
      <c r="K38" s="5" t="s">
        <v>130</v>
      </c>
      <c r="L38" s="5"/>
    </row>
    <row r="39" spans="1:12" ht="27.6">
      <c r="A39" s="5" t="s">
        <v>848</v>
      </c>
      <c r="B39" s="5" t="s">
        <v>203</v>
      </c>
      <c r="C39" s="5" t="s">
        <v>275</v>
      </c>
      <c r="D39" s="5" t="s">
        <v>808</v>
      </c>
      <c r="E39" s="5" t="s">
        <v>665</v>
      </c>
      <c r="F39" s="5" t="s">
        <v>809</v>
      </c>
      <c r="G39" s="5" t="s">
        <v>275</v>
      </c>
      <c r="H39" s="5"/>
      <c r="I39" s="5"/>
      <c r="J39" s="5" t="s">
        <v>810</v>
      </c>
      <c r="K39" s="5" t="s">
        <v>1242</v>
      </c>
      <c r="L39" s="5"/>
    </row>
    <row r="40" spans="1:12" ht="27.6">
      <c r="A40" s="5" t="s">
        <v>849</v>
      </c>
      <c r="B40" s="5" t="s">
        <v>277</v>
      </c>
      <c r="C40" s="5" t="s">
        <v>283</v>
      </c>
      <c r="D40" s="5" t="s">
        <v>808</v>
      </c>
      <c r="E40" s="5" t="s">
        <v>665</v>
      </c>
      <c r="F40" s="5" t="s">
        <v>809</v>
      </c>
      <c r="G40" s="5" t="s">
        <v>283</v>
      </c>
      <c r="H40" s="5"/>
      <c r="I40" s="5"/>
      <c r="J40" s="5" t="s">
        <v>810</v>
      </c>
      <c r="K40" s="5" t="s">
        <v>282</v>
      </c>
      <c r="L40" s="5"/>
    </row>
    <row r="41" spans="1:12" ht="27.6">
      <c r="A41" s="5" t="s">
        <v>850</v>
      </c>
      <c r="B41" s="5" t="s">
        <v>277</v>
      </c>
      <c r="C41" s="5" t="s">
        <v>288</v>
      </c>
      <c r="D41" s="5" t="s">
        <v>808</v>
      </c>
      <c r="E41" s="5" t="s">
        <v>665</v>
      </c>
      <c r="F41" s="5" t="s">
        <v>809</v>
      </c>
      <c r="G41" s="5" t="s">
        <v>288</v>
      </c>
      <c r="H41" s="5"/>
      <c r="I41" s="5"/>
      <c r="J41" s="5" t="s">
        <v>810</v>
      </c>
      <c r="K41" s="5" t="s">
        <v>282</v>
      </c>
      <c r="L41" s="5"/>
    </row>
    <row r="42" spans="1:12">
      <c r="A42" s="5" t="s">
        <v>851</v>
      </c>
      <c r="B42" s="5" t="s">
        <v>277</v>
      </c>
      <c r="C42" s="5" t="s">
        <v>293</v>
      </c>
      <c r="D42" s="5" t="s">
        <v>808</v>
      </c>
      <c r="E42" s="5" t="s">
        <v>665</v>
      </c>
      <c r="F42" s="5" t="s">
        <v>809</v>
      </c>
      <c r="G42" s="5" t="s">
        <v>293</v>
      </c>
      <c r="H42" s="5"/>
      <c r="I42" s="5"/>
      <c r="J42" s="5" t="s">
        <v>810</v>
      </c>
      <c r="K42" s="5" t="s">
        <v>130</v>
      </c>
      <c r="L42" s="5"/>
    </row>
    <row r="43" spans="1:12">
      <c r="A43" s="5" t="s">
        <v>852</v>
      </c>
      <c r="B43" s="5" t="s">
        <v>277</v>
      </c>
      <c r="C43" s="5" t="s">
        <v>305</v>
      </c>
      <c r="D43" s="5" t="s">
        <v>808</v>
      </c>
      <c r="E43" s="5" t="s">
        <v>665</v>
      </c>
      <c r="F43" s="5" t="s">
        <v>809</v>
      </c>
      <c r="G43" s="5" t="s">
        <v>305</v>
      </c>
      <c r="H43" s="5"/>
      <c r="I43" s="5"/>
      <c r="J43" s="5" t="s">
        <v>810</v>
      </c>
      <c r="K43" s="5" t="s">
        <v>130</v>
      </c>
      <c r="L43" s="5"/>
    </row>
    <row r="44" spans="1:12">
      <c r="A44" s="5" t="s">
        <v>853</v>
      </c>
      <c r="B44" s="5" t="s">
        <v>277</v>
      </c>
      <c r="C44" s="5" t="s">
        <v>310</v>
      </c>
      <c r="D44" s="5" t="s">
        <v>808</v>
      </c>
      <c r="E44" s="5" t="s">
        <v>665</v>
      </c>
      <c r="F44" s="5" t="s">
        <v>809</v>
      </c>
      <c r="G44" s="5" t="s">
        <v>310</v>
      </c>
      <c r="H44" s="5"/>
      <c r="I44" s="5"/>
      <c r="J44" s="5" t="s">
        <v>810</v>
      </c>
      <c r="K44" s="5" t="s">
        <v>130</v>
      </c>
      <c r="L44" s="5"/>
    </row>
    <row r="45" spans="1:12">
      <c r="A45" s="5" t="s">
        <v>854</v>
      </c>
      <c r="B45" s="5" t="s">
        <v>277</v>
      </c>
      <c r="C45" s="5" t="s">
        <v>315</v>
      </c>
      <c r="D45" s="5" t="s">
        <v>808</v>
      </c>
      <c r="E45" s="5" t="s">
        <v>665</v>
      </c>
      <c r="F45" s="5" t="s">
        <v>809</v>
      </c>
      <c r="G45" s="5" t="s">
        <v>315</v>
      </c>
      <c r="H45" s="5"/>
      <c r="I45" s="5"/>
      <c r="J45" s="5" t="s">
        <v>810</v>
      </c>
      <c r="K45" s="5" t="s">
        <v>130</v>
      </c>
      <c r="L45" s="5"/>
    </row>
    <row r="46" spans="1:12">
      <c r="A46" s="5" t="s">
        <v>855</v>
      </c>
      <c r="B46" s="5" t="s">
        <v>277</v>
      </c>
      <c r="C46" s="5" t="s">
        <v>319</v>
      </c>
      <c r="D46" s="5" t="s">
        <v>808</v>
      </c>
      <c r="E46" s="5" t="s">
        <v>665</v>
      </c>
      <c r="F46" s="5" t="s">
        <v>809</v>
      </c>
      <c r="G46" s="5" t="s">
        <v>319</v>
      </c>
      <c r="H46" s="5"/>
      <c r="I46" s="5"/>
      <c r="J46" s="5" t="s">
        <v>810</v>
      </c>
      <c r="K46" s="5" t="s">
        <v>130</v>
      </c>
      <c r="L46" s="5"/>
    </row>
    <row r="47" spans="1:12" ht="27.6">
      <c r="A47" s="5" t="s">
        <v>856</v>
      </c>
      <c r="B47" s="5" t="s">
        <v>277</v>
      </c>
      <c r="C47" s="5" t="s">
        <v>323</v>
      </c>
      <c r="D47" s="5" t="s">
        <v>808</v>
      </c>
      <c r="E47" s="5" t="s">
        <v>665</v>
      </c>
      <c r="F47" s="5" t="s">
        <v>809</v>
      </c>
      <c r="G47" s="5" t="s">
        <v>323</v>
      </c>
      <c r="H47" s="5"/>
      <c r="I47" s="5"/>
      <c r="J47" s="5" t="s">
        <v>810</v>
      </c>
      <c r="K47" s="5" t="s">
        <v>65</v>
      </c>
      <c r="L47" s="5"/>
    </row>
    <row r="48" spans="1:12">
      <c r="A48" s="5" t="s">
        <v>857</v>
      </c>
      <c r="B48" s="5" t="s">
        <v>277</v>
      </c>
      <c r="C48" s="5" t="s">
        <v>328</v>
      </c>
      <c r="D48" s="5" t="s">
        <v>808</v>
      </c>
      <c r="E48" s="5" t="s">
        <v>665</v>
      </c>
      <c r="F48" s="5" t="s">
        <v>809</v>
      </c>
      <c r="G48" s="5" t="s">
        <v>328</v>
      </c>
      <c r="H48" s="5"/>
      <c r="I48" s="5"/>
      <c r="J48" s="5" t="s">
        <v>810</v>
      </c>
      <c r="K48" s="5" t="s">
        <v>130</v>
      </c>
      <c r="L48" s="5"/>
    </row>
    <row r="49" spans="1:12">
      <c r="A49" s="5" t="s">
        <v>858</v>
      </c>
      <c r="B49" s="5" t="s">
        <v>277</v>
      </c>
      <c r="C49" s="5" t="s">
        <v>332</v>
      </c>
      <c r="D49" s="5" t="s">
        <v>808</v>
      </c>
      <c r="E49" s="5" t="s">
        <v>665</v>
      </c>
      <c r="F49" s="5" t="s">
        <v>809</v>
      </c>
      <c r="G49" s="5" t="s">
        <v>332</v>
      </c>
      <c r="H49" s="5"/>
      <c r="I49" s="5"/>
      <c r="J49" s="5" t="s">
        <v>810</v>
      </c>
      <c r="K49" s="5" t="s">
        <v>130</v>
      </c>
      <c r="L49" s="5"/>
    </row>
    <row r="50" spans="1:12">
      <c r="A50" s="5" t="s">
        <v>859</v>
      </c>
      <c r="B50" s="5" t="s">
        <v>277</v>
      </c>
      <c r="C50" s="5" t="s">
        <v>337</v>
      </c>
      <c r="D50" s="5" t="s">
        <v>808</v>
      </c>
      <c r="E50" s="5" t="s">
        <v>665</v>
      </c>
      <c r="F50" s="5" t="s">
        <v>809</v>
      </c>
      <c r="G50" s="5" t="s">
        <v>337</v>
      </c>
      <c r="H50" s="5"/>
      <c r="I50" s="5"/>
      <c r="J50" s="5" t="s">
        <v>810</v>
      </c>
      <c r="K50" s="5" t="s">
        <v>130</v>
      </c>
      <c r="L50" s="5"/>
    </row>
    <row r="51" spans="1:12" ht="27.6">
      <c r="A51" s="5" t="s">
        <v>860</v>
      </c>
      <c r="B51" s="5" t="s">
        <v>277</v>
      </c>
      <c r="C51" s="5" t="s">
        <v>341</v>
      </c>
      <c r="D51" s="5" t="s">
        <v>808</v>
      </c>
      <c r="E51" s="5" t="s">
        <v>665</v>
      </c>
      <c r="F51" s="5" t="s">
        <v>809</v>
      </c>
      <c r="G51" s="5" t="s">
        <v>341</v>
      </c>
      <c r="H51" s="5"/>
      <c r="I51" s="5"/>
      <c r="J51" s="5" t="s">
        <v>810</v>
      </c>
      <c r="K51" s="5" t="s">
        <v>1242</v>
      </c>
      <c r="L51" s="5"/>
    </row>
    <row r="52" spans="1:12">
      <c r="A52" s="5" t="s">
        <v>861</v>
      </c>
      <c r="B52" s="5" t="s">
        <v>343</v>
      </c>
      <c r="C52" s="5" t="s">
        <v>348</v>
      </c>
      <c r="D52" s="5" t="s">
        <v>808</v>
      </c>
      <c r="E52" s="5" t="s">
        <v>665</v>
      </c>
      <c r="F52" s="5" t="s">
        <v>809</v>
      </c>
      <c r="G52" s="5" t="s">
        <v>348</v>
      </c>
      <c r="H52" s="5"/>
      <c r="I52" s="5"/>
      <c r="J52" s="5" t="s">
        <v>810</v>
      </c>
      <c r="K52" s="5" t="s">
        <v>130</v>
      </c>
      <c r="L52" s="5"/>
    </row>
    <row r="53" spans="1:12">
      <c r="A53" s="5" t="s">
        <v>862</v>
      </c>
      <c r="B53" s="5" t="s">
        <v>343</v>
      </c>
      <c r="C53" s="5" t="s">
        <v>353</v>
      </c>
      <c r="D53" s="5" t="s">
        <v>808</v>
      </c>
      <c r="E53" s="5" t="s">
        <v>665</v>
      </c>
      <c r="F53" s="5" t="s">
        <v>809</v>
      </c>
      <c r="G53" s="5" t="s">
        <v>353</v>
      </c>
      <c r="H53" s="5"/>
      <c r="I53" s="5"/>
      <c r="J53" s="5" t="s">
        <v>810</v>
      </c>
      <c r="K53" s="5" t="s">
        <v>130</v>
      </c>
      <c r="L53" s="5"/>
    </row>
    <row r="54" spans="1:12">
      <c r="A54" s="5" t="s">
        <v>863</v>
      </c>
      <c r="B54" s="5" t="s">
        <v>343</v>
      </c>
      <c r="C54" s="5" t="s">
        <v>357</v>
      </c>
      <c r="D54" s="5" t="s">
        <v>808</v>
      </c>
      <c r="E54" s="5" t="s">
        <v>665</v>
      </c>
      <c r="F54" s="5" t="s">
        <v>809</v>
      </c>
      <c r="G54" s="5" t="s">
        <v>357</v>
      </c>
      <c r="H54" s="5"/>
      <c r="I54" s="5"/>
      <c r="J54" s="5" t="s">
        <v>810</v>
      </c>
      <c r="K54" s="5" t="s">
        <v>130</v>
      </c>
      <c r="L54" s="5"/>
    </row>
    <row r="55" spans="1:12">
      <c r="A55" s="5" t="s">
        <v>864</v>
      </c>
      <c r="B55" s="5" t="s">
        <v>343</v>
      </c>
      <c r="C55" s="5" t="s">
        <v>365</v>
      </c>
      <c r="D55" s="5" t="s">
        <v>808</v>
      </c>
      <c r="E55" s="5" t="s">
        <v>665</v>
      </c>
      <c r="F55" s="5" t="s">
        <v>809</v>
      </c>
      <c r="G55" s="5" t="s">
        <v>365</v>
      </c>
      <c r="H55" s="5"/>
      <c r="I55" s="5"/>
      <c r="J55" s="5" t="s">
        <v>810</v>
      </c>
      <c r="K55" s="5" t="s">
        <v>130</v>
      </c>
      <c r="L55" s="5"/>
    </row>
    <row r="56" spans="1:12">
      <c r="A56" s="5" t="s">
        <v>865</v>
      </c>
      <c r="B56" s="5" t="s">
        <v>343</v>
      </c>
      <c r="C56" s="5" t="s">
        <v>370</v>
      </c>
      <c r="D56" s="5" t="s">
        <v>808</v>
      </c>
      <c r="E56" s="5" t="s">
        <v>665</v>
      </c>
      <c r="F56" s="5" t="s">
        <v>809</v>
      </c>
      <c r="G56" s="5" t="s">
        <v>370</v>
      </c>
      <c r="H56" s="5"/>
      <c r="I56" s="5"/>
      <c r="J56" s="5" t="s">
        <v>810</v>
      </c>
      <c r="K56" s="5" t="s">
        <v>130</v>
      </c>
      <c r="L56" s="5"/>
    </row>
    <row r="57" spans="1:12">
      <c r="A57" s="5" t="s">
        <v>866</v>
      </c>
      <c r="B57" s="5" t="s">
        <v>343</v>
      </c>
      <c r="C57" s="5" t="s">
        <v>379</v>
      </c>
      <c r="D57" s="5" t="s">
        <v>808</v>
      </c>
      <c r="E57" s="5" t="s">
        <v>665</v>
      </c>
      <c r="F57" s="5" t="s">
        <v>809</v>
      </c>
      <c r="G57" s="5" t="s">
        <v>379</v>
      </c>
      <c r="H57" s="5"/>
      <c r="I57" s="5"/>
      <c r="J57" s="5" t="s">
        <v>810</v>
      </c>
      <c r="K57" s="5" t="s">
        <v>130</v>
      </c>
      <c r="L57" s="5"/>
    </row>
    <row r="58" spans="1:12">
      <c r="A58" s="5" t="s">
        <v>867</v>
      </c>
      <c r="B58" s="5" t="s">
        <v>343</v>
      </c>
      <c r="C58" s="5" t="s">
        <v>402</v>
      </c>
      <c r="D58" s="5" t="s">
        <v>808</v>
      </c>
      <c r="E58" s="5" t="s">
        <v>665</v>
      </c>
      <c r="F58" s="5" t="s">
        <v>809</v>
      </c>
      <c r="G58" s="5" t="s">
        <v>402</v>
      </c>
      <c r="H58" s="5"/>
      <c r="I58" s="5"/>
      <c r="J58" s="5" t="s">
        <v>810</v>
      </c>
      <c r="K58" s="5" t="s">
        <v>130</v>
      </c>
      <c r="L58" s="5"/>
    </row>
    <row r="59" spans="1:12">
      <c r="A59" s="5" t="s">
        <v>868</v>
      </c>
      <c r="B59" s="5" t="s">
        <v>343</v>
      </c>
      <c r="C59" s="5" t="s">
        <v>417</v>
      </c>
      <c r="D59" s="5" t="s">
        <v>808</v>
      </c>
      <c r="E59" s="5" t="s">
        <v>665</v>
      </c>
      <c r="F59" s="5" t="s">
        <v>809</v>
      </c>
      <c r="G59" s="5" t="s">
        <v>417</v>
      </c>
      <c r="H59" s="5"/>
      <c r="I59" s="5"/>
      <c r="J59" s="5" t="s">
        <v>810</v>
      </c>
      <c r="K59" s="5" t="s">
        <v>130</v>
      </c>
      <c r="L59" s="5"/>
    </row>
    <row r="60" spans="1:12">
      <c r="A60" s="5" t="s">
        <v>869</v>
      </c>
      <c r="B60" s="5" t="s">
        <v>343</v>
      </c>
      <c r="C60" s="5" t="s">
        <v>420</v>
      </c>
      <c r="D60" s="5" t="s">
        <v>808</v>
      </c>
      <c r="E60" s="5" t="s">
        <v>665</v>
      </c>
      <c r="F60" s="5" t="s">
        <v>809</v>
      </c>
      <c r="G60" s="5" t="s">
        <v>420</v>
      </c>
      <c r="H60" s="5"/>
      <c r="I60" s="5"/>
      <c r="J60" s="5" t="s">
        <v>810</v>
      </c>
      <c r="K60" s="5" t="s">
        <v>130</v>
      </c>
      <c r="L60" s="5"/>
    </row>
    <row r="61" spans="1:12" ht="27.6">
      <c r="A61" s="5" t="s">
        <v>870</v>
      </c>
      <c r="B61" s="5" t="s">
        <v>343</v>
      </c>
      <c r="C61" s="5" t="s">
        <v>424</v>
      </c>
      <c r="D61" s="5" t="s">
        <v>808</v>
      </c>
      <c r="E61" s="5" t="s">
        <v>665</v>
      </c>
      <c r="F61" s="5" t="s">
        <v>809</v>
      </c>
      <c r="G61" s="5" t="s">
        <v>424</v>
      </c>
      <c r="H61" s="5"/>
      <c r="I61" s="5"/>
      <c r="J61" s="5" t="s">
        <v>810</v>
      </c>
      <c r="K61" s="5" t="s">
        <v>1242</v>
      </c>
      <c r="L61" s="5"/>
    </row>
    <row r="62" spans="1:12">
      <c r="A62" s="5" t="s">
        <v>871</v>
      </c>
      <c r="B62" s="5" t="s">
        <v>426</v>
      </c>
      <c r="C62" s="5" t="s">
        <v>431</v>
      </c>
      <c r="D62" s="5" t="s">
        <v>808</v>
      </c>
      <c r="E62" s="5" t="s">
        <v>665</v>
      </c>
      <c r="F62" s="5" t="s">
        <v>809</v>
      </c>
      <c r="G62" s="5" t="s">
        <v>431</v>
      </c>
      <c r="H62" s="5"/>
      <c r="I62" s="5"/>
      <c r="J62" s="5" t="s">
        <v>810</v>
      </c>
      <c r="K62" s="5" t="s">
        <v>130</v>
      </c>
      <c r="L62" s="5"/>
    </row>
    <row r="63" spans="1:12">
      <c r="A63" s="5" t="s">
        <v>872</v>
      </c>
      <c r="B63" s="5" t="s">
        <v>426</v>
      </c>
      <c r="C63" s="5" t="s">
        <v>439</v>
      </c>
      <c r="D63" s="5" t="s">
        <v>808</v>
      </c>
      <c r="E63" s="5" t="s">
        <v>665</v>
      </c>
      <c r="F63" s="5" t="s">
        <v>809</v>
      </c>
      <c r="G63" s="5" t="s">
        <v>439</v>
      </c>
      <c r="H63" s="5"/>
      <c r="I63" s="5"/>
      <c r="J63" s="5" t="s">
        <v>810</v>
      </c>
      <c r="K63" s="5" t="s">
        <v>130</v>
      </c>
      <c r="L63" s="5"/>
    </row>
    <row r="64" spans="1:12">
      <c r="A64" s="5" t="s">
        <v>873</v>
      </c>
      <c r="B64" s="5" t="s">
        <v>426</v>
      </c>
      <c r="C64" s="5" t="s">
        <v>451</v>
      </c>
      <c r="D64" s="5" t="s">
        <v>808</v>
      </c>
      <c r="E64" s="5" t="s">
        <v>665</v>
      </c>
      <c r="F64" s="5" t="s">
        <v>809</v>
      </c>
      <c r="G64" s="5" t="s">
        <v>451</v>
      </c>
      <c r="H64" s="5"/>
      <c r="I64" s="5"/>
      <c r="J64" s="5" t="s">
        <v>810</v>
      </c>
      <c r="K64" s="5" t="s">
        <v>130</v>
      </c>
      <c r="L64" s="5"/>
    </row>
    <row r="65" spans="1:12">
      <c r="A65" s="5" t="s">
        <v>874</v>
      </c>
      <c r="B65" s="5" t="s">
        <v>426</v>
      </c>
      <c r="C65" s="5" t="s">
        <v>462</v>
      </c>
      <c r="D65" s="5" t="s">
        <v>808</v>
      </c>
      <c r="E65" s="5" t="s">
        <v>665</v>
      </c>
      <c r="F65" s="5" t="s">
        <v>809</v>
      </c>
      <c r="G65" s="5" t="s">
        <v>462</v>
      </c>
      <c r="H65" s="5"/>
      <c r="I65" s="5"/>
      <c r="J65" s="5" t="s">
        <v>810</v>
      </c>
      <c r="K65" s="5" t="s">
        <v>130</v>
      </c>
      <c r="L65" s="5"/>
    </row>
    <row r="66" spans="1:12" ht="27.6">
      <c r="A66" s="5" t="s">
        <v>875</v>
      </c>
      <c r="B66" s="5" t="s">
        <v>426</v>
      </c>
      <c r="C66" s="5" t="s">
        <v>466</v>
      </c>
      <c r="D66" s="5" t="s">
        <v>808</v>
      </c>
      <c r="E66" s="5" t="s">
        <v>665</v>
      </c>
      <c r="F66" s="5" t="s">
        <v>809</v>
      </c>
      <c r="G66" s="5" t="s">
        <v>466</v>
      </c>
      <c r="H66" s="5"/>
      <c r="I66" s="5"/>
      <c r="J66" s="5" t="s">
        <v>810</v>
      </c>
      <c r="K66" s="5" t="s">
        <v>1242</v>
      </c>
      <c r="L66" s="5"/>
    </row>
    <row r="67" spans="1:12">
      <c r="A67" s="5" t="s">
        <v>876</v>
      </c>
      <c r="B67" s="5" t="s">
        <v>468</v>
      </c>
      <c r="C67" s="5" t="s">
        <v>473</v>
      </c>
      <c r="D67" s="5" t="s">
        <v>808</v>
      </c>
      <c r="E67" s="5" t="s">
        <v>665</v>
      </c>
      <c r="F67" s="5" t="s">
        <v>809</v>
      </c>
      <c r="G67" s="5" t="s">
        <v>473</v>
      </c>
      <c r="H67" s="5"/>
      <c r="I67" s="5"/>
      <c r="J67" s="5" t="s">
        <v>810</v>
      </c>
      <c r="K67" s="5" t="s">
        <v>130</v>
      </c>
      <c r="L67" s="5"/>
    </row>
    <row r="68" spans="1:12">
      <c r="A68" s="5" t="s">
        <v>877</v>
      </c>
      <c r="B68" s="5" t="s">
        <v>468</v>
      </c>
      <c r="C68" s="5" t="s">
        <v>505</v>
      </c>
      <c r="D68" s="5" t="s">
        <v>808</v>
      </c>
      <c r="E68" s="5" t="s">
        <v>665</v>
      </c>
      <c r="F68" s="5" t="s">
        <v>809</v>
      </c>
      <c r="G68" s="5" t="s">
        <v>505</v>
      </c>
      <c r="H68" s="5"/>
      <c r="I68" s="5"/>
      <c r="J68" s="5" t="s">
        <v>810</v>
      </c>
      <c r="K68" s="5" t="s">
        <v>130</v>
      </c>
      <c r="L68" s="5"/>
    </row>
    <row r="69" spans="1:12" ht="27.6">
      <c r="A69" s="5" t="s">
        <v>878</v>
      </c>
      <c r="B69" s="5" t="s">
        <v>468</v>
      </c>
      <c r="C69" s="5" t="s">
        <v>527</v>
      </c>
      <c r="D69" s="5" t="s">
        <v>808</v>
      </c>
      <c r="E69" s="5" t="s">
        <v>665</v>
      </c>
      <c r="F69" s="5" t="s">
        <v>809</v>
      </c>
      <c r="G69" s="5" t="s">
        <v>527</v>
      </c>
      <c r="H69" s="5"/>
      <c r="I69" s="5"/>
      <c r="J69" s="5" t="s">
        <v>810</v>
      </c>
      <c r="K69" s="5" t="s">
        <v>65</v>
      </c>
      <c r="L69" s="5"/>
    </row>
    <row r="70" spans="1:12" ht="27.6">
      <c r="A70" s="5" t="s">
        <v>879</v>
      </c>
      <c r="B70" s="5" t="s">
        <v>468</v>
      </c>
      <c r="C70" s="5" t="s">
        <v>531</v>
      </c>
      <c r="D70" s="5" t="s">
        <v>808</v>
      </c>
      <c r="E70" s="5" t="s">
        <v>665</v>
      </c>
      <c r="F70" s="5" t="s">
        <v>809</v>
      </c>
      <c r="G70" s="5" t="s">
        <v>531</v>
      </c>
      <c r="H70" s="5"/>
      <c r="I70" s="5"/>
      <c r="J70" s="5" t="s">
        <v>810</v>
      </c>
      <c r="K70" s="5" t="s">
        <v>1242</v>
      </c>
      <c r="L70" s="5"/>
    </row>
    <row r="71" spans="1:12" ht="41.4">
      <c r="A71" s="5" t="s">
        <v>880</v>
      </c>
      <c r="B71" s="5" t="s">
        <v>533</v>
      </c>
      <c r="C71" s="5" t="s">
        <v>539</v>
      </c>
      <c r="D71" s="5" t="s">
        <v>808</v>
      </c>
      <c r="E71" s="5" t="s">
        <v>665</v>
      </c>
      <c r="F71" s="5" t="s">
        <v>809</v>
      </c>
      <c r="G71" s="5" t="s">
        <v>539</v>
      </c>
      <c r="H71" s="5"/>
      <c r="I71" s="5"/>
      <c r="J71" s="5" t="s">
        <v>810</v>
      </c>
      <c r="K71" s="5" t="s">
        <v>538</v>
      </c>
      <c r="L71" s="5"/>
    </row>
    <row r="72" spans="1:12" ht="41.4">
      <c r="A72" s="5" t="s">
        <v>881</v>
      </c>
      <c r="B72" s="5" t="s">
        <v>533</v>
      </c>
      <c r="C72" s="5" t="s">
        <v>542</v>
      </c>
      <c r="D72" s="5" t="s">
        <v>808</v>
      </c>
      <c r="E72" s="5" t="s">
        <v>665</v>
      </c>
      <c r="F72" s="5" t="s">
        <v>809</v>
      </c>
      <c r="G72" s="5" t="s">
        <v>542</v>
      </c>
      <c r="H72" s="5"/>
      <c r="I72" s="5"/>
      <c r="J72" s="5" t="s">
        <v>810</v>
      </c>
      <c r="K72" s="5" t="s">
        <v>538</v>
      </c>
      <c r="L72" s="5"/>
    </row>
    <row r="73" spans="1:12" ht="41.4">
      <c r="A73" s="5" t="s">
        <v>882</v>
      </c>
      <c r="B73" s="5" t="s">
        <v>533</v>
      </c>
      <c r="C73" s="5" t="s">
        <v>545</v>
      </c>
      <c r="D73" s="5" t="s">
        <v>808</v>
      </c>
      <c r="E73" s="5" t="s">
        <v>665</v>
      </c>
      <c r="F73" s="5" t="s">
        <v>809</v>
      </c>
      <c r="G73" s="5" t="s">
        <v>545</v>
      </c>
      <c r="H73" s="5"/>
      <c r="I73" s="5"/>
      <c r="J73" s="5" t="s">
        <v>810</v>
      </c>
      <c r="K73" s="5" t="s">
        <v>538</v>
      </c>
      <c r="L73" s="5"/>
    </row>
    <row r="74" spans="1:12" ht="41.4">
      <c r="A74" s="5" t="s">
        <v>883</v>
      </c>
      <c r="B74" s="5" t="s">
        <v>533</v>
      </c>
      <c r="C74" s="5" t="s">
        <v>548</v>
      </c>
      <c r="D74" s="5" t="s">
        <v>808</v>
      </c>
      <c r="E74" s="5" t="s">
        <v>665</v>
      </c>
      <c r="F74" s="5" t="s">
        <v>809</v>
      </c>
      <c r="G74" s="5" t="s">
        <v>548</v>
      </c>
      <c r="H74" s="5"/>
      <c r="I74" s="5"/>
      <c r="J74" s="5" t="s">
        <v>810</v>
      </c>
      <c r="K74" s="5" t="s">
        <v>538</v>
      </c>
      <c r="L74" s="5"/>
    </row>
    <row r="75" spans="1:12" ht="41.4">
      <c r="A75" s="5" t="s">
        <v>884</v>
      </c>
      <c r="B75" s="5" t="s">
        <v>533</v>
      </c>
      <c r="C75" s="5" t="s">
        <v>551</v>
      </c>
      <c r="D75" s="5" t="s">
        <v>808</v>
      </c>
      <c r="E75" s="5" t="s">
        <v>665</v>
      </c>
      <c r="F75" s="5" t="s">
        <v>809</v>
      </c>
      <c r="G75" s="5" t="s">
        <v>551</v>
      </c>
      <c r="H75" s="5"/>
      <c r="I75" s="5"/>
      <c r="J75" s="5" t="s">
        <v>810</v>
      </c>
      <c r="K75" s="5" t="s">
        <v>538</v>
      </c>
      <c r="L75" s="5"/>
    </row>
    <row r="76" spans="1:12" ht="41.4">
      <c r="A76" s="5" t="s">
        <v>885</v>
      </c>
      <c r="B76" s="5" t="s">
        <v>533</v>
      </c>
      <c r="C76" s="5" t="s">
        <v>554</v>
      </c>
      <c r="D76" s="5" t="s">
        <v>808</v>
      </c>
      <c r="E76" s="5" t="s">
        <v>665</v>
      </c>
      <c r="F76" s="5" t="s">
        <v>809</v>
      </c>
      <c r="G76" s="5" t="s">
        <v>554</v>
      </c>
      <c r="H76" s="5"/>
      <c r="I76" s="5"/>
      <c r="J76" s="5" t="s">
        <v>810</v>
      </c>
      <c r="K76" s="5" t="s">
        <v>538</v>
      </c>
      <c r="L76" s="5"/>
    </row>
    <row r="77" spans="1:12" ht="41.4">
      <c r="A77" s="5" t="s">
        <v>886</v>
      </c>
      <c r="B77" s="5" t="s">
        <v>533</v>
      </c>
      <c r="C77" s="5" t="s">
        <v>557</v>
      </c>
      <c r="D77" s="5" t="s">
        <v>808</v>
      </c>
      <c r="E77" s="5" t="s">
        <v>665</v>
      </c>
      <c r="F77" s="5" t="s">
        <v>809</v>
      </c>
      <c r="G77" s="5" t="s">
        <v>557</v>
      </c>
      <c r="H77" s="5"/>
      <c r="I77" s="5"/>
      <c r="J77" s="5" t="s">
        <v>810</v>
      </c>
      <c r="K77" s="5" t="s">
        <v>538</v>
      </c>
      <c r="L77" s="5"/>
    </row>
    <row r="78" spans="1:12" ht="41.4">
      <c r="A78" s="5" t="s">
        <v>887</v>
      </c>
      <c r="B78" s="5" t="s">
        <v>533</v>
      </c>
      <c r="C78" s="5" t="s">
        <v>560</v>
      </c>
      <c r="D78" s="5" t="s">
        <v>808</v>
      </c>
      <c r="E78" s="5" t="s">
        <v>665</v>
      </c>
      <c r="F78" s="5" t="s">
        <v>809</v>
      </c>
      <c r="G78" s="5" t="s">
        <v>560</v>
      </c>
      <c r="H78" s="5"/>
      <c r="I78" s="5"/>
      <c r="J78" s="5" t="s">
        <v>810</v>
      </c>
      <c r="K78" s="5" t="s">
        <v>538</v>
      </c>
      <c r="L78" s="5"/>
    </row>
    <row r="79" spans="1:12" ht="41.4">
      <c r="A79" s="5" t="s">
        <v>888</v>
      </c>
      <c r="B79" s="5" t="s">
        <v>533</v>
      </c>
      <c r="C79" s="5" t="s">
        <v>563</v>
      </c>
      <c r="D79" s="5" t="s">
        <v>808</v>
      </c>
      <c r="E79" s="5" t="s">
        <v>665</v>
      </c>
      <c r="F79" s="5" t="s">
        <v>809</v>
      </c>
      <c r="G79" s="5" t="s">
        <v>563</v>
      </c>
      <c r="H79" s="5"/>
      <c r="I79" s="5"/>
      <c r="J79" s="5" t="s">
        <v>810</v>
      </c>
      <c r="K79" s="5" t="s">
        <v>538</v>
      </c>
      <c r="L79" s="5"/>
    </row>
    <row r="80" spans="1:12" ht="41.4">
      <c r="A80" s="5" t="s">
        <v>889</v>
      </c>
      <c r="B80" s="5" t="s">
        <v>533</v>
      </c>
      <c r="C80" s="5" t="s">
        <v>566</v>
      </c>
      <c r="D80" s="5" t="s">
        <v>808</v>
      </c>
      <c r="E80" s="5" t="s">
        <v>665</v>
      </c>
      <c r="F80" s="5" t="s">
        <v>809</v>
      </c>
      <c r="G80" s="5" t="s">
        <v>566</v>
      </c>
      <c r="H80" s="5"/>
      <c r="I80" s="5"/>
      <c r="J80" s="5" t="s">
        <v>810</v>
      </c>
      <c r="K80" s="5" t="s">
        <v>538</v>
      </c>
      <c r="L80" s="5"/>
    </row>
    <row r="81" spans="1:12" ht="41.4">
      <c r="A81" s="5" t="s">
        <v>890</v>
      </c>
      <c r="B81" s="5" t="s">
        <v>533</v>
      </c>
      <c r="C81" s="5" t="s">
        <v>569</v>
      </c>
      <c r="D81" s="5" t="s">
        <v>808</v>
      </c>
      <c r="E81" s="5" t="s">
        <v>665</v>
      </c>
      <c r="F81" s="5" t="s">
        <v>809</v>
      </c>
      <c r="G81" s="5" t="s">
        <v>569</v>
      </c>
      <c r="H81" s="5"/>
      <c r="I81" s="5"/>
      <c r="J81" s="5" t="s">
        <v>810</v>
      </c>
      <c r="K81" s="5" t="s">
        <v>538</v>
      </c>
      <c r="L81" s="5"/>
    </row>
    <row r="82" spans="1:12" ht="41.4">
      <c r="A82" s="5" t="s">
        <v>891</v>
      </c>
      <c r="B82" s="5" t="s">
        <v>533</v>
      </c>
      <c r="C82" s="5" t="s">
        <v>572</v>
      </c>
      <c r="D82" s="5" t="s">
        <v>808</v>
      </c>
      <c r="E82" s="5" t="s">
        <v>665</v>
      </c>
      <c r="F82" s="5" t="s">
        <v>809</v>
      </c>
      <c r="G82" s="5" t="s">
        <v>572</v>
      </c>
      <c r="H82" s="5"/>
      <c r="I82" s="5"/>
      <c r="J82" s="5" t="s">
        <v>810</v>
      </c>
      <c r="K82" s="5" t="s">
        <v>538</v>
      </c>
      <c r="L82" s="5"/>
    </row>
    <row r="83" spans="1:12" ht="41.4">
      <c r="A83" s="5" t="s">
        <v>892</v>
      </c>
      <c r="B83" s="5" t="s">
        <v>533</v>
      </c>
      <c r="C83" s="5" t="s">
        <v>575</v>
      </c>
      <c r="D83" s="5" t="s">
        <v>808</v>
      </c>
      <c r="E83" s="5" t="s">
        <v>665</v>
      </c>
      <c r="F83" s="5" t="s">
        <v>809</v>
      </c>
      <c r="G83" s="5" t="s">
        <v>575</v>
      </c>
      <c r="H83" s="5"/>
      <c r="I83" s="5"/>
      <c r="J83" s="5" t="s">
        <v>810</v>
      </c>
      <c r="K83" s="5" t="s">
        <v>538</v>
      </c>
      <c r="L83" s="5"/>
    </row>
    <row r="84" spans="1:12" ht="41.4">
      <c r="A84" s="5" t="s">
        <v>893</v>
      </c>
      <c r="B84" s="5" t="s">
        <v>533</v>
      </c>
      <c r="C84" s="5" t="s">
        <v>578</v>
      </c>
      <c r="D84" s="5" t="s">
        <v>808</v>
      </c>
      <c r="E84" s="5" t="s">
        <v>665</v>
      </c>
      <c r="F84" s="5" t="s">
        <v>809</v>
      </c>
      <c r="G84" s="5" t="s">
        <v>578</v>
      </c>
      <c r="H84" s="5"/>
      <c r="I84" s="5"/>
      <c r="J84" s="5" t="s">
        <v>810</v>
      </c>
      <c r="K84" s="5" t="s">
        <v>538</v>
      </c>
      <c r="L84" s="5"/>
    </row>
    <row r="85" spans="1:12" ht="41.4">
      <c r="A85" s="5" t="s">
        <v>894</v>
      </c>
      <c r="B85" s="5" t="s">
        <v>533</v>
      </c>
      <c r="C85" s="5" t="s">
        <v>581</v>
      </c>
      <c r="D85" s="5" t="s">
        <v>808</v>
      </c>
      <c r="E85" s="5" t="s">
        <v>665</v>
      </c>
      <c r="F85" s="5" t="s">
        <v>809</v>
      </c>
      <c r="G85" s="5" t="s">
        <v>581</v>
      </c>
      <c r="H85" s="5"/>
      <c r="I85" s="5"/>
      <c r="J85" s="5" t="s">
        <v>810</v>
      </c>
      <c r="K85" s="5" t="s">
        <v>538</v>
      </c>
      <c r="L85" s="5"/>
    </row>
    <row r="86" spans="1:12" ht="41.4">
      <c r="A86" s="5" t="s">
        <v>895</v>
      </c>
      <c r="B86" s="5" t="s">
        <v>533</v>
      </c>
      <c r="C86" s="5" t="s">
        <v>584</v>
      </c>
      <c r="D86" s="5" t="s">
        <v>808</v>
      </c>
      <c r="E86" s="5" t="s">
        <v>665</v>
      </c>
      <c r="F86" s="5" t="s">
        <v>809</v>
      </c>
      <c r="G86" s="5" t="s">
        <v>584</v>
      </c>
      <c r="H86" s="5"/>
      <c r="I86" s="5"/>
      <c r="J86" s="5" t="s">
        <v>810</v>
      </c>
      <c r="K86" s="5" t="s">
        <v>538</v>
      </c>
      <c r="L86" s="5"/>
    </row>
    <row r="87" spans="1:12" ht="41.4">
      <c r="A87" s="5" t="s">
        <v>896</v>
      </c>
      <c r="B87" s="5" t="s">
        <v>533</v>
      </c>
      <c r="C87" s="5" t="s">
        <v>587</v>
      </c>
      <c r="D87" s="5" t="s">
        <v>808</v>
      </c>
      <c r="E87" s="5" t="s">
        <v>665</v>
      </c>
      <c r="F87" s="5" t="s">
        <v>809</v>
      </c>
      <c r="G87" s="5" t="s">
        <v>587</v>
      </c>
      <c r="H87" s="5"/>
      <c r="I87" s="5"/>
      <c r="J87" s="5" t="s">
        <v>810</v>
      </c>
      <c r="K87" s="5" t="s">
        <v>538</v>
      </c>
      <c r="L87" s="5"/>
    </row>
    <row r="88" spans="1:12" ht="41.4">
      <c r="A88" s="5" t="s">
        <v>897</v>
      </c>
      <c r="B88" s="5" t="s">
        <v>533</v>
      </c>
      <c r="C88" s="5" t="s">
        <v>590</v>
      </c>
      <c r="D88" s="5" t="s">
        <v>808</v>
      </c>
      <c r="E88" s="5" t="s">
        <v>665</v>
      </c>
      <c r="F88" s="5" t="s">
        <v>809</v>
      </c>
      <c r="G88" s="5" t="s">
        <v>590</v>
      </c>
      <c r="H88" s="5"/>
      <c r="I88" s="5"/>
      <c r="J88" s="5" t="s">
        <v>810</v>
      </c>
      <c r="K88" s="5" t="s">
        <v>538</v>
      </c>
      <c r="L88" s="5"/>
    </row>
    <row r="89" spans="1:12" ht="41.4">
      <c r="A89" s="5" t="s">
        <v>898</v>
      </c>
      <c r="B89" s="5" t="s">
        <v>533</v>
      </c>
      <c r="C89" s="5" t="s">
        <v>593</v>
      </c>
      <c r="D89" s="5" t="s">
        <v>808</v>
      </c>
      <c r="E89" s="5" t="s">
        <v>665</v>
      </c>
      <c r="F89" s="5" t="s">
        <v>809</v>
      </c>
      <c r="G89" s="5" t="s">
        <v>593</v>
      </c>
      <c r="H89" s="5"/>
      <c r="I89" s="5"/>
      <c r="J89" s="5" t="s">
        <v>810</v>
      </c>
      <c r="K89" s="5" t="s">
        <v>538</v>
      </c>
      <c r="L89" s="5"/>
    </row>
    <row r="90" spans="1:12" ht="41.4">
      <c r="A90" s="5" t="s">
        <v>899</v>
      </c>
      <c r="B90" s="5" t="s">
        <v>533</v>
      </c>
      <c r="C90" s="5" t="s">
        <v>596</v>
      </c>
      <c r="D90" s="5" t="s">
        <v>808</v>
      </c>
      <c r="E90" s="5" t="s">
        <v>665</v>
      </c>
      <c r="F90" s="5" t="s">
        <v>809</v>
      </c>
      <c r="G90" s="5" t="s">
        <v>596</v>
      </c>
      <c r="H90" s="5"/>
      <c r="I90" s="5"/>
      <c r="J90" s="5" t="s">
        <v>810</v>
      </c>
      <c r="K90" s="5" t="s">
        <v>538</v>
      </c>
      <c r="L90" s="5"/>
    </row>
    <row r="91" spans="1:12" ht="41.4">
      <c r="A91" s="5" t="s">
        <v>900</v>
      </c>
      <c r="B91" s="5" t="s">
        <v>533</v>
      </c>
      <c r="C91" s="5" t="s">
        <v>599</v>
      </c>
      <c r="D91" s="5" t="s">
        <v>808</v>
      </c>
      <c r="E91" s="5" t="s">
        <v>665</v>
      </c>
      <c r="F91" s="5" t="s">
        <v>809</v>
      </c>
      <c r="G91" s="5" t="s">
        <v>599</v>
      </c>
      <c r="H91" s="5"/>
      <c r="I91" s="5"/>
      <c r="J91" s="5" t="s">
        <v>810</v>
      </c>
      <c r="K91" s="5" t="s">
        <v>538</v>
      </c>
      <c r="L91" s="5"/>
    </row>
    <row r="92" spans="1:12" ht="41.4">
      <c r="A92" s="5" t="s">
        <v>901</v>
      </c>
      <c r="B92" s="5" t="s">
        <v>533</v>
      </c>
      <c r="C92" s="5" t="s">
        <v>602</v>
      </c>
      <c r="D92" s="5" t="s">
        <v>808</v>
      </c>
      <c r="E92" s="5" t="s">
        <v>665</v>
      </c>
      <c r="F92" s="5" t="s">
        <v>809</v>
      </c>
      <c r="G92" s="5" t="s">
        <v>602</v>
      </c>
      <c r="H92" s="5"/>
      <c r="I92" s="5"/>
      <c r="J92" s="5" t="s">
        <v>810</v>
      </c>
      <c r="K92" s="5" t="s">
        <v>538</v>
      </c>
      <c r="L92" s="5"/>
    </row>
    <row r="93" spans="1:12" ht="41.4">
      <c r="A93" s="5" t="s">
        <v>902</v>
      </c>
      <c r="B93" s="5" t="s">
        <v>533</v>
      </c>
      <c r="C93" s="5" t="s">
        <v>605</v>
      </c>
      <c r="D93" s="5" t="s">
        <v>808</v>
      </c>
      <c r="E93" s="5" t="s">
        <v>665</v>
      </c>
      <c r="F93" s="5" t="s">
        <v>809</v>
      </c>
      <c r="G93" s="5" t="s">
        <v>605</v>
      </c>
      <c r="H93" s="5"/>
      <c r="I93" s="5"/>
      <c r="J93" s="5" t="s">
        <v>810</v>
      </c>
      <c r="K93" s="5" t="s">
        <v>538</v>
      </c>
      <c r="L93" s="5"/>
    </row>
    <row r="94" spans="1:12" ht="41.4">
      <c r="A94" s="5" t="s">
        <v>903</v>
      </c>
      <c r="B94" s="5" t="s">
        <v>533</v>
      </c>
      <c r="C94" s="5" t="s">
        <v>608</v>
      </c>
      <c r="D94" s="5" t="s">
        <v>808</v>
      </c>
      <c r="E94" s="5" t="s">
        <v>665</v>
      </c>
      <c r="F94" s="5" t="s">
        <v>809</v>
      </c>
      <c r="G94" s="5" t="s">
        <v>608</v>
      </c>
      <c r="H94" s="5"/>
      <c r="I94" s="5"/>
      <c r="J94" s="5" t="s">
        <v>810</v>
      </c>
      <c r="K94" s="5" t="s">
        <v>538</v>
      </c>
      <c r="L94" s="5"/>
    </row>
    <row r="95" spans="1:12" ht="41.4">
      <c r="A95" s="5" t="s">
        <v>904</v>
      </c>
      <c r="B95" s="5" t="s">
        <v>533</v>
      </c>
      <c r="C95" s="5" t="s">
        <v>611</v>
      </c>
      <c r="D95" s="5" t="s">
        <v>808</v>
      </c>
      <c r="E95" s="5" t="s">
        <v>665</v>
      </c>
      <c r="F95" s="5" t="s">
        <v>809</v>
      </c>
      <c r="G95" s="5" t="s">
        <v>611</v>
      </c>
      <c r="H95" s="5"/>
      <c r="I95" s="5"/>
      <c r="J95" s="5" t="s">
        <v>810</v>
      </c>
      <c r="K95" s="5" t="s">
        <v>538</v>
      </c>
      <c r="L95" s="5"/>
    </row>
    <row r="96" spans="1:12" ht="27.6">
      <c r="A96" s="5" t="s">
        <v>905</v>
      </c>
      <c r="B96" s="5" t="s">
        <v>533</v>
      </c>
      <c r="C96" s="5" t="s">
        <v>615</v>
      </c>
      <c r="D96" s="5" t="s">
        <v>808</v>
      </c>
      <c r="E96" s="5" t="s">
        <v>665</v>
      </c>
      <c r="F96" s="5" t="s">
        <v>809</v>
      </c>
      <c r="G96" s="5" t="s">
        <v>615</v>
      </c>
      <c r="H96" s="5"/>
      <c r="I96" s="5"/>
      <c r="J96" s="5" t="s">
        <v>810</v>
      </c>
      <c r="K96" s="5" t="s">
        <v>65</v>
      </c>
      <c r="L96" s="5"/>
    </row>
    <row r="97" spans="1:12" ht="27.6">
      <c r="A97" s="5" t="s">
        <v>906</v>
      </c>
      <c r="B97" s="5" t="s">
        <v>533</v>
      </c>
      <c r="C97" s="5" t="s">
        <v>620</v>
      </c>
      <c r="D97" s="5" t="s">
        <v>808</v>
      </c>
      <c r="E97" s="5" t="s">
        <v>665</v>
      </c>
      <c r="F97" s="5" t="s">
        <v>809</v>
      </c>
      <c r="G97" s="5" t="s">
        <v>620</v>
      </c>
      <c r="H97" s="5"/>
      <c r="I97" s="5"/>
      <c r="J97" s="5" t="s">
        <v>810</v>
      </c>
      <c r="K97" s="5" t="s">
        <v>1242</v>
      </c>
      <c r="L97" s="5"/>
    </row>
    <row r="98" spans="1:12" ht="27.6">
      <c r="A98" s="5" t="s">
        <v>907</v>
      </c>
      <c r="B98" s="5" t="s">
        <v>622</v>
      </c>
      <c r="C98" s="5" t="s">
        <v>627</v>
      </c>
      <c r="D98" s="5" t="s">
        <v>808</v>
      </c>
      <c r="E98" s="5" t="s">
        <v>665</v>
      </c>
      <c r="F98" s="5" t="s">
        <v>809</v>
      </c>
      <c r="G98" s="5" t="s">
        <v>627</v>
      </c>
      <c r="H98" s="5"/>
      <c r="I98" s="5"/>
      <c r="J98" s="5" t="s">
        <v>810</v>
      </c>
      <c r="K98" s="5" t="s">
        <v>65</v>
      </c>
      <c r="L98" s="5"/>
    </row>
    <row r="99" spans="1:12" ht="27.6">
      <c r="A99" s="5" t="s">
        <v>908</v>
      </c>
      <c r="B99" s="5" t="s">
        <v>622</v>
      </c>
      <c r="C99" s="5" t="s">
        <v>631</v>
      </c>
      <c r="D99" s="5" t="s">
        <v>808</v>
      </c>
      <c r="E99" s="5" t="s">
        <v>665</v>
      </c>
      <c r="F99" s="5" t="s">
        <v>809</v>
      </c>
      <c r="G99" s="5" t="s">
        <v>631</v>
      </c>
      <c r="H99" s="5"/>
      <c r="I99" s="5"/>
      <c r="J99" s="5" t="s">
        <v>810</v>
      </c>
      <c r="K99" s="5" t="s">
        <v>65</v>
      </c>
      <c r="L99" s="5"/>
    </row>
    <row r="100" spans="1:12" ht="27.6">
      <c r="A100" s="5" t="s">
        <v>909</v>
      </c>
      <c r="B100" s="5" t="s">
        <v>622</v>
      </c>
      <c r="C100" s="5" t="s">
        <v>638</v>
      </c>
      <c r="D100" s="5" t="s">
        <v>808</v>
      </c>
      <c r="E100" s="5" t="s">
        <v>665</v>
      </c>
      <c r="F100" s="5" t="s">
        <v>809</v>
      </c>
      <c r="G100" s="5" t="s">
        <v>638</v>
      </c>
      <c r="H100" s="5"/>
      <c r="I100" s="5"/>
      <c r="J100" s="5" t="s">
        <v>810</v>
      </c>
      <c r="K100" s="5" t="s">
        <v>65</v>
      </c>
      <c r="L100" s="5"/>
    </row>
    <row r="101" spans="1:12" ht="27.6">
      <c r="A101" s="5" t="s">
        <v>910</v>
      </c>
      <c r="B101" s="5" t="s">
        <v>622</v>
      </c>
      <c r="C101" s="5" t="s">
        <v>642</v>
      </c>
      <c r="D101" s="5" t="s">
        <v>808</v>
      </c>
      <c r="E101" s="5" t="s">
        <v>665</v>
      </c>
      <c r="F101" s="5" t="s">
        <v>809</v>
      </c>
      <c r="G101" s="5" t="s">
        <v>642</v>
      </c>
      <c r="H101" s="5"/>
      <c r="I101" s="5"/>
      <c r="J101" s="5" t="s">
        <v>810</v>
      </c>
      <c r="K101" s="5" t="s">
        <v>65</v>
      </c>
      <c r="L101" s="5"/>
    </row>
    <row r="102" spans="1:12" ht="27.6">
      <c r="A102" s="5" t="s">
        <v>911</v>
      </c>
      <c r="B102" s="5" t="s">
        <v>622</v>
      </c>
      <c r="C102" s="5" t="s">
        <v>646</v>
      </c>
      <c r="D102" s="5" t="s">
        <v>808</v>
      </c>
      <c r="E102" s="5" t="s">
        <v>665</v>
      </c>
      <c r="F102" s="5" t="s">
        <v>809</v>
      </c>
      <c r="G102" s="5" t="s">
        <v>646</v>
      </c>
      <c r="H102" s="5"/>
      <c r="I102" s="5"/>
      <c r="J102" s="5" t="s">
        <v>810</v>
      </c>
      <c r="K102" s="5" t="s">
        <v>65</v>
      </c>
      <c r="L102" s="5"/>
    </row>
    <row r="103" spans="1:12" ht="27.6">
      <c r="A103" s="5" t="s">
        <v>912</v>
      </c>
      <c r="B103" s="5" t="s">
        <v>622</v>
      </c>
      <c r="C103" s="5" t="s">
        <v>650</v>
      </c>
      <c r="D103" s="5" t="s">
        <v>808</v>
      </c>
      <c r="E103" s="5" t="s">
        <v>665</v>
      </c>
      <c r="F103" s="5" t="s">
        <v>809</v>
      </c>
      <c r="G103" s="5" t="s">
        <v>650</v>
      </c>
      <c r="H103" s="5"/>
      <c r="I103" s="5"/>
      <c r="J103" s="5" t="s">
        <v>810</v>
      </c>
      <c r="K103" s="5" t="s">
        <v>65</v>
      </c>
      <c r="L103" s="5"/>
    </row>
    <row r="104" spans="1:12" ht="27.6">
      <c r="A104" s="5" t="s">
        <v>913</v>
      </c>
      <c r="B104" s="5" t="s">
        <v>622</v>
      </c>
      <c r="C104" s="5" t="s">
        <v>654</v>
      </c>
      <c r="D104" s="5" t="s">
        <v>808</v>
      </c>
      <c r="E104" s="5" t="s">
        <v>665</v>
      </c>
      <c r="F104" s="5" t="s">
        <v>809</v>
      </c>
      <c r="G104" s="5" t="s">
        <v>654</v>
      </c>
      <c r="H104" s="5"/>
      <c r="I104" s="5"/>
      <c r="J104" s="5" t="s">
        <v>810</v>
      </c>
      <c r="K104" s="5" t="s">
        <v>65</v>
      </c>
      <c r="L104" s="5"/>
    </row>
    <row r="105" spans="1:12">
      <c r="A105" s="5" t="s">
        <v>914</v>
      </c>
      <c r="B105" s="5" t="s">
        <v>622</v>
      </c>
      <c r="C105" s="5" t="s">
        <v>659</v>
      </c>
      <c r="D105" s="5" t="s">
        <v>808</v>
      </c>
      <c r="E105" s="5" t="s">
        <v>665</v>
      </c>
      <c r="F105" s="5" t="s">
        <v>809</v>
      </c>
      <c r="G105" s="5" t="s">
        <v>659</v>
      </c>
      <c r="H105" s="5"/>
      <c r="I105" s="5"/>
      <c r="J105" s="5" t="s">
        <v>810</v>
      </c>
      <c r="K105" s="5" t="s">
        <v>130</v>
      </c>
      <c r="L105" s="5"/>
    </row>
    <row r="106" spans="1:12" ht="27.6">
      <c r="A106" s="5" t="s">
        <v>915</v>
      </c>
      <c r="B106" s="5" t="s">
        <v>622</v>
      </c>
      <c r="C106" s="5" t="s">
        <v>664</v>
      </c>
      <c r="D106" s="5" t="s">
        <v>808</v>
      </c>
      <c r="E106" s="5" t="s">
        <v>665</v>
      </c>
      <c r="F106" s="5" t="s">
        <v>809</v>
      </c>
      <c r="G106" s="5" t="s">
        <v>664</v>
      </c>
      <c r="H106" s="5"/>
      <c r="I106" s="5"/>
      <c r="J106" s="5" t="s">
        <v>810</v>
      </c>
      <c r="K106" s="5" t="s">
        <v>65</v>
      </c>
      <c r="L106" s="5"/>
    </row>
    <row r="107" spans="1:12" ht="27.6">
      <c r="A107" s="5" t="s">
        <v>916</v>
      </c>
      <c r="B107" s="5" t="s">
        <v>622</v>
      </c>
      <c r="C107" s="5" t="s">
        <v>669</v>
      </c>
      <c r="D107" s="5" t="s">
        <v>808</v>
      </c>
      <c r="E107" s="5" t="s">
        <v>665</v>
      </c>
      <c r="F107" s="5" t="s">
        <v>809</v>
      </c>
      <c r="G107" s="5" t="s">
        <v>669</v>
      </c>
      <c r="H107" s="5"/>
      <c r="I107" s="5"/>
      <c r="J107" s="5" t="s">
        <v>810</v>
      </c>
      <c r="K107" s="5" t="s">
        <v>1242</v>
      </c>
      <c r="L107" s="5"/>
    </row>
    <row r="108" spans="1:12">
      <c r="A108" s="5" t="s">
        <v>917</v>
      </c>
      <c r="B108" s="5" t="s">
        <v>671</v>
      </c>
      <c r="C108" s="5" t="s">
        <v>676</v>
      </c>
      <c r="D108" s="5" t="s">
        <v>808</v>
      </c>
      <c r="E108" s="5" t="s">
        <v>665</v>
      </c>
      <c r="F108" s="5" t="s">
        <v>809</v>
      </c>
      <c r="G108" s="5" t="s">
        <v>676</v>
      </c>
      <c r="H108" s="5"/>
      <c r="I108" s="5"/>
      <c r="J108" s="5" t="s">
        <v>810</v>
      </c>
      <c r="K108" s="5" t="s">
        <v>130</v>
      </c>
      <c r="L108" s="5"/>
    </row>
    <row r="109" spans="1:12" ht="27.6">
      <c r="A109" s="5" t="s">
        <v>918</v>
      </c>
      <c r="B109" s="5" t="s">
        <v>671</v>
      </c>
      <c r="C109" s="5" t="s">
        <v>681</v>
      </c>
      <c r="D109" s="5" t="s">
        <v>808</v>
      </c>
      <c r="E109" s="5" t="s">
        <v>665</v>
      </c>
      <c r="F109" s="5" t="s">
        <v>809</v>
      </c>
      <c r="G109" s="5" t="s">
        <v>681</v>
      </c>
      <c r="H109" s="5"/>
      <c r="I109" s="5"/>
      <c r="J109" s="5" t="s">
        <v>810</v>
      </c>
      <c r="K109" s="5" t="s">
        <v>65</v>
      </c>
      <c r="L109" s="5"/>
    </row>
    <row r="110" spans="1:12">
      <c r="A110" s="5" t="s">
        <v>919</v>
      </c>
      <c r="B110" s="5" t="s">
        <v>671</v>
      </c>
      <c r="C110" s="5" t="s">
        <v>686</v>
      </c>
      <c r="D110" s="5" t="s">
        <v>808</v>
      </c>
      <c r="E110" s="5" t="s">
        <v>665</v>
      </c>
      <c r="F110" s="5" t="s">
        <v>809</v>
      </c>
      <c r="G110" s="5" t="s">
        <v>686</v>
      </c>
      <c r="H110" s="5"/>
      <c r="I110" s="5"/>
      <c r="J110" s="5" t="s">
        <v>810</v>
      </c>
      <c r="K110" s="5" t="s">
        <v>130</v>
      </c>
      <c r="L110" s="5"/>
    </row>
    <row r="111" spans="1:12">
      <c r="A111" s="5" t="s">
        <v>920</v>
      </c>
      <c r="B111" s="5" t="s">
        <v>671</v>
      </c>
      <c r="C111" s="5" t="s">
        <v>701</v>
      </c>
      <c r="D111" s="5" t="s">
        <v>808</v>
      </c>
      <c r="E111" s="5" t="s">
        <v>665</v>
      </c>
      <c r="F111" s="5" t="s">
        <v>809</v>
      </c>
      <c r="G111" s="5" t="s">
        <v>701</v>
      </c>
      <c r="H111" s="5"/>
      <c r="I111" s="5"/>
      <c r="J111" s="5" t="s">
        <v>810</v>
      </c>
      <c r="K111" s="5" t="s">
        <v>130</v>
      </c>
      <c r="L111" s="5"/>
    </row>
    <row r="112" spans="1:12" ht="27.6">
      <c r="A112" s="5" t="s">
        <v>921</v>
      </c>
      <c r="B112" s="5" t="s">
        <v>671</v>
      </c>
      <c r="C112" s="5" t="s">
        <v>709</v>
      </c>
      <c r="D112" s="5" t="s">
        <v>808</v>
      </c>
      <c r="E112" s="5" t="s">
        <v>665</v>
      </c>
      <c r="F112" s="5" t="s">
        <v>809</v>
      </c>
      <c r="G112" s="5" t="s">
        <v>709</v>
      </c>
      <c r="H112" s="5"/>
      <c r="I112" s="5"/>
      <c r="J112" s="5" t="s">
        <v>810</v>
      </c>
      <c r="K112" s="5" t="s">
        <v>65</v>
      </c>
      <c r="L112" s="5"/>
    </row>
    <row r="113" spans="1:12">
      <c r="A113" s="5" t="s">
        <v>922</v>
      </c>
      <c r="B113" s="5" t="s">
        <v>671</v>
      </c>
      <c r="C113" s="5" t="s">
        <v>713</v>
      </c>
      <c r="D113" s="5" t="s">
        <v>808</v>
      </c>
      <c r="E113" s="5" t="s">
        <v>665</v>
      </c>
      <c r="F113" s="5" t="s">
        <v>809</v>
      </c>
      <c r="G113" s="5" t="s">
        <v>713</v>
      </c>
      <c r="H113" s="5"/>
      <c r="I113" s="5"/>
      <c r="J113" s="5" t="s">
        <v>810</v>
      </c>
      <c r="K113" s="5" t="s">
        <v>130</v>
      </c>
      <c r="L113" s="5"/>
    </row>
    <row r="114" spans="1:12" ht="27.6">
      <c r="A114" s="5" t="s">
        <v>923</v>
      </c>
      <c r="B114" s="5" t="s">
        <v>671</v>
      </c>
      <c r="C114" s="5" t="s">
        <v>719</v>
      </c>
      <c r="D114" s="5" t="s">
        <v>808</v>
      </c>
      <c r="E114" s="5" t="s">
        <v>665</v>
      </c>
      <c r="F114" s="5" t="s">
        <v>809</v>
      </c>
      <c r="G114" s="5" t="s">
        <v>719</v>
      </c>
      <c r="H114" s="5"/>
      <c r="I114" s="5"/>
      <c r="J114" s="5" t="s">
        <v>810</v>
      </c>
      <c r="K114" s="5" t="s">
        <v>65</v>
      </c>
      <c r="L114" s="5"/>
    </row>
    <row r="115" spans="1:12" ht="41.4">
      <c r="A115" s="5" t="s">
        <v>924</v>
      </c>
      <c r="B115" s="5" t="s">
        <v>671</v>
      </c>
      <c r="C115" s="5" t="s">
        <v>725</v>
      </c>
      <c r="D115" s="5" t="s">
        <v>808</v>
      </c>
      <c r="E115" s="5" t="s">
        <v>665</v>
      </c>
      <c r="F115" s="5" t="s">
        <v>809</v>
      </c>
      <c r="G115" s="5" t="s">
        <v>725</v>
      </c>
      <c r="H115" s="5"/>
      <c r="I115" s="5"/>
      <c r="J115" s="5" t="s">
        <v>810</v>
      </c>
      <c r="K115" s="5" t="s">
        <v>59</v>
      </c>
      <c r="L115" s="5"/>
    </row>
    <row r="116" spans="1:12" ht="27.6">
      <c r="A116" s="5" t="s">
        <v>925</v>
      </c>
      <c r="B116" s="5" t="s">
        <v>671</v>
      </c>
      <c r="C116" s="5" t="s">
        <v>731</v>
      </c>
      <c r="D116" s="5" t="s">
        <v>808</v>
      </c>
      <c r="E116" s="5" t="s">
        <v>665</v>
      </c>
      <c r="F116" s="5" t="s">
        <v>809</v>
      </c>
      <c r="G116" s="5" t="s">
        <v>731</v>
      </c>
      <c r="H116" s="5"/>
      <c r="I116" s="5"/>
      <c r="J116" s="5" t="s">
        <v>810</v>
      </c>
      <c r="K116" s="5" t="s">
        <v>65</v>
      </c>
      <c r="L116" s="5"/>
    </row>
    <row r="117" spans="1:12" ht="27.6">
      <c r="A117" s="5" t="s">
        <v>926</v>
      </c>
      <c r="B117" s="5" t="s">
        <v>671</v>
      </c>
      <c r="C117" s="5" t="s">
        <v>735</v>
      </c>
      <c r="D117" s="5" t="s">
        <v>808</v>
      </c>
      <c r="E117" s="5" t="s">
        <v>665</v>
      </c>
      <c r="F117" s="5" t="s">
        <v>809</v>
      </c>
      <c r="G117" s="5" t="s">
        <v>735</v>
      </c>
      <c r="H117" s="5"/>
      <c r="I117" s="5"/>
      <c r="J117" s="5" t="s">
        <v>810</v>
      </c>
      <c r="K117" s="5" t="s">
        <v>65</v>
      </c>
      <c r="L117" s="5"/>
    </row>
    <row r="118" spans="1:12" ht="27.6">
      <c r="A118" s="5" t="s">
        <v>927</v>
      </c>
      <c r="B118" s="5" t="s">
        <v>671</v>
      </c>
      <c r="C118" s="5" t="s">
        <v>740</v>
      </c>
      <c r="D118" s="5" t="s">
        <v>808</v>
      </c>
      <c r="E118" s="5" t="s">
        <v>665</v>
      </c>
      <c r="F118" s="5" t="s">
        <v>809</v>
      </c>
      <c r="G118" s="5" t="s">
        <v>740</v>
      </c>
      <c r="H118" s="5"/>
      <c r="I118" s="5"/>
      <c r="J118" s="5" t="s">
        <v>810</v>
      </c>
      <c r="K118" s="5" t="s">
        <v>65</v>
      </c>
      <c r="L118" s="5"/>
    </row>
    <row r="119" spans="1:12" ht="27.6">
      <c r="A119" s="5" t="s">
        <v>928</v>
      </c>
      <c r="B119" s="5" t="s">
        <v>671</v>
      </c>
      <c r="C119" s="5" t="s">
        <v>745</v>
      </c>
      <c r="D119" s="5" t="s">
        <v>808</v>
      </c>
      <c r="E119" s="5" t="s">
        <v>665</v>
      </c>
      <c r="F119" s="5" t="s">
        <v>809</v>
      </c>
      <c r="G119" s="5" t="s">
        <v>745</v>
      </c>
      <c r="H119" s="5"/>
      <c r="I119" s="5"/>
      <c r="J119" s="5" t="s">
        <v>810</v>
      </c>
      <c r="K119" s="5" t="s">
        <v>65</v>
      </c>
      <c r="L119" s="5"/>
    </row>
    <row r="120" spans="1:12" ht="27.6">
      <c r="A120" s="5" t="s">
        <v>929</v>
      </c>
      <c r="B120" s="5" t="s">
        <v>671</v>
      </c>
      <c r="C120" s="5" t="s">
        <v>750</v>
      </c>
      <c r="D120" s="5" t="s">
        <v>808</v>
      </c>
      <c r="E120" s="5" t="s">
        <v>665</v>
      </c>
      <c r="F120" s="5" t="s">
        <v>809</v>
      </c>
      <c r="G120" s="5" t="s">
        <v>750</v>
      </c>
      <c r="H120" s="5"/>
      <c r="I120" s="5"/>
      <c r="J120" s="5" t="s">
        <v>810</v>
      </c>
      <c r="K120" s="5" t="s">
        <v>65</v>
      </c>
      <c r="L120" s="5"/>
    </row>
  </sheetData>
  <dataValidations count="2">
    <dataValidation type="list" sqref="F2:F120" xr:uid="{00000000-0002-0000-0400-000000000000}">
      <formula1>"NOT_CREATED,CREATED,VERIFIED,FAIL,NOT_APPLICABLE"</formula1>
    </dataValidation>
    <dataValidation type="list" sqref="J2:J120" xr:uid="{00000000-0002-0000-0400-000001000000}">
      <formula1>"PENDING,PASS,FAIL,NOT_APPLICABLE"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workbookViewId="0"/>
  </sheetViews>
  <sheetFormatPr defaultRowHeight="13.8"/>
  <cols>
    <col min="1" max="1" width="10" customWidth="1"/>
    <col min="2" max="2" width="8" customWidth="1"/>
    <col min="3" max="3" width="13" customWidth="1"/>
    <col min="4" max="4" width="16" customWidth="1"/>
    <col min="5" max="5" width="48" customWidth="1"/>
    <col min="6" max="7" width="12" customWidth="1"/>
    <col min="8" max="8" width="14" customWidth="1"/>
    <col min="9" max="9" width="18" customWidth="1"/>
    <col min="10" max="10" width="46" customWidth="1"/>
    <col min="11" max="11" width="36" customWidth="1"/>
    <col min="12" max="12" width="13" customWidth="1"/>
    <col min="13" max="13" width="28" customWidth="1"/>
  </cols>
  <sheetData>
    <row r="1" spans="1:13" ht="27.6">
      <c r="A1" s="2" t="s">
        <v>930</v>
      </c>
      <c r="B1" s="2" t="s">
        <v>10</v>
      </c>
      <c r="C1" s="2" t="s">
        <v>931</v>
      </c>
      <c r="D1" s="2" t="s">
        <v>43</v>
      </c>
      <c r="E1" s="2" t="s">
        <v>932</v>
      </c>
      <c r="F1" s="2" t="s">
        <v>933</v>
      </c>
      <c r="G1" s="2" t="s">
        <v>934</v>
      </c>
      <c r="H1" s="2" t="s">
        <v>12</v>
      </c>
      <c r="I1" s="2" t="s">
        <v>24</v>
      </c>
      <c r="J1" s="2" t="s">
        <v>935</v>
      </c>
      <c r="K1" s="2" t="s">
        <v>936</v>
      </c>
      <c r="L1" s="2" t="s">
        <v>937</v>
      </c>
      <c r="M1" s="2" t="s">
        <v>53</v>
      </c>
    </row>
    <row r="2" spans="1:13" ht="27.6">
      <c r="A2" s="5" t="s">
        <v>938</v>
      </c>
      <c r="B2" s="5" t="s">
        <v>119</v>
      </c>
      <c r="C2" s="5"/>
      <c r="D2" s="5" t="s">
        <v>138</v>
      </c>
      <c r="E2" s="5" t="s">
        <v>939</v>
      </c>
      <c r="F2" s="5" t="s">
        <v>27</v>
      </c>
      <c r="G2" s="5" t="s">
        <v>33</v>
      </c>
      <c r="H2" s="5" t="s">
        <v>940</v>
      </c>
      <c r="I2" s="5" t="s">
        <v>28</v>
      </c>
      <c r="J2" s="5" t="s">
        <v>941</v>
      </c>
      <c r="K2" s="5" t="s">
        <v>191</v>
      </c>
      <c r="L2" s="5"/>
      <c r="M2" s="5"/>
    </row>
    <row r="3" spans="1:13" ht="27.6">
      <c r="A3" s="5" t="s">
        <v>942</v>
      </c>
      <c r="B3" s="5" t="s">
        <v>119</v>
      </c>
      <c r="C3" s="5"/>
      <c r="D3" s="5" t="s">
        <v>943</v>
      </c>
      <c r="E3" s="5" t="s">
        <v>944</v>
      </c>
      <c r="F3" s="5" t="s">
        <v>30</v>
      </c>
      <c r="G3" s="5" t="s">
        <v>37</v>
      </c>
      <c r="H3" s="5" t="s">
        <v>940</v>
      </c>
      <c r="I3" s="5" t="s">
        <v>28</v>
      </c>
      <c r="J3" s="5" t="s">
        <v>945</v>
      </c>
      <c r="K3" s="5" t="s">
        <v>181</v>
      </c>
      <c r="L3" s="5"/>
      <c r="M3" s="5"/>
    </row>
    <row r="4" spans="1:13" ht="27.6">
      <c r="A4" s="5" t="s">
        <v>946</v>
      </c>
      <c r="B4" s="5" t="s">
        <v>343</v>
      </c>
      <c r="C4" s="5"/>
      <c r="D4" s="5" t="s">
        <v>947</v>
      </c>
      <c r="E4" s="5" t="s">
        <v>948</v>
      </c>
      <c r="F4" s="5" t="s">
        <v>27</v>
      </c>
      <c r="G4" s="5" t="s">
        <v>37</v>
      </c>
      <c r="H4" s="5" t="s">
        <v>940</v>
      </c>
      <c r="I4" s="5" t="s">
        <v>28</v>
      </c>
      <c r="J4" s="5" t="s">
        <v>949</v>
      </c>
      <c r="K4" s="5" t="s">
        <v>271</v>
      </c>
      <c r="L4" s="5"/>
      <c r="M4" s="5"/>
    </row>
    <row r="5" spans="1:13" ht="27.6">
      <c r="A5" s="5" t="s">
        <v>950</v>
      </c>
      <c r="B5" s="5" t="s">
        <v>671</v>
      </c>
      <c r="C5" s="5"/>
      <c r="D5" s="5" t="s">
        <v>194</v>
      </c>
      <c r="E5" s="5" t="s">
        <v>951</v>
      </c>
      <c r="F5" s="5" t="s">
        <v>30</v>
      </c>
      <c r="G5" s="5" t="s">
        <v>33</v>
      </c>
      <c r="H5" s="5" t="s">
        <v>940</v>
      </c>
      <c r="I5" s="5" t="s">
        <v>28</v>
      </c>
      <c r="J5" s="5" t="s">
        <v>952</v>
      </c>
      <c r="K5" s="5" t="s">
        <v>337</v>
      </c>
      <c r="L5" s="5"/>
      <c r="M5" s="5"/>
    </row>
    <row r="6" spans="1:1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</sheetData>
  <conditionalFormatting sqref="F2:F100">
    <cfRule type="expression" dxfId="3" priority="1">
      <formula>F2="CRITICAL"</formula>
    </cfRule>
  </conditionalFormatting>
  <conditionalFormatting sqref="H2:H100">
    <cfRule type="expression" dxfId="2" priority="2">
      <formula>H2="RESOLVED"</formula>
    </cfRule>
  </conditionalFormatting>
  <dataValidations count="3">
    <dataValidation type="list" sqref="F2:F100" xr:uid="{00000000-0002-0000-0500-000000000000}">
      <formula1>"CRITICAL,HIGH,MEDIUM,LOW"</formula1>
    </dataValidation>
    <dataValidation type="list" sqref="G2:G100" xr:uid="{00000000-0002-0000-0500-000001000000}">
      <formula1>"HIGH,MEDIUM,LOW"</formula1>
    </dataValidation>
    <dataValidation type="list" sqref="H2:H100" xr:uid="{00000000-0002-0000-0500-000002000000}">
      <formula1>"OPEN,MONITORING,MITIGATED,RESOLVED"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1"/>
  <sheetViews>
    <sheetView workbookViewId="0"/>
  </sheetViews>
  <sheetFormatPr defaultRowHeight="13.8"/>
  <cols>
    <col min="1" max="1" width="28" customWidth="1"/>
    <col min="2" max="2" width="18" customWidth="1"/>
    <col min="3" max="3" width="9" customWidth="1"/>
    <col min="4" max="4" width="18" customWidth="1"/>
    <col min="5" max="5" width="10" customWidth="1"/>
    <col min="6" max="6" width="11" customWidth="1"/>
    <col min="7" max="7" width="14" customWidth="1"/>
    <col min="8" max="8" width="10" customWidth="1"/>
    <col min="9" max="9" width="18" customWidth="1"/>
    <col min="10" max="10" width="14" customWidth="1"/>
    <col min="11" max="12" width="34" customWidth="1"/>
    <col min="13" max="13" width="16" customWidth="1"/>
    <col min="14" max="14" width="15" customWidth="1"/>
    <col min="15" max="15" width="16" customWidth="1"/>
    <col min="16" max="16" width="18" customWidth="1"/>
    <col min="17" max="17" width="28" customWidth="1"/>
  </cols>
  <sheetData>
    <row r="1" spans="1:17" ht="27.6">
      <c r="A1" s="2" t="s">
        <v>953</v>
      </c>
      <c r="B1" s="2" t="s">
        <v>954</v>
      </c>
      <c r="C1" s="2" t="s">
        <v>955</v>
      </c>
      <c r="D1" s="2" t="s">
        <v>414</v>
      </c>
      <c r="E1" s="2" t="s">
        <v>956</v>
      </c>
      <c r="F1" s="2" t="s">
        <v>957</v>
      </c>
      <c r="G1" s="2" t="s">
        <v>958</v>
      </c>
      <c r="H1" s="2" t="s">
        <v>959</v>
      </c>
      <c r="I1" s="2" t="s">
        <v>960</v>
      </c>
      <c r="J1" s="2" t="s">
        <v>961</v>
      </c>
      <c r="K1" s="2" t="s">
        <v>962</v>
      </c>
      <c r="L1" s="2" t="s">
        <v>963</v>
      </c>
      <c r="M1" s="2" t="s">
        <v>964</v>
      </c>
      <c r="N1" s="2" t="s">
        <v>965</v>
      </c>
      <c r="O1" s="2" t="s">
        <v>966</v>
      </c>
      <c r="P1" s="2" t="s">
        <v>967</v>
      </c>
      <c r="Q1" s="2" t="s">
        <v>53</v>
      </c>
    </row>
    <row r="2" spans="1:17" ht="27.6">
      <c r="A2" s="5" t="s">
        <v>968</v>
      </c>
      <c r="B2" s="5" t="s">
        <v>969</v>
      </c>
      <c r="C2" s="5" t="s">
        <v>683</v>
      </c>
      <c r="D2" s="5" t="s">
        <v>970</v>
      </c>
      <c r="E2" s="5" t="s">
        <v>971</v>
      </c>
      <c r="F2" s="5">
        <v>1</v>
      </c>
      <c r="G2" s="5">
        <v>204886845</v>
      </c>
      <c r="H2" s="5" t="s">
        <v>665</v>
      </c>
      <c r="I2" s="5" t="s">
        <v>25</v>
      </c>
      <c r="J2" s="5"/>
      <c r="K2" s="5"/>
      <c r="L2" s="5"/>
      <c r="M2" s="5" t="s">
        <v>41</v>
      </c>
      <c r="N2" s="5" t="s">
        <v>972</v>
      </c>
      <c r="O2" s="5" t="s">
        <v>972</v>
      </c>
      <c r="P2" s="5" t="s">
        <v>40</v>
      </c>
      <c r="Q2" s="5"/>
    </row>
    <row r="3" spans="1:17" ht="27.6">
      <c r="A3" s="5" t="s">
        <v>973</v>
      </c>
      <c r="B3" s="5" t="s">
        <v>969</v>
      </c>
      <c r="C3" s="5" t="s">
        <v>683</v>
      </c>
      <c r="D3" s="5" t="s">
        <v>970</v>
      </c>
      <c r="E3" s="5" t="s">
        <v>971</v>
      </c>
      <c r="F3" s="5">
        <v>2</v>
      </c>
      <c r="G3" s="5">
        <v>1480646854</v>
      </c>
      <c r="H3" s="5" t="s">
        <v>665</v>
      </c>
      <c r="I3" s="5" t="s">
        <v>25</v>
      </c>
      <c r="J3" s="5"/>
      <c r="K3" s="5"/>
      <c r="L3" s="5"/>
      <c r="M3" s="5" t="s">
        <v>41</v>
      </c>
      <c r="N3" s="5" t="s">
        <v>972</v>
      </c>
      <c r="O3" s="5" t="s">
        <v>972</v>
      </c>
      <c r="P3" s="5" t="s">
        <v>40</v>
      </c>
      <c r="Q3" s="5"/>
    </row>
    <row r="4" spans="1:17" ht="27.6">
      <c r="A4" s="5" t="s">
        <v>974</v>
      </c>
      <c r="B4" s="5" t="s">
        <v>969</v>
      </c>
      <c r="C4" s="5" t="s">
        <v>683</v>
      </c>
      <c r="D4" s="5" t="s">
        <v>970</v>
      </c>
      <c r="E4" s="5" t="s">
        <v>971</v>
      </c>
      <c r="F4" s="5">
        <v>3</v>
      </c>
      <c r="G4" s="5">
        <v>1798418854</v>
      </c>
      <c r="H4" s="5" t="s">
        <v>665</v>
      </c>
      <c r="I4" s="5" t="s">
        <v>25</v>
      </c>
      <c r="J4" s="5"/>
      <c r="K4" s="5"/>
      <c r="L4" s="5"/>
      <c r="M4" s="5" t="s">
        <v>41</v>
      </c>
      <c r="N4" s="5" t="s">
        <v>972</v>
      </c>
      <c r="O4" s="5" t="s">
        <v>972</v>
      </c>
      <c r="P4" s="5" t="s">
        <v>40</v>
      </c>
      <c r="Q4" s="5"/>
    </row>
    <row r="5" spans="1:17" ht="27.6">
      <c r="A5" s="5" t="s">
        <v>975</v>
      </c>
      <c r="B5" s="5" t="s">
        <v>969</v>
      </c>
      <c r="C5" s="5" t="s">
        <v>683</v>
      </c>
      <c r="D5" s="5" t="s">
        <v>970</v>
      </c>
      <c r="E5" s="5" t="s">
        <v>971</v>
      </c>
      <c r="F5" s="5">
        <v>4</v>
      </c>
      <c r="G5" s="5">
        <v>2045683682</v>
      </c>
      <c r="H5" s="5" t="s">
        <v>665</v>
      </c>
      <c r="I5" s="5" t="s">
        <v>25</v>
      </c>
      <c r="J5" s="5"/>
      <c r="K5" s="5"/>
      <c r="L5" s="5"/>
      <c r="M5" s="5" t="s">
        <v>41</v>
      </c>
      <c r="N5" s="5" t="s">
        <v>972</v>
      </c>
      <c r="O5" s="5" t="s">
        <v>972</v>
      </c>
      <c r="P5" s="5" t="s">
        <v>40</v>
      </c>
      <c r="Q5" s="5"/>
    </row>
    <row r="6" spans="1:17" ht="27.6">
      <c r="A6" s="5" t="s">
        <v>976</v>
      </c>
      <c r="B6" s="5" t="s">
        <v>969</v>
      </c>
      <c r="C6" s="5" t="s">
        <v>683</v>
      </c>
      <c r="D6" s="5" t="s">
        <v>970</v>
      </c>
      <c r="E6" s="5" t="s">
        <v>971</v>
      </c>
      <c r="F6" s="5">
        <v>5</v>
      </c>
      <c r="G6" s="5">
        <v>1814859839</v>
      </c>
      <c r="H6" s="5" t="s">
        <v>665</v>
      </c>
      <c r="I6" s="5" t="s">
        <v>25</v>
      </c>
      <c r="J6" s="5"/>
      <c r="K6" s="5"/>
      <c r="L6" s="5"/>
      <c r="M6" s="5" t="s">
        <v>41</v>
      </c>
      <c r="N6" s="5" t="s">
        <v>972</v>
      </c>
      <c r="O6" s="5" t="s">
        <v>972</v>
      </c>
      <c r="P6" s="5" t="s">
        <v>40</v>
      </c>
      <c r="Q6" s="5"/>
    </row>
    <row r="7" spans="1:17" ht="27.6">
      <c r="A7" s="5" t="s">
        <v>977</v>
      </c>
      <c r="B7" s="5" t="s">
        <v>969</v>
      </c>
      <c r="C7" s="5" t="s">
        <v>683</v>
      </c>
      <c r="D7" s="5" t="s">
        <v>970</v>
      </c>
      <c r="E7" s="5" t="s">
        <v>971</v>
      </c>
      <c r="F7" s="5">
        <v>6</v>
      </c>
      <c r="G7" s="5">
        <v>1603952859</v>
      </c>
      <c r="H7" s="5" t="s">
        <v>665</v>
      </c>
      <c r="I7" s="5" t="s">
        <v>25</v>
      </c>
      <c r="J7" s="5"/>
      <c r="K7" s="5"/>
      <c r="L7" s="5"/>
      <c r="M7" s="5" t="s">
        <v>41</v>
      </c>
      <c r="N7" s="5" t="s">
        <v>972</v>
      </c>
      <c r="O7" s="5" t="s">
        <v>972</v>
      </c>
      <c r="P7" s="5" t="s">
        <v>40</v>
      </c>
      <c r="Q7" s="5"/>
    </row>
    <row r="8" spans="1:17" ht="27.6">
      <c r="A8" s="5" t="s">
        <v>978</v>
      </c>
      <c r="B8" s="5" t="s">
        <v>969</v>
      </c>
      <c r="C8" s="5" t="s">
        <v>683</v>
      </c>
      <c r="D8" s="5" t="s">
        <v>970</v>
      </c>
      <c r="E8" s="5" t="s">
        <v>971</v>
      </c>
      <c r="F8" s="5">
        <v>7</v>
      </c>
      <c r="G8" s="5">
        <v>1878351743</v>
      </c>
      <c r="H8" s="5" t="s">
        <v>665</v>
      </c>
      <c r="I8" s="5" t="s">
        <v>25</v>
      </c>
      <c r="J8" s="5"/>
      <c r="K8" s="5"/>
      <c r="L8" s="5"/>
      <c r="M8" s="5" t="s">
        <v>41</v>
      </c>
      <c r="N8" s="5" t="s">
        <v>972</v>
      </c>
      <c r="O8" s="5" t="s">
        <v>972</v>
      </c>
      <c r="P8" s="5" t="s">
        <v>40</v>
      </c>
      <c r="Q8" s="5"/>
    </row>
    <row r="9" spans="1:17" ht="27.6">
      <c r="A9" s="5" t="s">
        <v>979</v>
      </c>
      <c r="B9" s="5" t="s">
        <v>969</v>
      </c>
      <c r="C9" s="5" t="s">
        <v>683</v>
      </c>
      <c r="D9" s="5" t="s">
        <v>970</v>
      </c>
      <c r="E9" s="5" t="s">
        <v>971</v>
      </c>
      <c r="F9" s="5">
        <v>8</v>
      </c>
      <c r="G9" s="5">
        <v>875651179</v>
      </c>
      <c r="H9" s="5" t="s">
        <v>665</v>
      </c>
      <c r="I9" s="5" t="s">
        <v>25</v>
      </c>
      <c r="J9" s="5"/>
      <c r="K9" s="5"/>
      <c r="L9" s="5"/>
      <c r="M9" s="5" t="s">
        <v>41</v>
      </c>
      <c r="N9" s="5" t="s">
        <v>972</v>
      </c>
      <c r="O9" s="5" t="s">
        <v>972</v>
      </c>
      <c r="P9" s="5" t="s">
        <v>40</v>
      </c>
      <c r="Q9" s="5"/>
    </row>
    <row r="10" spans="1:17" ht="27.6">
      <c r="A10" s="5" t="s">
        <v>980</v>
      </c>
      <c r="B10" s="5" t="s">
        <v>969</v>
      </c>
      <c r="C10" s="5" t="s">
        <v>683</v>
      </c>
      <c r="D10" s="5" t="s">
        <v>970</v>
      </c>
      <c r="E10" s="5" t="s">
        <v>971</v>
      </c>
      <c r="F10" s="5">
        <v>9</v>
      </c>
      <c r="G10" s="5">
        <v>477581743</v>
      </c>
      <c r="H10" s="5" t="s">
        <v>665</v>
      </c>
      <c r="I10" s="5" t="s">
        <v>25</v>
      </c>
      <c r="J10" s="5"/>
      <c r="K10" s="5"/>
      <c r="L10" s="5"/>
      <c r="M10" s="5" t="s">
        <v>41</v>
      </c>
      <c r="N10" s="5" t="s">
        <v>972</v>
      </c>
      <c r="O10" s="5" t="s">
        <v>972</v>
      </c>
      <c r="P10" s="5" t="s">
        <v>40</v>
      </c>
      <c r="Q10" s="5"/>
    </row>
    <row r="11" spans="1:17" ht="27.6">
      <c r="A11" s="5" t="s">
        <v>981</v>
      </c>
      <c r="B11" s="5" t="s">
        <v>969</v>
      </c>
      <c r="C11" s="5" t="s">
        <v>683</v>
      </c>
      <c r="D11" s="5" t="s">
        <v>970</v>
      </c>
      <c r="E11" s="5" t="s">
        <v>971</v>
      </c>
      <c r="F11" s="5">
        <v>10</v>
      </c>
      <c r="G11" s="5">
        <v>869675675</v>
      </c>
      <c r="H11" s="5" t="s">
        <v>665</v>
      </c>
      <c r="I11" s="5" t="s">
        <v>25</v>
      </c>
      <c r="J11" s="5"/>
      <c r="K11" s="5"/>
      <c r="L11" s="5"/>
      <c r="M11" s="5" t="s">
        <v>41</v>
      </c>
      <c r="N11" s="5" t="s">
        <v>972</v>
      </c>
      <c r="O11" s="5" t="s">
        <v>972</v>
      </c>
      <c r="P11" s="5" t="s">
        <v>40</v>
      </c>
      <c r="Q11" s="5"/>
    </row>
    <row r="12" spans="1:17" ht="27.6">
      <c r="A12" s="5" t="s">
        <v>982</v>
      </c>
      <c r="B12" s="5" t="s">
        <v>969</v>
      </c>
      <c r="C12" s="5" t="s">
        <v>683</v>
      </c>
      <c r="D12" s="5" t="s">
        <v>970</v>
      </c>
      <c r="E12" s="5" t="s">
        <v>983</v>
      </c>
      <c r="F12" s="5">
        <v>1</v>
      </c>
      <c r="G12" s="5">
        <v>204886845</v>
      </c>
      <c r="H12" s="5" t="s">
        <v>665</v>
      </c>
      <c r="I12" s="5" t="s">
        <v>25</v>
      </c>
      <c r="J12" s="5"/>
      <c r="K12" s="5"/>
      <c r="L12" s="5"/>
      <c r="M12" s="5" t="s">
        <v>41</v>
      </c>
      <c r="N12" s="5" t="s">
        <v>972</v>
      </c>
      <c r="O12" s="5" t="s">
        <v>972</v>
      </c>
      <c r="P12" s="5" t="s">
        <v>40</v>
      </c>
      <c r="Q12" s="5"/>
    </row>
    <row r="13" spans="1:17" ht="27.6">
      <c r="A13" s="5" t="s">
        <v>984</v>
      </c>
      <c r="B13" s="5" t="s">
        <v>969</v>
      </c>
      <c r="C13" s="5" t="s">
        <v>683</v>
      </c>
      <c r="D13" s="5" t="s">
        <v>970</v>
      </c>
      <c r="E13" s="5" t="s">
        <v>983</v>
      </c>
      <c r="F13" s="5">
        <v>2</v>
      </c>
      <c r="G13" s="5">
        <v>1480646854</v>
      </c>
      <c r="H13" s="5" t="s">
        <v>665</v>
      </c>
      <c r="I13" s="5" t="s">
        <v>25</v>
      </c>
      <c r="J13" s="5"/>
      <c r="K13" s="5"/>
      <c r="L13" s="5"/>
      <c r="M13" s="5" t="s">
        <v>41</v>
      </c>
      <c r="N13" s="5" t="s">
        <v>972</v>
      </c>
      <c r="O13" s="5" t="s">
        <v>972</v>
      </c>
      <c r="P13" s="5" t="s">
        <v>40</v>
      </c>
      <c r="Q13" s="5"/>
    </row>
    <row r="14" spans="1:17" ht="27.6">
      <c r="A14" s="5" t="s">
        <v>985</v>
      </c>
      <c r="B14" s="5" t="s">
        <v>969</v>
      </c>
      <c r="C14" s="5" t="s">
        <v>683</v>
      </c>
      <c r="D14" s="5" t="s">
        <v>970</v>
      </c>
      <c r="E14" s="5" t="s">
        <v>983</v>
      </c>
      <c r="F14" s="5">
        <v>3</v>
      </c>
      <c r="G14" s="5">
        <v>1798418854</v>
      </c>
      <c r="H14" s="5" t="s">
        <v>665</v>
      </c>
      <c r="I14" s="5" t="s">
        <v>25</v>
      </c>
      <c r="J14" s="5"/>
      <c r="K14" s="5"/>
      <c r="L14" s="5"/>
      <c r="M14" s="5" t="s">
        <v>41</v>
      </c>
      <c r="N14" s="5" t="s">
        <v>972</v>
      </c>
      <c r="O14" s="5" t="s">
        <v>972</v>
      </c>
      <c r="P14" s="5" t="s">
        <v>40</v>
      </c>
      <c r="Q14" s="5"/>
    </row>
    <row r="15" spans="1:17" ht="27.6">
      <c r="A15" s="5" t="s">
        <v>986</v>
      </c>
      <c r="B15" s="5" t="s">
        <v>969</v>
      </c>
      <c r="C15" s="5" t="s">
        <v>683</v>
      </c>
      <c r="D15" s="5" t="s">
        <v>970</v>
      </c>
      <c r="E15" s="5" t="s">
        <v>983</v>
      </c>
      <c r="F15" s="5">
        <v>4</v>
      </c>
      <c r="G15" s="5">
        <v>2045683682</v>
      </c>
      <c r="H15" s="5" t="s">
        <v>665</v>
      </c>
      <c r="I15" s="5" t="s">
        <v>25</v>
      </c>
      <c r="J15" s="5"/>
      <c r="K15" s="5"/>
      <c r="L15" s="5"/>
      <c r="M15" s="5" t="s">
        <v>41</v>
      </c>
      <c r="N15" s="5" t="s">
        <v>972</v>
      </c>
      <c r="O15" s="5" t="s">
        <v>972</v>
      </c>
      <c r="P15" s="5" t="s">
        <v>40</v>
      </c>
      <c r="Q15" s="5"/>
    </row>
    <row r="16" spans="1:17" ht="27.6">
      <c r="A16" s="5" t="s">
        <v>987</v>
      </c>
      <c r="B16" s="5" t="s">
        <v>969</v>
      </c>
      <c r="C16" s="5" t="s">
        <v>683</v>
      </c>
      <c r="D16" s="5" t="s">
        <v>970</v>
      </c>
      <c r="E16" s="5" t="s">
        <v>983</v>
      </c>
      <c r="F16" s="5">
        <v>5</v>
      </c>
      <c r="G16" s="5">
        <v>1814859839</v>
      </c>
      <c r="H16" s="5" t="s">
        <v>665</v>
      </c>
      <c r="I16" s="5" t="s">
        <v>25</v>
      </c>
      <c r="J16" s="5"/>
      <c r="K16" s="5"/>
      <c r="L16" s="5"/>
      <c r="M16" s="5" t="s">
        <v>41</v>
      </c>
      <c r="N16" s="5" t="s">
        <v>972</v>
      </c>
      <c r="O16" s="5" t="s">
        <v>972</v>
      </c>
      <c r="P16" s="5" t="s">
        <v>40</v>
      </c>
      <c r="Q16" s="5"/>
    </row>
    <row r="17" spans="1:17" ht="27.6">
      <c r="A17" s="5" t="s">
        <v>988</v>
      </c>
      <c r="B17" s="5" t="s">
        <v>969</v>
      </c>
      <c r="C17" s="5" t="s">
        <v>683</v>
      </c>
      <c r="D17" s="5" t="s">
        <v>970</v>
      </c>
      <c r="E17" s="5" t="s">
        <v>983</v>
      </c>
      <c r="F17" s="5">
        <v>6</v>
      </c>
      <c r="G17" s="5">
        <v>1603952859</v>
      </c>
      <c r="H17" s="5" t="s">
        <v>665</v>
      </c>
      <c r="I17" s="5" t="s">
        <v>25</v>
      </c>
      <c r="J17" s="5"/>
      <c r="K17" s="5"/>
      <c r="L17" s="5"/>
      <c r="M17" s="5" t="s">
        <v>41</v>
      </c>
      <c r="N17" s="5" t="s">
        <v>972</v>
      </c>
      <c r="O17" s="5" t="s">
        <v>972</v>
      </c>
      <c r="P17" s="5" t="s">
        <v>40</v>
      </c>
      <c r="Q17" s="5"/>
    </row>
    <row r="18" spans="1:17" ht="27.6">
      <c r="A18" s="5" t="s">
        <v>989</v>
      </c>
      <c r="B18" s="5" t="s">
        <v>969</v>
      </c>
      <c r="C18" s="5" t="s">
        <v>683</v>
      </c>
      <c r="D18" s="5" t="s">
        <v>970</v>
      </c>
      <c r="E18" s="5" t="s">
        <v>983</v>
      </c>
      <c r="F18" s="5">
        <v>7</v>
      </c>
      <c r="G18" s="5">
        <v>1878351743</v>
      </c>
      <c r="H18" s="5" t="s">
        <v>665</v>
      </c>
      <c r="I18" s="5" t="s">
        <v>25</v>
      </c>
      <c r="J18" s="5"/>
      <c r="K18" s="5"/>
      <c r="L18" s="5"/>
      <c r="M18" s="5" t="s">
        <v>41</v>
      </c>
      <c r="N18" s="5" t="s">
        <v>972</v>
      </c>
      <c r="O18" s="5" t="s">
        <v>972</v>
      </c>
      <c r="P18" s="5" t="s">
        <v>40</v>
      </c>
      <c r="Q18" s="5"/>
    </row>
    <row r="19" spans="1:17" ht="27.6">
      <c r="A19" s="5" t="s">
        <v>990</v>
      </c>
      <c r="B19" s="5" t="s">
        <v>969</v>
      </c>
      <c r="C19" s="5" t="s">
        <v>683</v>
      </c>
      <c r="D19" s="5" t="s">
        <v>970</v>
      </c>
      <c r="E19" s="5" t="s">
        <v>983</v>
      </c>
      <c r="F19" s="5">
        <v>8</v>
      </c>
      <c r="G19" s="5">
        <v>875651179</v>
      </c>
      <c r="H19" s="5" t="s">
        <v>665</v>
      </c>
      <c r="I19" s="5" t="s">
        <v>25</v>
      </c>
      <c r="J19" s="5"/>
      <c r="K19" s="5"/>
      <c r="L19" s="5"/>
      <c r="M19" s="5" t="s">
        <v>41</v>
      </c>
      <c r="N19" s="5" t="s">
        <v>972</v>
      </c>
      <c r="O19" s="5" t="s">
        <v>972</v>
      </c>
      <c r="P19" s="5" t="s">
        <v>40</v>
      </c>
      <c r="Q19" s="5"/>
    </row>
    <row r="20" spans="1:17" ht="27.6">
      <c r="A20" s="5" t="s">
        <v>991</v>
      </c>
      <c r="B20" s="5" t="s">
        <v>969</v>
      </c>
      <c r="C20" s="5" t="s">
        <v>683</v>
      </c>
      <c r="D20" s="5" t="s">
        <v>970</v>
      </c>
      <c r="E20" s="5" t="s">
        <v>983</v>
      </c>
      <c r="F20" s="5">
        <v>9</v>
      </c>
      <c r="G20" s="5">
        <v>477581743</v>
      </c>
      <c r="H20" s="5" t="s">
        <v>665</v>
      </c>
      <c r="I20" s="5" t="s">
        <v>25</v>
      </c>
      <c r="J20" s="5"/>
      <c r="K20" s="5"/>
      <c r="L20" s="5"/>
      <c r="M20" s="5" t="s">
        <v>41</v>
      </c>
      <c r="N20" s="5" t="s">
        <v>972</v>
      </c>
      <c r="O20" s="5" t="s">
        <v>972</v>
      </c>
      <c r="P20" s="5" t="s">
        <v>40</v>
      </c>
      <c r="Q20" s="5"/>
    </row>
    <row r="21" spans="1:17" ht="27.6">
      <c r="A21" s="5" t="s">
        <v>992</v>
      </c>
      <c r="B21" s="5" t="s">
        <v>969</v>
      </c>
      <c r="C21" s="5" t="s">
        <v>683</v>
      </c>
      <c r="D21" s="5" t="s">
        <v>970</v>
      </c>
      <c r="E21" s="5" t="s">
        <v>983</v>
      </c>
      <c r="F21" s="5">
        <v>10</v>
      </c>
      <c r="G21" s="5">
        <v>869675675</v>
      </c>
      <c r="H21" s="5" t="s">
        <v>665</v>
      </c>
      <c r="I21" s="5" t="s">
        <v>25</v>
      </c>
      <c r="J21" s="5"/>
      <c r="K21" s="5"/>
      <c r="L21" s="5"/>
      <c r="M21" s="5" t="s">
        <v>41</v>
      </c>
      <c r="N21" s="5" t="s">
        <v>972</v>
      </c>
      <c r="O21" s="5" t="s">
        <v>972</v>
      </c>
      <c r="P21" s="5" t="s">
        <v>40</v>
      </c>
      <c r="Q21" s="5"/>
    </row>
    <row r="22" spans="1:17" ht="27.6">
      <c r="A22" s="5" t="s">
        <v>993</v>
      </c>
      <c r="B22" s="5" t="s">
        <v>969</v>
      </c>
      <c r="C22" s="5" t="s">
        <v>683</v>
      </c>
      <c r="D22" s="5" t="s">
        <v>970</v>
      </c>
      <c r="E22" s="5" t="s">
        <v>994</v>
      </c>
      <c r="F22" s="5">
        <v>1</v>
      </c>
      <c r="G22" s="5">
        <v>204886845</v>
      </c>
      <c r="H22" s="5" t="s">
        <v>665</v>
      </c>
      <c r="I22" s="5" t="s">
        <v>25</v>
      </c>
      <c r="J22" s="5"/>
      <c r="K22" s="5"/>
      <c r="L22" s="5"/>
      <c r="M22" s="5" t="s">
        <v>41</v>
      </c>
      <c r="N22" s="5" t="s">
        <v>972</v>
      </c>
      <c r="O22" s="5" t="s">
        <v>972</v>
      </c>
      <c r="P22" s="5" t="s">
        <v>40</v>
      </c>
      <c r="Q22" s="5"/>
    </row>
    <row r="23" spans="1:17" ht="27.6">
      <c r="A23" s="5" t="s">
        <v>995</v>
      </c>
      <c r="B23" s="5" t="s">
        <v>969</v>
      </c>
      <c r="C23" s="5" t="s">
        <v>683</v>
      </c>
      <c r="D23" s="5" t="s">
        <v>970</v>
      </c>
      <c r="E23" s="5" t="s">
        <v>994</v>
      </c>
      <c r="F23" s="5">
        <v>2</v>
      </c>
      <c r="G23" s="5">
        <v>1480646854</v>
      </c>
      <c r="H23" s="5" t="s">
        <v>665</v>
      </c>
      <c r="I23" s="5" t="s">
        <v>25</v>
      </c>
      <c r="J23" s="5"/>
      <c r="K23" s="5"/>
      <c r="L23" s="5"/>
      <c r="M23" s="5" t="s">
        <v>41</v>
      </c>
      <c r="N23" s="5" t="s">
        <v>972</v>
      </c>
      <c r="O23" s="5" t="s">
        <v>972</v>
      </c>
      <c r="P23" s="5" t="s">
        <v>40</v>
      </c>
      <c r="Q23" s="5"/>
    </row>
    <row r="24" spans="1:17" ht="27.6">
      <c r="A24" s="5" t="s">
        <v>996</v>
      </c>
      <c r="B24" s="5" t="s">
        <v>969</v>
      </c>
      <c r="C24" s="5" t="s">
        <v>683</v>
      </c>
      <c r="D24" s="5" t="s">
        <v>970</v>
      </c>
      <c r="E24" s="5" t="s">
        <v>994</v>
      </c>
      <c r="F24" s="5">
        <v>3</v>
      </c>
      <c r="G24" s="5">
        <v>1798418854</v>
      </c>
      <c r="H24" s="5" t="s">
        <v>665</v>
      </c>
      <c r="I24" s="5" t="s">
        <v>25</v>
      </c>
      <c r="J24" s="5"/>
      <c r="K24" s="5"/>
      <c r="L24" s="5"/>
      <c r="M24" s="5" t="s">
        <v>41</v>
      </c>
      <c r="N24" s="5" t="s">
        <v>972</v>
      </c>
      <c r="O24" s="5" t="s">
        <v>972</v>
      </c>
      <c r="P24" s="5" t="s">
        <v>40</v>
      </c>
      <c r="Q24" s="5"/>
    </row>
    <row r="25" spans="1:17" ht="27.6">
      <c r="A25" s="5" t="s">
        <v>997</v>
      </c>
      <c r="B25" s="5" t="s">
        <v>969</v>
      </c>
      <c r="C25" s="5" t="s">
        <v>683</v>
      </c>
      <c r="D25" s="5" t="s">
        <v>970</v>
      </c>
      <c r="E25" s="5" t="s">
        <v>994</v>
      </c>
      <c r="F25" s="5">
        <v>4</v>
      </c>
      <c r="G25" s="5">
        <v>2045683682</v>
      </c>
      <c r="H25" s="5" t="s">
        <v>665</v>
      </c>
      <c r="I25" s="5" t="s">
        <v>25</v>
      </c>
      <c r="J25" s="5"/>
      <c r="K25" s="5"/>
      <c r="L25" s="5"/>
      <c r="M25" s="5" t="s">
        <v>41</v>
      </c>
      <c r="N25" s="5" t="s">
        <v>972</v>
      </c>
      <c r="O25" s="5" t="s">
        <v>972</v>
      </c>
      <c r="P25" s="5" t="s">
        <v>40</v>
      </c>
      <c r="Q25" s="5"/>
    </row>
    <row r="26" spans="1:17" ht="27.6">
      <c r="A26" s="5" t="s">
        <v>998</v>
      </c>
      <c r="B26" s="5" t="s">
        <v>969</v>
      </c>
      <c r="C26" s="5" t="s">
        <v>683</v>
      </c>
      <c r="D26" s="5" t="s">
        <v>970</v>
      </c>
      <c r="E26" s="5" t="s">
        <v>994</v>
      </c>
      <c r="F26" s="5">
        <v>5</v>
      </c>
      <c r="G26" s="5">
        <v>1814859839</v>
      </c>
      <c r="H26" s="5" t="s">
        <v>665</v>
      </c>
      <c r="I26" s="5" t="s">
        <v>25</v>
      </c>
      <c r="J26" s="5"/>
      <c r="K26" s="5"/>
      <c r="L26" s="5"/>
      <c r="M26" s="5" t="s">
        <v>41</v>
      </c>
      <c r="N26" s="5" t="s">
        <v>972</v>
      </c>
      <c r="O26" s="5" t="s">
        <v>972</v>
      </c>
      <c r="P26" s="5" t="s">
        <v>40</v>
      </c>
      <c r="Q26" s="5"/>
    </row>
    <row r="27" spans="1:17" ht="27.6">
      <c r="A27" s="5" t="s">
        <v>999</v>
      </c>
      <c r="B27" s="5" t="s">
        <v>969</v>
      </c>
      <c r="C27" s="5" t="s">
        <v>683</v>
      </c>
      <c r="D27" s="5" t="s">
        <v>970</v>
      </c>
      <c r="E27" s="5" t="s">
        <v>994</v>
      </c>
      <c r="F27" s="5">
        <v>6</v>
      </c>
      <c r="G27" s="5">
        <v>1603952859</v>
      </c>
      <c r="H27" s="5" t="s">
        <v>665</v>
      </c>
      <c r="I27" s="5" t="s">
        <v>25</v>
      </c>
      <c r="J27" s="5"/>
      <c r="K27" s="5"/>
      <c r="L27" s="5"/>
      <c r="M27" s="5" t="s">
        <v>41</v>
      </c>
      <c r="N27" s="5" t="s">
        <v>972</v>
      </c>
      <c r="O27" s="5" t="s">
        <v>972</v>
      </c>
      <c r="P27" s="5" t="s">
        <v>40</v>
      </c>
      <c r="Q27" s="5"/>
    </row>
    <row r="28" spans="1:17" ht="27.6">
      <c r="A28" s="5" t="s">
        <v>1000</v>
      </c>
      <c r="B28" s="5" t="s">
        <v>969</v>
      </c>
      <c r="C28" s="5" t="s">
        <v>683</v>
      </c>
      <c r="D28" s="5" t="s">
        <v>970</v>
      </c>
      <c r="E28" s="5" t="s">
        <v>994</v>
      </c>
      <c r="F28" s="5">
        <v>7</v>
      </c>
      <c r="G28" s="5">
        <v>1878351743</v>
      </c>
      <c r="H28" s="5" t="s">
        <v>665</v>
      </c>
      <c r="I28" s="5" t="s">
        <v>25</v>
      </c>
      <c r="J28" s="5"/>
      <c r="K28" s="5"/>
      <c r="L28" s="5"/>
      <c r="M28" s="5" t="s">
        <v>41</v>
      </c>
      <c r="N28" s="5" t="s">
        <v>972</v>
      </c>
      <c r="O28" s="5" t="s">
        <v>972</v>
      </c>
      <c r="P28" s="5" t="s">
        <v>40</v>
      </c>
      <c r="Q28" s="5"/>
    </row>
    <row r="29" spans="1:17" ht="27.6">
      <c r="A29" s="5" t="s">
        <v>1001</v>
      </c>
      <c r="B29" s="5" t="s">
        <v>969</v>
      </c>
      <c r="C29" s="5" t="s">
        <v>683</v>
      </c>
      <c r="D29" s="5" t="s">
        <v>970</v>
      </c>
      <c r="E29" s="5" t="s">
        <v>994</v>
      </c>
      <c r="F29" s="5">
        <v>8</v>
      </c>
      <c r="G29" s="5">
        <v>875651179</v>
      </c>
      <c r="H29" s="5" t="s">
        <v>665</v>
      </c>
      <c r="I29" s="5" t="s">
        <v>25</v>
      </c>
      <c r="J29" s="5"/>
      <c r="K29" s="5"/>
      <c r="L29" s="5"/>
      <c r="M29" s="5" t="s">
        <v>41</v>
      </c>
      <c r="N29" s="5" t="s">
        <v>972</v>
      </c>
      <c r="O29" s="5" t="s">
        <v>972</v>
      </c>
      <c r="P29" s="5" t="s">
        <v>40</v>
      </c>
      <c r="Q29" s="5"/>
    </row>
    <row r="30" spans="1:17" ht="27.6">
      <c r="A30" s="5" t="s">
        <v>1002</v>
      </c>
      <c r="B30" s="5" t="s">
        <v>969</v>
      </c>
      <c r="C30" s="5" t="s">
        <v>683</v>
      </c>
      <c r="D30" s="5" t="s">
        <v>970</v>
      </c>
      <c r="E30" s="5" t="s">
        <v>994</v>
      </c>
      <c r="F30" s="5">
        <v>9</v>
      </c>
      <c r="G30" s="5">
        <v>477581743</v>
      </c>
      <c r="H30" s="5" t="s">
        <v>665</v>
      </c>
      <c r="I30" s="5" t="s">
        <v>25</v>
      </c>
      <c r="J30" s="5"/>
      <c r="K30" s="5"/>
      <c r="L30" s="5"/>
      <c r="M30" s="5" t="s">
        <v>41</v>
      </c>
      <c r="N30" s="5" t="s">
        <v>972</v>
      </c>
      <c r="O30" s="5" t="s">
        <v>972</v>
      </c>
      <c r="P30" s="5" t="s">
        <v>40</v>
      </c>
      <c r="Q30" s="5"/>
    </row>
    <row r="31" spans="1:17" ht="27.6">
      <c r="A31" s="5" t="s">
        <v>1003</v>
      </c>
      <c r="B31" s="5" t="s">
        <v>969</v>
      </c>
      <c r="C31" s="5" t="s">
        <v>683</v>
      </c>
      <c r="D31" s="5" t="s">
        <v>970</v>
      </c>
      <c r="E31" s="5" t="s">
        <v>994</v>
      </c>
      <c r="F31" s="5">
        <v>10</v>
      </c>
      <c r="G31" s="5">
        <v>869675675</v>
      </c>
      <c r="H31" s="5" t="s">
        <v>665</v>
      </c>
      <c r="I31" s="5" t="s">
        <v>25</v>
      </c>
      <c r="J31" s="5"/>
      <c r="K31" s="5"/>
      <c r="L31" s="5"/>
      <c r="M31" s="5" t="s">
        <v>41</v>
      </c>
      <c r="N31" s="5" t="s">
        <v>972</v>
      </c>
      <c r="O31" s="5" t="s">
        <v>972</v>
      </c>
      <c r="P31" s="5" t="s">
        <v>40</v>
      </c>
      <c r="Q31" s="5"/>
    </row>
    <row r="32" spans="1:17" ht="27.6">
      <c r="A32" s="5" t="s">
        <v>1004</v>
      </c>
      <c r="B32" s="5" t="s">
        <v>969</v>
      </c>
      <c r="C32" s="5" t="s">
        <v>683</v>
      </c>
      <c r="D32" s="5" t="s">
        <v>970</v>
      </c>
      <c r="E32" s="5" t="s">
        <v>1005</v>
      </c>
      <c r="F32" s="5">
        <v>1</v>
      </c>
      <c r="G32" s="5">
        <v>204886845</v>
      </c>
      <c r="H32" s="5" t="s">
        <v>665</v>
      </c>
      <c r="I32" s="5" t="s">
        <v>25</v>
      </c>
      <c r="J32" s="5"/>
      <c r="K32" s="5"/>
      <c r="L32" s="5"/>
      <c r="M32" s="5" t="s">
        <v>41</v>
      </c>
      <c r="N32" s="5" t="s">
        <v>972</v>
      </c>
      <c r="O32" s="5" t="s">
        <v>972</v>
      </c>
      <c r="P32" s="5" t="s">
        <v>40</v>
      </c>
      <c r="Q32" s="5"/>
    </row>
    <row r="33" spans="1:17" ht="27.6">
      <c r="A33" s="5" t="s">
        <v>1006</v>
      </c>
      <c r="B33" s="5" t="s">
        <v>969</v>
      </c>
      <c r="C33" s="5" t="s">
        <v>683</v>
      </c>
      <c r="D33" s="5" t="s">
        <v>970</v>
      </c>
      <c r="E33" s="5" t="s">
        <v>1005</v>
      </c>
      <c r="F33" s="5">
        <v>2</v>
      </c>
      <c r="G33" s="5">
        <v>1480646854</v>
      </c>
      <c r="H33" s="5" t="s">
        <v>665</v>
      </c>
      <c r="I33" s="5" t="s">
        <v>25</v>
      </c>
      <c r="J33" s="5"/>
      <c r="K33" s="5"/>
      <c r="L33" s="5"/>
      <c r="M33" s="5" t="s">
        <v>41</v>
      </c>
      <c r="N33" s="5" t="s">
        <v>972</v>
      </c>
      <c r="O33" s="5" t="s">
        <v>972</v>
      </c>
      <c r="P33" s="5" t="s">
        <v>40</v>
      </c>
      <c r="Q33" s="5"/>
    </row>
    <row r="34" spans="1:17" ht="27.6">
      <c r="A34" s="5" t="s">
        <v>1007</v>
      </c>
      <c r="B34" s="5" t="s">
        <v>969</v>
      </c>
      <c r="C34" s="5" t="s">
        <v>683</v>
      </c>
      <c r="D34" s="5" t="s">
        <v>970</v>
      </c>
      <c r="E34" s="5" t="s">
        <v>1005</v>
      </c>
      <c r="F34" s="5">
        <v>3</v>
      </c>
      <c r="G34" s="5">
        <v>1798418854</v>
      </c>
      <c r="H34" s="5" t="s">
        <v>665</v>
      </c>
      <c r="I34" s="5" t="s">
        <v>25</v>
      </c>
      <c r="J34" s="5"/>
      <c r="K34" s="5"/>
      <c r="L34" s="5"/>
      <c r="M34" s="5" t="s">
        <v>41</v>
      </c>
      <c r="N34" s="5" t="s">
        <v>972</v>
      </c>
      <c r="O34" s="5" t="s">
        <v>972</v>
      </c>
      <c r="P34" s="5" t="s">
        <v>40</v>
      </c>
      <c r="Q34" s="5"/>
    </row>
    <row r="35" spans="1:17" ht="27.6">
      <c r="A35" s="5" t="s">
        <v>1008</v>
      </c>
      <c r="B35" s="5" t="s">
        <v>969</v>
      </c>
      <c r="C35" s="5" t="s">
        <v>683</v>
      </c>
      <c r="D35" s="5" t="s">
        <v>970</v>
      </c>
      <c r="E35" s="5" t="s">
        <v>1005</v>
      </c>
      <c r="F35" s="5">
        <v>4</v>
      </c>
      <c r="G35" s="5">
        <v>2045683682</v>
      </c>
      <c r="H35" s="5" t="s">
        <v>665</v>
      </c>
      <c r="I35" s="5" t="s">
        <v>25</v>
      </c>
      <c r="J35" s="5"/>
      <c r="K35" s="5"/>
      <c r="L35" s="5"/>
      <c r="M35" s="5" t="s">
        <v>41</v>
      </c>
      <c r="N35" s="5" t="s">
        <v>972</v>
      </c>
      <c r="O35" s="5" t="s">
        <v>972</v>
      </c>
      <c r="P35" s="5" t="s">
        <v>40</v>
      </c>
      <c r="Q35" s="5"/>
    </row>
    <row r="36" spans="1:17" ht="27.6">
      <c r="A36" s="5" t="s">
        <v>1009</v>
      </c>
      <c r="B36" s="5" t="s">
        <v>969</v>
      </c>
      <c r="C36" s="5" t="s">
        <v>683</v>
      </c>
      <c r="D36" s="5" t="s">
        <v>970</v>
      </c>
      <c r="E36" s="5" t="s">
        <v>1005</v>
      </c>
      <c r="F36" s="5">
        <v>5</v>
      </c>
      <c r="G36" s="5">
        <v>1814859839</v>
      </c>
      <c r="H36" s="5" t="s">
        <v>665</v>
      </c>
      <c r="I36" s="5" t="s">
        <v>25</v>
      </c>
      <c r="J36" s="5"/>
      <c r="K36" s="5"/>
      <c r="L36" s="5"/>
      <c r="M36" s="5" t="s">
        <v>41</v>
      </c>
      <c r="N36" s="5" t="s">
        <v>972</v>
      </c>
      <c r="O36" s="5" t="s">
        <v>972</v>
      </c>
      <c r="P36" s="5" t="s">
        <v>40</v>
      </c>
      <c r="Q36" s="5"/>
    </row>
    <row r="37" spans="1:17" ht="27.6">
      <c r="A37" s="5" t="s">
        <v>1010</v>
      </c>
      <c r="B37" s="5" t="s">
        <v>969</v>
      </c>
      <c r="C37" s="5" t="s">
        <v>683</v>
      </c>
      <c r="D37" s="5" t="s">
        <v>970</v>
      </c>
      <c r="E37" s="5" t="s">
        <v>1005</v>
      </c>
      <c r="F37" s="5">
        <v>6</v>
      </c>
      <c r="G37" s="5">
        <v>1603952859</v>
      </c>
      <c r="H37" s="5" t="s">
        <v>665</v>
      </c>
      <c r="I37" s="5" t="s">
        <v>25</v>
      </c>
      <c r="J37" s="5"/>
      <c r="K37" s="5"/>
      <c r="L37" s="5"/>
      <c r="M37" s="5" t="s">
        <v>41</v>
      </c>
      <c r="N37" s="5" t="s">
        <v>972</v>
      </c>
      <c r="O37" s="5" t="s">
        <v>972</v>
      </c>
      <c r="P37" s="5" t="s">
        <v>40</v>
      </c>
      <c r="Q37" s="5"/>
    </row>
    <row r="38" spans="1:17" ht="27.6">
      <c r="A38" s="5" t="s">
        <v>1011</v>
      </c>
      <c r="B38" s="5" t="s">
        <v>969</v>
      </c>
      <c r="C38" s="5" t="s">
        <v>683</v>
      </c>
      <c r="D38" s="5" t="s">
        <v>970</v>
      </c>
      <c r="E38" s="5" t="s">
        <v>1005</v>
      </c>
      <c r="F38" s="5">
        <v>7</v>
      </c>
      <c r="G38" s="5">
        <v>1878351743</v>
      </c>
      <c r="H38" s="5" t="s">
        <v>665</v>
      </c>
      <c r="I38" s="5" t="s">
        <v>25</v>
      </c>
      <c r="J38" s="5"/>
      <c r="K38" s="5"/>
      <c r="L38" s="5"/>
      <c r="M38" s="5" t="s">
        <v>41</v>
      </c>
      <c r="N38" s="5" t="s">
        <v>972</v>
      </c>
      <c r="O38" s="5" t="s">
        <v>972</v>
      </c>
      <c r="P38" s="5" t="s">
        <v>40</v>
      </c>
      <c r="Q38" s="5"/>
    </row>
    <row r="39" spans="1:17" ht="27.6">
      <c r="A39" s="5" t="s">
        <v>1012</v>
      </c>
      <c r="B39" s="5" t="s">
        <v>969</v>
      </c>
      <c r="C39" s="5" t="s">
        <v>683</v>
      </c>
      <c r="D39" s="5" t="s">
        <v>970</v>
      </c>
      <c r="E39" s="5" t="s">
        <v>1005</v>
      </c>
      <c r="F39" s="5">
        <v>8</v>
      </c>
      <c r="G39" s="5">
        <v>875651179</v>
      </c>
      <c r="H39" s="5" t="s">
        <v>665</v>
      </c>
      <c r="I39" s="5" t="s">
        <v>25</v>
      </c>
      <c r="J39" s="5"/>
      <c r="K39" s="5"/>
      <c r="L39" s="5"/>
      <c r="M39" s="5" t="s">
        <v>41</v>
      </c>
      <c r="N39" s="5" t="s">
        <v>972</v>
      </c>
      <c r="O39" s="5" t="s">
        <v>972</v>
      </c>
      <c r="P39" s="5" t="s">
        <v>40</v>
      </c>
      <c r="Q39" s="5"/>
    </row>
    <row r="40" spans="1:17" ht="27.6">
      <c r="A40" s="5" t="s">
        <v>1013</v>
      </c>
      <c r="B40" s="5" t="s">
        <v>969</v>
      </c>
      <c r="C40" s="5" t="s">
        <v>683</v>
      </c>
      <c r="D40" s="5" t="s">
        <v>970</v>
      </c>
      <c r="E40" s="5" t="s">
        <v>1005</v>
      </c>
      <c r="F40" s="5">
        <v>9</v>
      </c>
      <c r="G40" s="5">
        <v>477581743</v>
      </c>
      <c r="H40" s="5" t="s">
        <v>665</v>
      </c>
      <c r="I40" s="5" t="s">
        <v>25</v>
      </c>
      <c r="J40" s="5"/>
      <c r="K40" s="5"/>
      <c r="L40" s="5"/>
      <c r="M40" s="5" t="s">
        <v>41</v>
      </c>
      <c r="N40" s="5" t="s">
        <v>972</v>
      </c>
      <c r="O40" s="5" t="s">
        <v>972</v>
      </c>
      <c r="P40" s="5" t="s">
        <v>40</v>
      </c>
      <c r="Q40" s="5"/>
    </row>
    <row r="41" spans="1:17" ht="27.6">
      <c r="A41" s="5" t="s">
        <v>1014</v>
      </c>
      <c r="B41" s="5" t="s">
        <v>969</v>
      </c>
      <c r="C41" s="5" t="s">
        <v>683</v>
      </c>
      <c r="D41" s="5" t="s">
        <v>970</v>
      </c>
      <c r="E41" s="5" t="s">
        <v>1005</v>
      </c>
      <c r="F41" s="5">
        <v>10</v>
      </c>
      <c r="G41" s="5">
        <v>869675675</v>
      </c>
      <c r="H41" s="5" t="s">
        <v>665</v>
      </c>
      <c r="I41" s="5" t="s">
        <v>25</v>
      </c>
      <c r="J41" s="5"/>
      <c r="K41" s="5"/>
      <c r="L41" s="5"/>
      <c r="M41" s="5" t="s">
        <v>41</v>
      </c>
      <c r="N41" s="5" t="s">
        <v>972</v>
      </c>
      <c r="O41" s="5" t="s">
        <v>972</v>
      </c>
      <c r="P41" s="5" t="s">
        <v>40</v>
      </c>
      <c r="Q41" s="5"/>
    </row>
    <row r="42" spans="1:17" ht="27.6">
      <c r="A42" s="5" t="s">
        <v>1015</v>
      </c>
      <c r="B42" s="5" t="s">
        <v>969</v>
      </c>
      <c r="C42" s="5" t="s">
        <v>683</v>
      </c>
      <c r="D42" s="5" t="s">
        <v>1016</v>
      </c>
      <c r="E42" s="5" t="s">
        <v>971</v>
      </c>
      <c r="F42" s="5">
        <v>1</v>
      </c>
      <c r="G42" s="5">
        <v>204886845</v>
      </c>
      <c r="H42" s="5" t="s">
        <v>665</v>
      </c>
      <c r="I42" s="5" t="s">
        <v>25</v>
      </c>
      <c r="J42" s="5"/>
      <c r="K42" s="5"/>
      <c r="L42" s="5"/>
      <c r="M42" s="5" t="s">
        <v>41</v>
      </c>
      <c r="N42" s="5" t="s">
        <v>972</v>
      </c>
      <c r="O42" s="5" t="s">
        <v>972</v>
      </c>
      <c r="P42" s="5" t="s">
        <v>40</v>
      </c>
      <c r="Q42" s="5"/>
    </row>
    <row r="43" spans="1:17" ht="27.6">
      <c r="A43" s="5" t="s">
        <v>1017</v>
      </c>
      <c r="B43" s="5" t="s">
        <v>969</v>
      </c>
      <c r="C43" s="5" t="s">
        <v>683</v>
      </c>
      <c r="D43" s="5" t="s">
        <v>1016</v>
      </c>
      <c r="E43" s="5" t="s">
        <v>971</v>
      </c>
      <c r="F43" s="5">
        <v>2</v>
      </c>
      <c r="G43" s="5">
        <v>1480646854</v>
      </c>
      <c r="H43" s="5" t="s">
        <v>665</v>
      </c>
      <c r="I43" s="5" t="s">
        <v>25</v>
      </c>
      <c r="J43" s="5"/>
      <c r="K43" s="5"/>
      <c r="L43" s="5"/>
      <c r="M43" s="5" t="s">
        <v>41</v>
      </c>
      <c r="N43" s="5" t="s">
        <v>972</v>
      </c>
      <c r="O43" s="5" t="s">
        <v>972</v>
      </c>
      <c r="P43" s="5" t="s">
        <v>40</v>
      </c>
      <c r="Q43" s="5"/>
    </row>
    <row r="44" spans="1:17" ht="27.6">
      <c r="A44" s="5" t="s">
        <v>1018</v>
      </c>
      <c r="B44" s="5" t="s">
        <v>969</v>
      </c>
      <c r="C44" s="5" t="s">
        <v>683</v>
      </c>
      <c r="D44" s="5" t="s">
        <v>1016</v>
      </c>
      <c r="E44" s="5" t="s">
        <v>971</v>
      </c>
      <c r="F44" s="5">
        <v>3</v>
      </c>
      <c r="G44" s="5">
        <v>1798418854</v>
      </c>
      <c r="H44" s="5" t="s">
        <v>665</v>
      </c>
      <c r="I44" s="5" t="s">
        <v>25</v>
      </c>
      <c r="J44" s="5"/>
      <c r="K44" s="5"/>
      <c r="L44" s="5"/>
      <c r="M44" s="5" t="s">
        <v>41</v>
      </c>
      <c r="N44" s="5" t="s">
        <v>972</v>
      </c>
      <c r="O44" s="5" t="s">
        <v>972</v>
      </c>
      <c r="P44" s="5" t="s">
        <v>40</v>
      </c>
      <c r="Q44" s="5"/>
    </row>
    <row r="45" spans="1:17" ht="27.6">
      <c r="A45" s="5" t="s">
        <v>1019</v>
      </c>
      <c r="B45" s="5" t="s">
        <v>969</v>
      </c>
      <c r="C45" s="5" t="s">
        <v>683</v>
      </c>
      <c r="D45" s="5" t="s">
        <v>1016</v>
      </c>
      <c r="E45" s="5" t="s">
        <v>971</v>
      </c>
      <c r="F45" s="5">
        <v>4</v>
      </c>
      <c r="G45" s="5">
        <v>2045683682</v>
      </c>
      <c r="H45" s="5" t="s">
        <v>665</v>
      </c>
      <c r="I45" s="5" t="s">
        <v>25</v>
      </c>
      <c r="J45" s="5"/>
      <c r="K45" s="5"/>
      <c r="L45" s="5"/>
      <c r="M45" s="5" t="s">
        <v>41</v>
      </c>
      <c r="N45" s="5" t="s">
        <v>972</v>
      </c>
      <c r="O45" s="5" t="s">
        <v>972</v>
      </c>
      <c r="P45" s="5" t="s">
        <v>40</v>
      </c>
      <c r="Q45" s="5"/>
    </row>
    <row r="46" spans="1:17" ht="27.6">
      <c r="A46" s="5" t="s">
        <v>1020</v>
      </c>
      <c r="B46" s="5" t="s">
        <v>969</v>
      </c>
      <c r="C46" s="5" t="s">
        <v>683</v>
      </c>
      <c r="D46" s="5" t="s">
        <v>1016</v>
      </c>
      <c r="E46" s="5" t="s">
        <v>971</v>
      </c>
      <c r="F46" s="5">
        <v>5</v>
      </c>
      <c r="G46" s="5">
        <v>1814859839</v>
      </c>
      <c r="H46" s="5" t="s">
        <v>665</v>
      </c>
      <c r="I46" s="5" t="s">
        <v>25</v>
      </c>
      <c r="J46" s="5"/>
      <c r="K46" s="5"/>
      <c r="L46" s="5"/>
      <c r="M46" s="5" t="s">
        <v>41</v>
      </c>
      <c r="N46" s="5" t="s">
        <v>972</v>
      </c>
      <c r="O46" s="5" t="s">
        <v>972</v>
      </c>
      <c r="P46" s="5" t="s">
        <v>40</v>
      </c>
      <c r="Q46" s="5"/>
    </row>
    <row r="47" spans="1:17" ht="27.6">
      <c r="A47" s="5" t="s">
        <v>1021</v>
      </c>
      <c r="B47" s="5" t="s">
        <v>969</v>
      </c>
      <c r="C47" s="5" t="s">
        <v>683</v>
      </c>
      <c r="D47" s="5" t="s">
        <v>1016</v>
      </c>
      <c r="E47" s="5" t="s">
        <v>971</v>
      </c>
      <c r="F47" s="5">
        <v>6</v>
      </c>
      <c r="G47" s="5">
        <v>1603952859</v>
      </c>
      <c r="H47" s="5" t="s">
        <v>665</v>
      </c>
      <c r="I47" s="5" t="s">
        <v>25</v>
      </c>
      <c r="J47" s="5"/>
      <c r="K47" s="5"/>
      <c r="L47" s="5"/>
      <c r="M47" s="5" t="s">
        <v>41</v>
      </c>
      <c r="N47" s="5" t="s">
        <v>972</v>
      </c>
      <c r="O47" s="5" t="s">
        <v>972</v>
      </c>
      <c r="P47" s="5" t="s">
        <v>40</v>
      </c>
      <c r="Q47" s="5"/>
    </row>
    <row r="48" spans="1:17" ht="27.6">
      <c r="A48" s="5" t="s">
        <v>1022</v>
      </c>
      <c r="B48" s="5" t="s">
        <v>969</v>
      </c>
      <c r="C48" s="5" t="s">
        <v>683</v>
      </c>
      <c r="D48" s="5" t="s">
        <v>1016</v>
      </c>
      <c r="E48" s="5" t="s">
        <v>971</v>
      </c>
      <c r="F48" s="5">
        <v>7</v>
      </c>
      <c r="G48" s="5">
        <v>1878351743</v>
      </c>
      <c r="H48" s="5" t="s">
        <v>665</v>
      </c>
      <c r="I48" s="5" t="s">
        <v>25</v>
      </c>
      <c r="J48" s="5"/>
      <c r="K48" s="5"/>
      <c r="L48" s="5"/>
      <c r="M48" s="5" t="s">
        <v>41</v>
      </c>
      <c r="N48" s="5" t="s">
        <v>972</v>
      </c>
      <c r="O48" s="5" t="s">
        <v>972</v>
      </c>
      <c r="P48" s="5" t="s">
        <v>40</v>
      </c>
      <c r="Q48" s="5"/>
    </row>
    <row r="49" spans="1:17" ht="27.6">
      <c r="A49" s="5" t="s">
        <v>1023</v>
      </c>
      <c r="B49" s="5" t="s">
        <v>969</v>
      </c>
      <c r="C49" s="5" t="s">
        <v>683</v>
      </c>
      <c r="D49" s="5" t="s">
        <v>1016</v>
      </c>
      <c r="E49" s="5" t="s">
        <v>971</v>
      </c>
      <c r="F49" s="5">
        <v>8</v>
      </c>
      <c r="G49" s="5">
        <v>875651179</v>
      </c>
      <c r="H49" s="5" t="s">
        <v>665</v>
      </c>
      <c r="I49" s="5" t="s">
        <v>25</v>
      </c>
      <c r="J49" s="5"/>
      <c r="K49" s="5"/>
      <c r="L49" s="5"/>
      <c r="M49" s="5" t="s">
        <v>41</v>
      </c>
      <c r="N49" s="5" t="s">
        <v>972</v>
      </c>
      <c r="O49" s="5" t="s">
        <v>972</v>
      </c>
      <c r="P49" s="5" t="s">
        <v>40</v>
      </c>
      <c r="Q49" s="5"/>
    </row>
    <row r="50" spans="1:17" ht="27.6">
      <c r="A50" s="5" t="s">
        <v>1024</v>
      </c>
      <c r="B50" s="5" t="s">
        <v>969</v>
      </c>
      <c r="C50" s="5" t="s">
        <v>683</v>
      </c>
      <c r="D50" s="5" t="s">
        <v>1016</v>
      </c>
      <c r="E50" s="5" t="s">
        <v>971</v>
      </c>
      <c r="F50" s="5">
        <v>9</v>
      </c>
      <c r="G50" s="5">
        <v>477581743</v>
      </c>
      <c r="H50" s="5" t="s">
        <v>665</v>
      </c>
      <c r="I50" s="5" t="s">
        <v>25</v>
      </c>
      <c r="J50" s="5"/>
      <c r="K50" s="5"/>
      <c r="L50" s="5"/>
      <c r="M50" s="5" t="s">
        <v>41</v>
      </c>
      <c r="N50" s="5" t="s">
        <v>972</v>
      </c>
      <c r="O50" s="5" t="s">
        <v>972</v>
      </c>
      <c r="P50" s="5" t="s">
        <v>40</v>
      </c>
      <c r="Q50" s="5"/>
    </row>
    <row r="51" spans="1:17" ht="27.6">
      <c r="A51" s="5" t="s">
        <v>1025</v>
      </c>
      <c r="B51" s="5" t="s">
        <v>969</v>
      </c>
      <c r="C51" s="5" t="s">
        <v>683</v>
      </c>
      <c r="D51" s="5" t="s">
        <v>1016</v>
      </c>
      <c r="E51" s="5" t="s">
        <v>971</v>
      </c>
      <c r="F51" s="5">
        <v>10</v>
      </c>
      <c r="G51" s="5">
        <v>869675675</v>
      </c>
      <c r="H51" s="5" t="s">
        <v>665</v>
      </c>
      <c r="I51" s="5" t="s">
        <v>25</v>
      </c>
      <c r="J51" s="5"/>
      <c r="K51" s="5"/>
      <c r="L51" s="5"/>
      <c r="M51" s="5" t="s">
        <v>41</v>
      </c>
      <c r="N51" s="5" t="s">
        <v>972</v>
      </c>
      <c r="O51" s="5" t="s">
        <v>972</v>
      </c>
      <c r="P51" s="5" t="s">
        <v>40</v>
      </c>
      <c r="Q51" s="5"/>
    </row>
    <row r="52" spans="1:17" ht="27.6">
      <c r="A52" s="5" t="s">
        <v>1026</v>
      </c>
      <c r="B52" s="5" t="s">
        <v>969</v>
      </c>
      <c r="C52" s="5" t="s">
        <v>683</v>
      </c>
      <c r="D52" s="5" t="s">
        <v>1016</v>
      </c>
      <c r="E52" s="5" t="s">
        <v>983</v>
      </c>
      <c r="F52" s="5">
        <v>1</v>
      </c>
      <c r="G52" s="5">
        <v>204886845</v>
      </c>
      <c r="H52" s="5" t="s">
        <v>665</v>
      </c>
      <c r="I52" s="5" t="s">
        <v>25</v>
      </c>
      <c r="J52" s="5"/>
      <c r="K52" s="5"/>
      <c r="L52" s="5"/>
      <c r="M52" s="5" t="s">
        <v>41</v>
      </c>
      <c r="N52" s="5" t="s">
        <v>972</v>
      </c>
      <c r="O52" s="5" t="s">
        <v>972</v>
      </c>
      <c r="P52" s="5" t="s">
        <v>40</v>
      </c>
      <c r="Q52" s="5"/>
    </row>
    <row r="53" spans="1:17" ht="27.6">
      <c r="A53" s="5" t="s">
        <v>1027</v>
      </c>
      <c r="B53" s="5" t="s">
        <v>969</v>
      </c>
      <c r="C53" s="5" t="s">
        <v>683</v>
      </c>
      <c r="D53" s="5" t="s">
        <v>1016</v>
      </c>
      <c r="E53" s="5" t="s">
        <v>983</v>
      </c>
      <c r="F53" s="5">
        <v>2</v>
      </c>
      <c r="G53" s="5">
        <v>1480646854</v>
      </c>
      <c r="H53" s="5" t="s">
        <v>665</v>
      </c>
      <c r="I53" s="5" t="s">
        <v>25</v>
      </c>
      <c r="J53" s="5"/>
      <c r="K53" s="5"/>
      <c r="L53" s="5"/>
      <c r="M53" s="5" t="s">
        <v>41</v>
      </c>
      <c r="N53" s="5" t="s">
        <v>972</v>
      </c>
      <c r="O53" s="5" t="s">
        <v>972</v>
      </c>
      <c r="P53" s="5" t="s">
        <v>40</v>
      </c>
      <c r="Q53" s="5"/>
    </row>
    <row r="54" spans="1:17" ht="27.6">
      <c r="A54" s="5" t="s">
        <v>1028</v>
      </c>
      <c r="B54" s="5" t="s">
        <v>969</v>
      </c>
      <c r="C54" s="5" t="s">
        <v>683</v>
      </c>
      <c r="D54" s="5" t="s">
        <v>1016</v>
      </c>
      <c r="E54" s="5" t="s">
        <v>983</v>
      </c>
      <c r="F54" s="5">
        <v>3</v>
      </c>
      <c r="G54" s="5">
        <v>1798418854</v>
      </c>
      <c r="H54" s="5" t="s">
        <v>665</v>
      </c>
      <c r="I54" s="5" t="s">
        <v>25</v>
      </c>
      <c r="J54" s="5"/>
      <c r="K54" s="5"/>
      <c r="L54" s="5"/>
      <c r="M54" s="5" t="s">
        <v>41</v>
      </c>
      <c r="N54" s="5" t="s">
        <v>972</v>
      </c>
      <c r="O54" s="5" t="s">
        <v>972</v>
      </c>
      <c r="P54" s="5" t="s">
        <v>40</v>
      </c>
      <c r="Q54" s="5"/>
    </row>
    <row r="55" spans="1:17" ht="27.6">
      <c r="A55" s="5" t="s">
        <v>1029</v>
      </c>
      <c r="B55" s="5" t="s">
        <v>969</v>
      </c>
      <c r="C55" s="5" t="s">
        <v>683</v>
      </c>
      <c r="D55" s="5" t="s">
        <v>1016</v>
      </c>
      <c r="E55" s="5" t="s">
        <v>983</v>
      </c>
      <c r="F55" s="5">
        <v>4</v>
      </c>
      <c r="G55" s="5">
        <v>2045683682</v>
      </c>
      <c r="H55" s="5" t="s">
        <v>665</v>
      </c>
      <c r="I55" s="5" t="s">
        <v>25</v>
      </c>
      <c r="J55" s="5"/>
      <c r="K55" s="5"/>
      <c r="L55" s="5"/>
      <c r="M55" s="5" t="s">
        <v>41</v>
      </c>
      <c r="N55" s="5" t="s">
        <v>972</v>
      </c>
      <c r="O55" s="5" t="s">
        <v>972</v>
      </c>
      <c r="P55" s="5" t="s">
        <v>40</v>
      </c>
      <c r="Q55" s="5"/>
    </row>
    <row r="56" spans="1:17" ht="27.6">
      <c r="A56" s="5" t="s">
        <v>1030</v>
      </c>
      <c r="B56" s="5" t="s">
        <v>969</v>
      </c>
      <c r="C56" s="5" t="s">
        <v>683</v>
      </c>
      <c r="D56" s="5" t="s">
        <v>1016</v>
      </c>
      <c r="E56" s="5" t="s">
        <v>983</v>
      </c>
      <c r="F56" s="5">
        <v>5</v>
      </c>
      <c r="G56" s="5">
        <v>1814859839</v>
      </c>
      <c r="H56" s="5" t="s">
        <v>665</v>
      </c>
      <c r="I56" s="5" t="s">
        <v>25</v>
      </c>
      <c r="J56" s="5"/>
      <c r="K56" s="5"/>
      <c r="L56" s="5"/>
      <c r="M56" s="5" t="s">
        <v>41</v>
      </c>
      <c r="N56" s="5" t="s">
        <v>972</v>
      </c>
      <c r="O56" s="5" t="s">
        <v>972</v>
      </c>
      <c r="P56" s="5" t="s">
        <v>40</v>
      </c>
      <c r="Q56" s="5"/>
    </row>
    <row r="57" spans="1:17" ht="27.6">
      <c r="A57" s="5" t="s">
        <v>1031</v>
      </c>
      <c r="B57" s="5" t="s">
        <v>969</v>
      </c>
      <c r="C57" s="5" t="s">
        <v>683</v>
      </c>
      <c r="D57" s="5" t="s">
        <v>1016</v>
      </c>
      <c r="E57" s="5" t="s">
        <v>983</v>
      </c>
      <c r="F57" s="5">
        <v>6</v>
      </c>
      <c r="G57" s="5">
        <v>1603952859</v>
      </c>
      <c r="H57" s="5" t="s">
        <v>665</v>
      </c>
      <c r="I57" s="5" t="s">
        <v>25</v>
      </c>
      <c r="J57" s="5"/>
      <c r="K57" s="5"/>
      <c r="L57" s="5"/>
      <c r="M57" s="5" t="s">
        <v>41</v>
      </c>
      <c r="N57" s="5" t="s">
        <v>972</v>
      </c>
      <c r="O57" s="5" t="s">
        <v>972</v>
      </c>
      <c r="P57" s="5" t="s">
        <v>40</v>
      </c>
      <c r="Q57" s="5"/>
    </row>
    <row r="58" spans="1:17" ht="27.6">
      <c r="A58" s="5" t="s">
        <v>1032</v>
      </c>
      <c r="B58" s="5" t="s">
        <v>969</v>
      </c>
      <c r="C58" s="5" t="s">
        <v>683</v>
      </c>
      <c r="D58" s="5" t="s">
        <v>1016</v>
      </c>
      <c r="E58" s="5" t="s">
        <v>983</v>
      </c>
      <c r="F58" s="5">
        <v>7</v>
      </c>
      <c r="G58" s="5">
        <v>1878351743</v>
      </c>
      <c r="H58" s="5" t="s">
        <v>665</v>
      </c>
      <c r="I58" s="5" t="s">
        <v>25</v>
      </c>
      <c r="J58" s="5"/>
      <c r="K58" s="5"/>
      <c r="L58" s="5"/>
      <c r="M58" s="5" t="s">
        <v>41</v>
      </c>
      <c r="N58" s="5" t="s">
        <v>972</v>
      </c>
      <c r="O58" s="5" t="s">
        <v>972</v>
      </c>
      <c r="P58" s="5" t="s">
        <v>40</v>
      </c>
      <c r="Q58" s="5"/>
    </row>
    <row r="59" spans="1:17" ht="27.6">
      <c r="A59" s="5" t="s">
        <v>1033</v>
      </c>
      <c r="B59" s="5" t="s">
        <v>969</v>
      </c>
      <c r="C59" s="5" t="s">
        <v>683</v>
      </c>
      <c r="D59" s="5" t="s">
        <v>1016</v>
      </c>
      <c r="E59" s="5" t="s">
        <v>983</v>
      </c>
      <c r="F59" s="5">
        <v>8</v>
      </c>
      <c r="G59" s="5">
        <v>875651179</v>
      </c>
      <c r="H59" s="5" t="s">
        <v>665</v>
      </c>
      <c r="I59" s="5" t="s">
        <v>25</v>
      </c>
      <c r="J59" s="5"/>
      <c r="K59" s="5"/>
      <c r="L59" s="5"/>
      <c r="M59" s="5" t="s">
        <v>41</v>
      </c>
      <c r="N59" s="5" t="s">
        <v>972</v>
      </c>
      <c r="O59" s="5" t="s">
        <v>972</v>
      </c>
      <c r="P59" s="5" t="s">
        <v>40</v>
      </c>
      <c r="Q59" s="5"/>
    </row>
    <row r="60" spans="1:17" ht="27.6">
      <c r="A60" s="5" t="s">
        <v>1034</v>
      </c>
      <c r="B60" s="5" t="s">
        <v>969</v>
      </c>
      <c r="C60" s="5" t="s">
        <v>683</v>
      </c>
      <c r="D60" s="5" t="s">
        <v>1016</v>
      </c>
      <c r="E60" s="5" t="s">
        <v>983</v>
      </c>
      <c r="F60" s="5">
        <v>9</v>
      </c>
      <c r="G60" s="5">
        <v>477581743</v>
      </c>
      <c r="H60" s="5" t="s">
        <v>665</v>
      </c>
      <c r="I60" s="5" t="s">
        <v>25</v>
      </c>
      <c r="J60" s="5"/>
      <c r="K60" s="5"/>
      <c r="L60" s="5"/>
      <c r="M60" s="5" t="s">
        <v>41</v>
      </c>
      <c r="N60" s="5" t="s">
        <v>972</v>
      </c>
      <c r="O60" s="5" t="s">
        <v>972</v>
      </c>
      <c r="P60" s="5" t="s">
        <v>40</v>
      </c>
      <c r="Q60" s="5"/>
    </row>
    <row r="61" spans="1:17" ht="27.6">
      <c r="A61" s="5" t="s">
        <v>1035</v>
      </c>
      <c r="B61" s="5" t="s">
        <v>969</v>
      </c>
      <c r="C61" s="5" t="s">
        <v>683</v>
      </c>
      <c r="D61" s="5" t="s">
        <v>1016</v>
      </c>
      <c r="E61" s="5" t="s">
        <v>983</v>
      </c>
      <c r="F61" s="5">
        <v>10</v>
      </c>
      <c r="G61" s="5">
        <v>869675675</v>
      </c>
      <c r="H61" s="5" t="s">
        <v>665</v>
      </c>
      <c r="I61" s="5" t="s">
        <v>25</v>
      </c>
      <c r="J61" s="5"/>
      <c r="K61" s="5"/>
      <c r="L61" s="5"/>
      <c r="M61" s="5" t="s">
        <v>41</v>
      </c>
      <c r="N61" s="5" t="s">
        <v>972</v>
      </c>
      <c r="O61" s="5" t="s">
        <v>972</v>
      </c>
      <c r="P61" s="5" t="s">
        <v>40</v>
      </c>
      <c r="Q61" s="5"/>
    </row>
    <row r="62" spans="1:17" ht="27.6">
      <c r="A62" s="5" t="s">
        <v>1036</v>
      </c>
      <c r="B62" s="5" t="s">
        <v>969</v>
      </c>
      <c r="C62" s="5" t="s">
        <v>683</v>
      </c>
      <c r="D62" s="5" t="s">
        <v>1016</v>
      </c>
      <c r="E62" s="5" t="s">
        <v>994</v>
      </c>
      <c r="F62" s="5">
        <v>1</v>
      </c>
      <c r="G62" s="5">
        <v>204886845</v>
      </c>
      <c r="H62" s="5" t="s">
        <v>665</v>
      </c>
      <c r="I62" s="5" t="s">
        <v>25</v>
      </c>
      <c r="J62" s="5"/>
      <c r="K62" s="5"/>
      <c r="L62" s="5"/>
      <c r="M62" s="5" t="s">
        <v>41</v>
      </c>
      <c r="N62" s="5" t="s">
        <v>972</v>
      </c>
      <c r="O62" s="5" t="s">
        <v>972</v>
      </c>
      <c r="P62" s="5" t="s">
        <v>40</v>
      </c>
      <c r="Q62" s="5"/>
    </row>
    <row r="63" spans="1:17" ht="27.6">
      <c r="A63" s="5" t="s">
        <v>1037</v>
      </c>
      <c r="B63" s="5" t="s">
        <v>969</v>
      </c>
      <c r="C63" s="5" t="s">
        <v>683</v>
      </c>
      <c r="D63" s="5" t="s">
        <v>1016</v>
      </c>
      <c r="E63" s="5" t="s">
        <v>994</v>
      </c>
      <c r="F63" s="5">
        <v>2</v>
      </c>
      <c r="G63" s="5">
        <v>1480646854</v>
      </c>
      <c r="H63" s="5" t="s">
        <v>665</v>
      </c>
      <c r="I63" s="5" t="s">
        <v>25</v>
      </c>
      <c r="J63" s="5"/>
      <c r="K63" s="5"/>
      <c r="L63" s="5"/>
      <c r="M63" s="5" t="s">
        <v>41</v>
      </c>
      <c r="N63" s="5" t="s">
        <v>972</v>
      </c>
      <c r="O63" s="5" t="s">
        <v>972</v>
      </c>
      <c r="P63" s="5" t="s">
        <v>40</v>
      </c>
      <c r="Q63" s="5"/>
    </row>
    <row r="64" spans="1:17" ht="27.6">
      <c r="A64" s="5" t="s">
        <v>1038</v>
      </c>
      <c r="B64" s="5" t="s">
        <v>969</v>
      </c>
      <c r="C64" s="5" t="s">
        <v>683</v>
      </c>
      <c r="D64" s="5" t="s">
        <v>1016</v>
      </c>
      <c r="E64" s="5" t="s">
        <v>994</v>
      </c>
      <c r="F64" s="5">
        <v>3</v>
      </c>
      <c r="G64" s="5">
        <v>1798418854</v>
      </c>
      <c r="H64" s="5" t="s">
        <v>665</v>
      </c>
      <c r="I64" s="5" t="s">
        <v>25</v>
      </c>
      <c r="J64" s="5"/>
      <c r="K64" s="5"/>
      <c r="L64" s="5"/>
      <c r="M64" s="5" t="s">
        <v>41</v>
      </c>
      <c r="N64" s="5" t="s">
        <v>972</v>
      </c>
      <c r="O64" s="5" t="s">
        <v>972</v>
      </c>
      <c r="P64" s="5" t="s">
        <v>40</v>
      </c>
      <c r="Q64" s="5"/>
    </row>
    <row r="65" spans="1:17" ht="27.6">
      <c r="A65" s="5" t="s">
        <v>1039</v>
      </c>
      <c r="B65" s="5" t="s">
        <v>969</v>
      </c>
      <c r="C65" s="5" t="s">
        <v>683</v>
      </c>
      <c r="D65" s="5" t="s">
        <v>1016</v>
      </c>
      <c r="E65" s="5" t="s">
        <v>994</v>
      </c>
      <c r="F65" s="5">
        <v>4</v>
      </c>
      <c r="G65" s="5">
        <v>2045683682</v>
      </c>
      <c r="H65" s="5" t="s">
        <v>665</v>
      </c>
      <c r="I65" s="5" t="s">
        <v>25</v>
      </c>
      <c r="J65" s="5"/>
      <c r="K65" s="5"/>
      <c r="L65" s="5"/>
      <c r="M65" s="5" t="s">
        <v>41</v>
      </c>
      <c r="N65" s="5" t="s">
        <v>972</v>
      </c>
      <c r="O65" s="5" t="s">
        <v>972</v>
      </c>
      <c r="P65" s="5" t="s">
        <v>40</v>
      </c>
      <c r="Q65" s="5"/>
    </row>
    <row r="66" spans="1:17" ht="27.6">
      <c r="A66" s="5" t="s">
        <v>1040</v>
      </c>
      <c r="B66" s="5" t="s">
        <v>969</v>
      </c>
      <c r="C66" s="5" t="s">
        <v>683</v>
      </c>
      <c r="D66" s="5" t="s">
        <v>1016</v>
      </c>
      <c r="E66" s="5" t="s">
        <v>994</v>
      </c>
      <c r="F66" s="5">
        <v>5</v>
      </c>
      <c r="G66" s="5">
        <v>1814859839</v>
      </c>
      <c r="H66" s="5" t="s">
        <v>665</v>
      </c>
      <c r="I66" s="5" t="s">
        <v>25</v>
      </c>
      <c r="J66" s="5"/>
      <c r="K66" s="5"/>
      <c r="L66" s="5"/>
      <c r="M66" s="5" t="s">
        <v>41</v>
      </c>
      <c r="N66" s="5" t="s">
        <v>972</v>
      </c>
      <c r="O66" s="5" t="s">
        <v>972</v>
      </c>
      <c r="P66" s="5" t="s">
        <v>40</v>
      </c>
      <c r="Q66" s="5"/>
    </row>
    <row r="67" spans="1:17" ht="27.6">
      <c r="A67" s="5" t="s">
        <v>1041</v>
      </c>
      <c r="B67" s="5" t="s">
        <v>969</v>
      </c>
      <c r="C67" s="5" t="s">
        <v>683</v>
      </c>
      <c r="D67" s="5" t="s">
        <v>1016</v>
      </c>
      <c r="E67" s="5" t="s">
        <v>994</v>
      </c>
      <c r="F67" s="5">
        <v>6</v>
      </c>
      <c r="G67" s="5">
        <v>1603952859</v>
      </c>
      <c r="H67" s="5" t="s">
        <v>665</v>
      </c>
      <c r="I67" s="5" t="s">
        <v>25</v>
      </c>
      <c r="J67" s="5"/>
      <c r="K67" s="5"/>
      <c r="L67" s="5"/>
      <c r="M67" s="5" t="s">
        <v>41</v>
      </c>
      <c r="N67" s="5" t="s">
        <v>972</v>
      </c>
      <c r="O67" s="5" t="s">
        <v>972</v>
      </c>
      <c r="P67" s="5" t="s">
        <v>40</v>
      </c>
      <c r="Q67" s="5"/>
    </row>
    <row r="68" spans="1:17" ht="27.6">
      <c r="A68" s="5" t="s">
        <v>1042</v>
      </c>
      <c r="B68" s="5" t="s">
        <v>969</v>
      </c>
      <c r="C68" s="5" t="s">
        <v>683</v>
      </c>
      <c r="D68" s="5" t="s">
        <v>1016</v>
      </c>
      <c r="E68" s="5" t="s">
        <v>994</v>
      </c>
      <c r="F68" s="5">
        <v>7</v>
      </c>
      <c r="G68" s="5">
        <v>1878351743</v>
      </c>
      <c r="H68" s="5" t="s">
        <v>665</v>
      </c>
      <c r="I68" s="5" t="s">
        <v>25</v>
      </c>
      <c r="J68" s="5"/>
      <c r="K68" s="5"/>
      <c r="L68" s="5"/>
      <c r="M68" s="5" t="s">
        <v>41</v>
      </c>
      <c r="N68" s="5" t="s">
        <v>972</v>
      </c>
      <c r="O68" s="5" t="s">
        <v>972</v>
      </c>
      <c r="P68" s="5" t="s">
        <v>40</v>
      </c>
      <c r="Q68" s="5"/>
    </row>
    <row r="69" spans="1:17" ht="27.6">
      <c r="A69" s="5" t="s">
        <v>1043</v>
      </c>
      <c r="B69" s="5" t="s">
        <v>969</v>
      </c>
      <c r="C69" s="5" t="s">
        <v>683</v>
      </c>
      <c r="D69" s="5" t="s">
        <v>1016</v>
      </c>
      <c r="E69" s="5" t="s">
        <v>994</v>
      </c>
      <c r="F69" s="5">
        <v>8</v>
      </c>
      <c r="G69" s="5">
        <v>875651179</v>
      </c>
      <c r="H69" s="5" t="s">
        <v>665</v>
      </c>
      <c r="I69" s="5" t="s">
        <v>25</v>
      </c>
      <c r="J69" s="5"/>
      <c r="K69" s="5"/>
      <c r="L69" s="5"/>
      <c r="M69" s="5" t="s">
        <v>41</v>
      </c>
      <c r="N69" s="5" t="s">
        <v>972</v>
      </c>
      <c r="O69" s="5" t="s">
        <v>972</v>
      </c>
      <c r="P69" s="5" t="s">
        <v>40</v>
      </c>
      <c r="Q69" s="5"/>
    </row>
    <row r="70" spans="1:17" ht="27.6">
      <c r="A70" s="5" t="s">
        <v>1044</v>
      </c>
      <c r="B70" s="5" t="s">
        <v>969</v>
      </c>
      <c r="C70" s="5" t="s">
        <v>683</v>
      </c>
      <c r="D70" s="5" t="s">
        <v>1016</v>
      </c>
      <c r="E70" s="5" t="s">
        <v>994</v>
      </c>
      <c r="F70" s="5">
        <v>9</v>
      </c>
      <c r="G70" s="5">
        <v>477581743</v>
      </c>
      <c r="H70" s="5" t="s">
        <v>665</v>
      </c>
      <c r="I70" s="5" t="s">
        <v>25</v>
      </c>
      <c r="J70" s="5"/>
      <c r="K70" s="5"/>
      <c r="L70" s="5"/>
      <c r="M70" s="5" t="s">
        <v>41</v>
      </c>
      <c r="N70" s="5" t="s">
        <v>972</v>
      </c>
      <c r="O70" s="5" t="s">
        <v>972</v>
      </c>
      <c r="P70" s="5" t="s">
        <v>40</v>
      </c>
      <c r="Q70" s="5"/>
    </row>
    <row r="71" spans="1:17" ht="27.6">
      <c r="A71" s="5" t="s">
        <v>1045</v>
      </c>
      <c r="B71" s="5" t="s">
        <v>969</v>
      </c>
      <c r="C71" s="5" t="s">
        <v>683</v>
      </c>
      <c r="D71" s="5" t="s">
        <v>1016</v>
      </c>
      <c r="E71" s="5" t="s">
        <v>994</v>
      </c>
      <c r="F71" s="5">
        <v>10</v>
      </c>
      <c r="G71" s="5">
        <v>869675675</v>
      </c>
      <c r="H71" s="5" t="s">
        <v>665</v>
      </c>
      <c r="I71" s="5" t="s">
        <v>25</v>
      </c>
      <c r="J71" s="5"/>
      <c r="K71" s="5"/>
      <c r="L71" s="5"/>
      <c r="M71" s="5" t="s">
        <v>41</v>
      </c>
      <c r="N71" s="5" t="s">
        <v>972</v>
      </c>
      <c r="O71" s="5" t="s">
        <v>972</v>
      </c>
      <c r="P71" s="5" t="s">
        <v>40</v>
      </c>
      <c r="Q71" s="5"/>
    </row>
    <row r="72" spans="1:17" ht="27.6">
      <c r="A72" s="5" t="s">
        <v>1046</v>
      </c>
      <c r="B72" s="5" t="s">
        <v>969</v>
      </c>
      <c r="C72" s="5" t="s">
        <v>683</v>
      </c>
      <c r="D72" s="5" t="s">
        <v>1016</v>
      </c>
      <c r="E72" s="5" t="s">
        <v>1005</v>
      </c>
      <c r="F72" s="5">
        <v>1</v>
      </c>
      <c r="G72" s="5">
        <v>204886845</v>
      </c>
      <c r="H72" s="5" t="s">
        <v>665</v>
      </c>
      <c r="I72" s="5" t="s">
        <v>25</v>
      </c>
      <c r="J72" s="5"/>
      <c r="K72" s="5"/>
      <c r="L72" s="5"/>
      <c r="M72" s="5" t="s">
        <v>41</v>
      </c>
      <c r="N72" s="5" t="s">
        <v>972</v>
      </c>
      <c r="O72" s="5" t="s">
        <v>972</v>
      </c>
      <c r="P72" s="5" t="s">
        <v>40</v>
      </c>
      <c r="Q72" s="5"/>
    </row>
    <row r="73" spans="1:17" ht="27.6">
      <c r="A73" s="5" t="s">
        <v>1047</v>
      </c>
      <c r="B73" s="5" t="s">
        <v>969</v>
      </c>
      <c r="C73" s="5" t="s">
        <v>683</v>
      </c>
      <c r="D73" s="5" t="s">
        <v>1016</v>
      </c>
      <c r="E73" s="5" t="s">
        <v>1005</v>
      </c>
      <c r="F73" s="5">
        <v>2</v>
      </c>
      <c r="G73" s="5">
        <v>1480646854</v>
      </c>
      <c r="H73" s="5" t="s">
        <v>665</v>
      </c>
      <c r="I73" s="5" t="s">
        <v>25</v>
      </c>
      <c r="J73" s="5"/>
      <c r="K73" s="5"/>
      <c r="L73" s="5"/>
      <c r="M73" s="5" t="s">
        <v>41</v>
      </c>
      <c r="N73" s="5" t="s">
        <v>972</v>
      </c>
      <c r="O73" s="5" t="s">
        <v>972</v>
      </c>
      <c r="P73" s="5" t="s">
        <v>40</v>
      </c>
      <c r="Q73" s="5"/>
    </row>
    <row r="74" spans="1:17" ht="27.6">
      <c r="A74" s="5" t="s">
        <v>1048</v>
      </c>
      <c r="B74" s="5" t="s">
        <v>969</v>
      </c>
      <c r="C74" s="5" t="s">
        <v>683</v>
      </c>
      <c r="D74" s="5" t="s">
        <v>1016</v>
      </c>
      <c r="E74" s="5" t="s">
        <v>1005</v>
      </c>
      <c r="F74" s="5">
        <v>3</v>
      </c>
      <c r="G74" s="5">
        <v>1798418854</v>
      </c>
      <c r="H74" s="5" t="s">
        <v>665</v>
      </c>
      <c r="I74" s="5" t="s">
        <v>25</v>
      </c>
      <c r="J74" s="5"/>
      <c r="K74" s="5"/>
      <c r="L74" s="5"/>
      <c r="M74" s="5" t="s">
        <v>41</v>
      </c>
      <c r="N74" s="5" t="s">
        <v>972</v>
      </c>
      <c r="O74" s="5" t="s">
        <v>972</v>
      </c>
      <c r="P74" s="5" t="s">
        <v>40</v>
      </c>
      <c r="Q74" s="5"/>
    </row>
    <row r="75" spans="1:17" ht="27.6">
      <c r="A75" s="5" t="s">
        <v>1049</v>
      </c>
      <c r="B75" s="5" t="s">
        <v>969</v>
      </c>
      <c r="C75" s="5" t="s">
        <v>683</v>
      </c>
      <c r="D75" s="5" t="s">
        <v>1016</v>
      </c>
      <c r="E75" s="5" t="s">
        <v>1005</v>
      </c>
      <c r="F75" s="5">
        <v>4</v>
      </c>
      <c r="G75" s="5">
        <v>2045683682</v>
      </c>
      <c r="H75" s="5" t="s">
        <v>665</v>
      </c>
      <c r="I75" s="5" t="s">
        <v>25</v>
      </c>
      <c r="J75" s="5"/>
      <c r="K75" s="5"/>
      <c r="L75" s="5"/>
      <c r="M75" s="5" t="s">
        <v>41</v>
      </c>
      <c r="N75" s="5" t="s">
        <v>972</v>
      </c>
      <c r="O75" s="5" t="s">
        <v>972</v>
      </c>
      <c r="P75" s="5" t="s">
        <v>40</v>
      </c>
      <c r="Q75" s="5"/>
    </row>
    <row r="76" spans="1:17" ht="27.6">
      <c r="A76" s="5" t="s">
        <v>1050</v>
      </c>
      <c r="B76" s="5" t="s">
        <v>969</v>
      </c>
      <c r="C76" s="5" t="s">
        <v>683</v>
      </c>
      <c r="D76" s="5" t="s">
        <v>1016</v>
      </c>
      <c r="E76" s="5" t="s">
        <v>1005</v>
      </c>
      <c r="F76" s="5">
        <v>5</v>
      </c>
      <c r="G76" s="5">
        <v>1814859839</v>
      </c>
      <c r="H76" s="5" t="s">
        <v>665</v>
      </c>
      <c r="I76" s="5" t="s">
        <v>25</v>
      </c>
      <c r="J76" s="5"/>
      <c r="K76" s="5"/>
      <c r="L76" s="5"/>
      <c r="M76" s="5" t="s">
        <v>41</v>
      </c>
      <c r="N76" s="5" t="s">
        <v>972</v>
      </c>
      <c r="O76" s="5" t="s">
        <v>972</v>
      </c>
      <c r="P76" s="5" t="s">
        <v>40</v>
      </c>
      <c r="Q76" s="5"/>
    </row>
    <row r="77" spans="1:17" ht="27.6">
      <c r="A77" s="5" t="s">
        <v>1051</v>
      </c>
      <c r="B77" s="5" t="s">
        <v>969</v>
      </c>
      <c r="C77" s="5" t="s">
        <v>683</v>
      </c>
      <c r="D77" s="5" t="s">
        <v>1016</v>
      </c>
      <c r="E77" s="5" t="s">
        <v>1005</v>
      </c>
      <c r="F77" s="5">
        <v>6</v>
      </c>
      <c r="G77" s="5">
        <v>1603952859</v>
      </c>
      <c r="H77" s="5" t="s">
        <v>665</v>
      </c>
      <c r="I77" s="5" t="s">
        <v>25</v>
      </c>
      <c r="J77" s="5"/>
      <c r="K77" s="5"/>
      <c r="L77" s="5"/>
      <c r="M77" s="5" t="s">
        <v>41</v>
      </c>
      <c r="N77" s="5" t="s">
        <v>972</v>
      </c>
      <c r="O77" s="5" t="s">
        <v>972</v>
      </c>
      <c r="P77" s="5" t="s">
        <v>40</v>
      </c>
      <c r="Q77" s="5"/>
    </row>
    <row r="78" spans="1:17" ht="27.6">
      <c r="A78" s="5" t="s">
        <v>1052</v>
      </c>
      <c r="B78" s="5" t="s">
        <v>969</v>
      </c>
      <c r="C78" s="5" t="s">
        <v>683</v>
      </c>
      <c r="D78" s="5" t="s">
        <v>1016</v>
      </c>
      <c r="E78" s="5" t="s">
        <v>1005</v>
      </c>
      <c r="F78" s="5">
        <v>7</v>
      </c>
      <c r="G78" s="5">
        <v>1878351743</v>
      </c>
      <c r="H78" s="5" t="s">
        <v>665</v>
      </c>
      <c r="I78" s="5" t="s">
        <v>25</v>
      </c>
      <c r="J78" s="5"/>
      <c r="K78" s="5"/>
      <c r="L78" s="5"/>
      <c r="M78" s="5" t="s">
        <v>41</v>
      </c>
      <c r="N78" s="5" t="s">
        <v>972</v>
      </c>
      <c r="O78" s="5" t="s">
        <v>972</v>
      </c>
      <c r="P78" s="5" t="s">
        <v>40</v>
      </c>
      <c r="Q78" s="5"/>
    </row>
    <row r="79" spans="1:17" ht="27.6">
      <c r="A79" s="5" t="s">
        <v>1053</v>
      </c>
      <c r="B79" s="5" t="s">
        <v>969</v>
      </c>
      <c r="C79" s="5" t="s">
        <v>683</v>
      </c>
      <c r="D79" s="5" t="s">
        <v>1016</v>
      </c>
      <c r="E79" s="5" t="s">
        <v>1005</v>
      </c>
      <c r="F79" s="5">
        <v>8</v>
      </c>
      <c r="G79" s="5">
        <v>875651179</v>
      </c>
      <c r="H79" s="5" t="s">
        <v>665</v>
      </c>
      <c r="I79" s="5" t="s">
        <v>25</v>
      </c>
      <c r="J79" s="5"/>
      <c r="K79" s="5"/>
      <c r="L79" s="5"/>
      <c r="M79" s="5" t="s">
        <v>41</v>
      </c>
      <c r="N79" s="5" t="s">
        <v>972</v>
      </c>
      <c r="O79" s="5" t="s">
        <v>972</v>
      </c>
      <c r="P79" s="5" t="s">
        <v>40</v>
      </c>
      <c r="Q79" s="5"/>
    </row>
    <row r="80" spans="1:17" ht="27.6">
      <c r="A80" s="5" t="s">
        <v>1054</v>
      </c>
      <c r="B80" s="5" t="s">
        <v>969</v>
      </c>
      <c r="C80" s="5" t="s">
        <v>683</v>
      </c>
      <c r="D80" s="5" t="s">
        <v>1016</v>
      </c>
      <c r="E80" s="5" t="s">
        <v>1005</v>
      </c>
      <c r="F80" s="5">
        <v>9</v>
      </c>
      <c r="G80" s="5">
        <v>477581743</v>
      </c>
      <c r="H80" s="5" t="s">
        <v>665</v>
      </c>
      <c r="I80" s="5" t="s">
        <v>25</v>
      </c>
      <c r="J80" s="5"/>
      <c r="K80" s="5"/>
      <c r="L80" s="5"/>
      <c r="M80" s="5" t="s">
        <v>41</v>
      </c>
      <c r="N80" s="5" t="s">
        <v>972</v>
      </c>
      <c r="O80" s="5" t="s">
        <v>972</v>
      </c>
      <c r="P80" s="5" t="s">
        <v>40</v>
      </c>
      <c r="Q80" s="5"/>
    </row>
    <row r="81" spans="1:17" ht="27.6">
      <c r="A81" s="5" t="s">
        <v>1055</v>
      </c>
      <c r="B81" s="5" t="s">
        <v>969</v>
      </c>
      <c r="C81" s="5" t="s">
        <v>683</v>
      </c>
      <c r="D81" s="5" t="s">
        <v>1016</v>
      </c>
      <c r="E81" s="5" t="s">
        <v>1005</v>
      </c>
      <c r="F81" s="5">
        <v>10</v>
      </c>
      <c r="G81" s="5">
        <v>869675675</v>
      </c>
      <c r="H81" s="5" t="s">
        <v>665</v>
      </c>
      <c r="I81" s="5" t="s">
        <v>25</v>
      </c>
      <c r="J81" s="5"/>
      <c r="K81" s="5"/>
      <c r="L81" s="5"/>
      <c r="M81" s="5" t="s">
        <v>41</v>
      </c>
      <c r="N81" s="5" t="s">
        <v>972</v>
      </c>
      <c r="O81" s="5" t="s">
        <v>972</v>
      </c>
      <c r="P81" s="5" t="s">
        <v>40</v>
      </c>
      <c r="Q81" s="5"/>
    </row>
    <row r="82" spans="1:17">
      <c r="A82" s="5" t="s">
        <v>1056</v>
      </c>
      <c r="B82" s="5" t="s">
        <v>969</v>
      </c>
      <c r="C82" s="5" t="s">
        <v>694</v>
      </c>
      <c r="D82" s="5" t="s">
        <v>970</v>
      </c>
      <c r="E82" s="5" t="s">
        <v>971</v>
      </c>
      <c r="F82" s="5">
        <v>1</v>
      </c>
      <c r="G82" s="5">
        <v>204886845</v>
      </c>
      <c r="H82" s="5" t="s">
        <v>665</v>
      </c>
      <c r="I82" s="5" t="s">
        <v>25</v>
      </c>
      <c r="J82" s="5"/>
      <c r="K82" s="5"/>
      <c r="L82" s="5"/>
      <c r="M82" s="5" t="s">
        <v>810</v>
      </c>
      <c r="N82" s="5" t="s">
        <v>972</v>
      </c>
      <c r="O82" s="5" t="s">
        <v>972</v>
      </c>
      <c r="P82" s="5" t="s">
        <v>40</v>
      </c>
      <c r="Q82" s="5"/>
    </row>
    <row r="83" spans="1:17">
      <c r="A83" s="5" t="s">
        <v>1057</v>
      </c>
      <c r="B83" s="5" t="s">
        <v>969</v>
      </c>
      <c r="C83" s="5" t="s">
        <v>694</v>
      </c>
      <c r="D83" s="5" t="s">
        <v>970</v>
      </c>
      <c r="E83" s="5" t="s">
        <v>971</v>
      </c>
      <c r="F83" s="5">
        <v>2</v>
      </c>
      <c r="G83" s="5">
        <v>1480646854</v>
      </c>
      <c r="H83" s="5" t="s">
        <v>665</v>
      </c>
      <c r="I83" s="5" t="s">
        <v>25</v>
      </c>
      <c r="J83" s="5"/>
      <c r="K83" s="5"/>
      <c r="L83" s="5"/>
      <c r="M83" s="5" t="s">
        <v>810</v>
      </c>
      <c r="N83" s="5" t="s">
        <v>972</v>
      </c>
      <c r="O83" s="5" t="s">
        <v>972</v>
      </c>
      <c r="P83" s="5" t="s">
        <v>40</v>
      </c>
      <c r="Q83" s="5"/>
    </row>
    <row r="84" spans="1:17">
      <c r="A84" s="5" t="s">
        <v>1058</v>
      </c>
      <c r="B84" s="5" t="s">
        <v>969</v>
      </c>
      <c r="C84" s="5" t="s">
        <v>694</v>
      </c>
      <c r="D84" s="5" t="s">
        <v>970</v>
      </c>
      <c r="E84" s="5" t="s">
        <v>971</v>
      </c>
      <c r="F84" s="5">
        <v>3</v>
      </c>
      <c r="G84" s="5">
        <v>1798418854</v>
      </c>
      <c r="H84" s="5" t="s">
        <v>665</v>
      </c>
      <c r="I84" s="5" t="s">
        <v>25</v>
      </c>
      <c r="J84" s="5"/>
      <c r="K84" s="5"/>
      <c r="L84" s="5"/>
      <c r="M84" s="5" t="s">
        <v>810</v>
      </c>
      <c r="N84" s="5" t="s">
        <v>972</v>
      </c>
      <c r="O84" s="5" t="s">
        <v>972</v>
      </c>
      <c r="P84" s="5" t="s">
        <v>40</v>
      </c>
      <c r="Q84" s="5"/>
    </row>
    <row r="85" spans="1:17">
      <c r="A85" s="5" t="s">
        <v>1059</v>
      </c>
      <c r="B85" s="5" t="s">
        <v>969</v>
      </c>
      <c r="C85" s="5" t="s">
        <v>694</v>
      </c>
      <c r="D85" s="5" t="s">
        <v>970</v>
      </c>
      <c r="E85" s="5" t="s">
        <v>971</v>
      </c>
      <c r="F85" s="5">
        <v>4</v>
      </c>
      <c r="G85" s="5">
        <v>2045683682</v>
      </c>
      <c r="H85" s="5" t="s">
        <v>665</v>
      </c>
      <c r="I85" s="5" t="s">
        <v>25</v>
      </c>
      <c r="J85" s="5"/>
      <c r="K85" s="5"/>
      <c r="L85" s="5"/>
      <c r="M85" s="5" t="s">
        <v>810</v>
      </c>
      <c r="N85" s="5" t="s">
        <v>972</v>
      </c>
      <c r="O85" s="5" t="s">
        <v>972</v>
      </c>
      <c r="P85" s="5" t="s">
        <v>40</v>
      </c>
      <c r="Q85" s="5"/>
    </row>
    <row r="86" spans="1:17">
      <c r="A86" s="5" t="s">
        <v>1060</v>
      </c>
      <c r="B86" s="5" t="s">
        <v>969</v>
      </c>
      <c r="C86" s="5" t="s">
        <v>694</v>
      </c>
      <c r="D86" s="5" t="s">
        <v>970</v>
      </c>
      <c r="E86" s="5" t="s">
        <v>971</v>
      </c>
      <c r="F86" s="5">
        <v>5</v>
      </c>
      <c r="G86" s="5">
        <v>1814859839</v>
      </c>
      <c r="H86" s="5" t="s">
        <v>665</v>
      </c>
      <c r="I86" s="5" t="s">
        <v>25</v>
      </c>
      <c r="J86" s="5"/>
      <c r="K86" s="5"/>
      <c r="L86" s="5"/>
      <c r="M86" s="5" t="s">
        <v>810</v>
      </c>
      <c r="N86" s="5" t="s">
        <v>972</v>
      </c>
      <c r="O86" s="5" t="s">
        <v>972</v>
      </c>
      <c r="P86" s="5" t="s">
        <v>40</v>
      </c>
      <c r="Q86" s="5"/>
    </row>
    <row r="87" spans="1:17">
      <c r="A87" s="5" t="s">
        <v>1061</v>
      </c>
      <c r="B87" s="5" t="s">
        <v>969</v>
      </c>
      <c r="C87" s="5" t="s">
        <v>694</v>
      </c>
      <c r="D87" s="5" t="s">
        <v>970</v>
      </c>
      <c r="E87" s="5" t="s">
        <v>971</v>
      </c>
      <c r="F87" s="5">
        <v>6</v>
      </c>
      <c r="G87" s="5">
        <v>1603952859</v>
      </c>
      <c r="H87" s="5" t="s">
        <v>665</v>
      </c>
      <c r="I87" s="5" t="s">
        <v>25</v>
      </c>
      <c r="J87" s="5"/>
      <c r="K87" s="5"/>
      <c r="L87" s="5"/>
      <c r="M87" s="5" t="s">
        <v>810</v>
      </c>
      <c r="N87" s="5" t="s">
        <v>972</v>
      </c>
      <c r="O87" s="5" t="s">
        <v>972</v>
      </c>
      <c r="P87" s="5" t="s">
        <v>40</v>
      </c>
      <c r="Q87" s="5"/>
    </row>
    <row r="88" spans="1:17">
      <c r="A88" s="5" t="s">
        <v>1062</v>
      </c>
      <c r="B88" s="5" t="s">
        <v>969</v>
      </c>
      <c r="C88" s="5" t="s">
        <v>694</v>
      </c>
      <c r="D88" s="5" t="s">
        <v>970</v>
      </c>
      <c r="E88" s="5" t="s">
        <v>971</v>
      </c>
      <c r="F88" s="5">
        <v>7</v>
      </c>
      <c r="G88" s="5">
        <v>1878351743</v>
      </c>
      <c r="H88" s="5" t="s">
        <v>665</v>
      </c>
      <c r="I88" s="5" t="s">
        <v>25</v>
      </c>
      <c r="J88" s="5"/>
      <c r="K88" s="5"/>
      <c r="L88" s="5"/>
      <c r="M88" s="5" t="s">
        <v>810</v>
      </c>
      <c r="N88" s="5" t="s">
        <v>972</v>
      </c>
      <c r="O88" s="5" t="s">
        <v>972</v>
      </c>
      <c r="P88" s="5" t="s">
        <v>40</v>
      </c>
      <c r="Q88" s="5"/>
    </row>
    <row r="89" spans="1:17">
      <c r="A89" s="5" t="s">
        <v>1063</v>
      </c>
      <c r="B89" s="5" t="s">
        <v>969</v>
      </c>
      <c r="C89" s="5" t="s">
        <v>694</v>
      </c>
      <c r="D89" s="5" t="s">
        <v>970</v>
      </c>
      <c r="E89" s="5" t="s">
        <v>971</v>
      </c>
      <c r="F89" s="5">
        <v>8</v>
      </c>
      <c r="G89" s="5">
        <v>875651179</v>
      </c>
      <c r="H89" s="5" t="s">
        <v>665</v>
      </c>
      <c r="I89" s="5" t="s">
        <v>25</v>
      </c>
      <c r="J89" s="5"/>
      <c r="K89" s="5"/>
      <c r="L89" s="5"/>
      <c r="M89" s="5" t="s">
        <v>810</v>
      </c>
      <c r="N89" s="5" t="s">
        <v>972</v>
      </c>
      <c r="O89" s="5" t="s">
        <v>972</v>
      </c>
      <c r="P89" s="5" t="s">
        <v>40</v>
      </c>
      <c r="Q89" s="5"/>
    </row>
    <row r="90" spans="1:17">
      <c r="A90" s="5" t="s">
        <v>1064</v>
      </c>
      <c r="B90" s="5" t="s">
        <v>969</v>
      </c>
      <c r="C90" s="5" t="s">
        <v>694</v>
      </c>
      <c r="D90" s="5" t="s">
        <v>970</v>
      </c>
      <c r="E90" s="5" t="s">
        <v>971</v>
      </c>
      <c r="F90" s="5">
        <v>9</v>
      </c>
      <c r="G90" s="5">
        <v>477581743</v>
      </c>
      <c r="H90" s="5" t="s">
        <v>665</v>
      </c>
      <c r="I90" s="5" t="s">
        <v>25</v>
      </c>
      <c r="J90" s="5"/>
      <c r="K90" s="5"/>
      <c r="L90" s="5"/>
      <c r="M90" s="5" t="s">
        <v>810</v>
      </c>
      <c r="N90" s="5" t="s">
        <v>972</v>
      </c>
      <c r="O90" s="5" t="s">
        <v>972</v>
      </c>
      <c r="P90" s="5" t="s">
        <v>40</v>
      </c>
      <c r="Q90" s="5"/>
    </row>
    <row r="91" spans="1:17">
      <c r="A91" s="5" t="s">
        <v>1065</v>
      </c>
      <c r="B91" s="5" t="s">
        <v>969</v>
      </c>
      <c r="C91" s="5" t="s">
        <v>694</v>
      </c>
      <c r="D91" s="5" t="s">
        <v>970</v>
      </c>
      <c r="E91" s="5" t="s">
        <v>971</v>
      </c>
      <c r="F91" s="5">
        <v>10</v>
      </c>
      <c r="G91" s="5">
        <v>869675675</v>
      </c>
      <c r="H91" s="5" t="s">
        <v>665</v>
      </c>
      <c r="I91" s="5" t="s">
        <v>25</v>
      </c>
      <c r="J91" s="5"/>
      <c r="K91" s="5"/>
      <c r="L91" s="5"/>
      <c r="M91" s="5" t="s">
        <v>810</v>
      </c>
      <c r="N91" s="5" t="s">
        <v>972</v>
      </c>
      <c r="O91" s="5" t="s">
        <v>972</v>
      </c>
      <c r="P91" s="5" t="s">
        <v>40</v>
      </c>
      <c r="Q91" s="5"/>
    </row>
    <row r="92" spans="1:17">
      <c r="A92" s="5" t="s">
        <v>1066</v>
      </c>
      <c r="B92" s="5" t="s">
        <v>969</v>
      </c>
      <c r="C92" s="5" t="s">
        <v>694</v>
      </c>
      <c r="D92" s="5" t="s">
        <v>970</v>
      </c>
      <c r="E92" s="5" t="s">
        <v>983</v>
      </c>
      <c r="F92" s="5">
        <v>1</v>
      </c>
      <c r="G92" s="5">
        <v>204886845</v>
      </c>
      <c r="H92" s="5" t="s">
        <v>665</v>
      </c>
      <c r="I92" s="5" t="s">
        <v>25</v>
      </c>
      <c r="J92" s="5"/>
      <c r="K92" s="5"/>
      <c r="L92" s="5"/>
      <c r="M92" s="5" t="s">
        <v>810</v>
      </c>
      <c r="N92" s="5" t="s">
        <v>972</v>
      </c>
      <c r="O92" s="5" t="s">
        <v>972</v>
      </c>
      <c r="P92" s="5" t="s">
        <v>40</v>
      </c>
      <c r="Q92" s="5"/>
    </row>
    <row r="93" spans="1:17">
      <c r="A93" s="5" t="s">
        <v>1067</v>
      </c>
      <c r="B93" s="5" t="s">
        <v>969</v>
      </c>
      <c r="C93" s="5" t="s">
        <v>694</v>
      </c>
      <c r="D93" s="5" t="s">
        <v>970</v>
      </c>
      <c r="E93" s="5" t="s">
        <v>983</v>
      </c>
      <c r="F93" s="5">
        <v>2</v>
      </c>
      <c r="G93" s="5">
        <v>1480646854</v>
      </c>
      <c r="H93" s="5" t="s">
        <v>665</v>
      </c>
      <c r="I93" s="5" t="s">
        <v>25</v>
      </c>
      <c r="J93" s="5"/>
      <c r="K93" s="5"/>
      <c r="L93" s="5"/>
      <c r="M93" s="5" t="s">
        <v>810</v>
      </c>
      <c r="N93" s="5" t="s">
        <v>972</v>
      </c>
      <c r="O93" s="5" t="s">
        <v>972</v>
      </c>
      <c r="P93" s="5" t="s">
        <v>40</v>
      </c>
      <c r="Q93" s="5"/>
    </row>
    <row r="94" spans="1:17">
      <c r="A94" s="5" t="s">
        <v>1068</v>
      </c>
      <c r="B94" s="5" t="s">
        <v>969</v>
      </c>
      <c r="C94" s="5" t="s">
        <v>694</v>
      </c>
      <c r="D94" s="5" t="s">
        <v>970</v>
      </c>
      <c r="E94" s="5" t="s">
        <v>983</v>
      </c>
      <c r="F94" s="5">
        <v>3</v>
      </c>
      <c r="G94" s="5">
        <v>1798418854</v>
      </c>
      <c r="H94" s="5" t="s">
        <v>665</v>
      </c>
      <c r="I94" s="5" t="s">
        <v>25</v>
      </c>
      <c r="J94" s="5"/>
      <c r="K94" s="5"/>
      <c r="L94" s="5"/>
      <c r="M94" s="5" t="s">
        <v>810</v>
      </c>
      <c r="N94" s="5" t="s">
        <v>972</v>
      </c>
      <c r="O94" s="5" t="s">
        <v>972</v>
      </c>
      <c r="P94" s="5" t="s">
        <v>40</v>
      </c>
      <c r="Q94" s="5"/>
    </row>
    <row r="95" spans="1:17">
      <c r="A95" s="5" t="s">
        <v>1069</v>
      </c>
      <c r="B95" s="5" t="s">
        <v>969</v>
      </c>
      <c r="C95" s="5" t="s">
        <v>694</v>
      </c>
      <c r="D95" s="5" t="s">
        <v>970</v>
      </c>
      <c r="E95" s="5" t="s">
        <v>983</v>
      </c>
      <c r="F95" s="5">
        <v>4</v>
      </c>
      <c r="G95" s="5">
        <v>2045683682</v>
      </c>
      <c r="H95" s="5" t="s">
        <v>665</v>
      </c>
      <c r="I95" s="5" t="s">
        <v>25</v>
      </c>
      <c r="J95" s="5"/>
      <c r="K95" s="5"/>
      <c r="L95" s="5"/>
      <c r="M95" s="5" t="s">
        <v>810</v>
      </c>
      <c r="N95" s="5" t="s">
        <v>972</v>
      </c>
      <c r="O95" s="5" t="s">
        <v>972</v>
      </c>
      <c r="P95" s="5" t="s">
        <v>40</v>
      </c>
      <c r="Q95" s="5"/>
    </row>
    <row r="96" spans="1:17">
      <c r="A96" s="5" t="s">
        <v>1070</v>
      </c>
      <c r="B96" s="5" t="s">
        <v>969</v>
      </c>
      <c r="C96" s="5" t="s">
        <v>694</v>
      </c>
      <c r="D96" s="5" t="s">
        <v>970</v>
      </c>
      <c r="E96" s="5" t="s">
        <v>983</v>
      </c>
      <c r="F96" s="5">
        <v>5</v>
      </c>
      <c r="G96" s="5">
        <v>1814859839</v>
      </c>
      <c r="H96" s="5" t="s">
        <v>665</v>
      </c>
      <c r="I96" s="5" t="s">
        <v>25</v>
      </c>
      <c r="J96" s="5"/>
      <c r="K96" s="5"/>
      <c r="L96" s="5"/>
      <c r="M96" s="5" t="s">
        <v>810</v>
      </c>
      <c r="N96" s="5" t="s">
        <v>972</v>
      </c>
      <c r="O96" s="5" t="s">
        <v>972</v>
      </c>
      <c r="P96" s="5" t="s">
        <v>40</v>
      </c>
      <c r="Q96" s="5"/>
    </row>
    <row r="97" spans="1:17">
      <c r="A97" s="5" t="s">
        <v>1071</v>
      </c>
      <c r="B97" s="5" t="s">
        <v>969</v>
      </c>
      <c r="C97" s="5" t="s">
        <v>694</v>
      </c>
      <c r="D97" s="5" t="s">
        <v>970</v>
      </c>
      <c r="E97" s="5" t="s">
        <v>983</v>
      </c>
      <c r="F97" s="5">
        <v>6</v>
      </c>
      <c r="G97" s="5">
        <v>1603952859</v>
      </c>
      <c r="H97" s="5" t="s">
        <v>665</v>
      </c>
      <c r="I97" s="5" t="s">
        <v>25</v>
      </c>
      <c r="J97" s="5"/>
      <c r="K97" s="5"/>
      <c r="L97" s="5"/>
      <c r="M97" s="5" t="s">
        <v>810</v>
      </c>
      <c r="N97" s="5" t="s">
        <v>972</v>
      </c>
      <c r="O97" s="5" t="s">
        <v>972</v>
      </c>
      <c r="P97" s="5" t="s">
        <v>40</v>
      </c>
      <c r="Q97" s="5"/>
    </row>
    <row r="98" spans="1:17">
      <c r="A98" s="5" t="s">
        <v>1072</v>
      </c>
      <c r="B98" s="5" t="s">
        <v>969</v>
      </c>
      <c r="C98" s="5" t="s">
        <v>694</v>
      </c>
      <c r="D98" s="5" t="s">
        <v>970</v>
      </c>
      <c r="E98" s="5" t="s">
        <v>983</v>
      </c>
      <c r="F98" s="5">
        <v>7</v>
      </c>
      <c r="G98" s="5">
        <v>1878351743</v>
      </c>
      <c r="H98" s="5" t="s">
        <v>665</v>
      </c>
      <c r="I98" s="5" t="s">
        <v>25</v>
      </c>
      <c r="J98" s="5"/>
      <c r="K98" s="5"/>
      <c r="L98" s="5"/>
      <c r="M98" s="5" t="s">
        <v>810</v>
      </c>
      <c r="N98" s="5" t="s">
        <v>972</v>
      </c>
      <c r="O98" s="5" t="s">
        <v>972</v>
      </c>
      <c r="P98" s="5" t="s">
        <v>40</v>
      </c>
      <c r="Q98" s="5"/>
    </row>
    <row r="99" spans="1:17">
      <c r="A99" s="5" t="s">
        <v>1073</v>
      </c>
      <c r="B99" s="5" t="s">
        <v>969</v>
      </c>
      <c r="C99" s="5" t="s">
        <v>694</v>
      </c>
      <c r="D99" s="5" t="s">
        <v>970</v>
      </c>
      <c r="E99" s="5" t="s">
        <v>983</v>
      </c>
      <c r="F99" s="5">
        <v>8</v>
      </c>
      <c r="G99" s="5">
        <v>875651179</v>
      </c>
      <c r="H99" s="5" t="s">
        <v>665</v>
      </c>
      <c r="I99" s="5" t="s">
        <v>25</v>
      </c>
      <c r="J99" s="5"/>
      <c r="K99" s="5"/>
      <c r="L99" s="5"/>
      <c r="M99" s="5" t="s">
        <v>810</v>
      </c>
      <c r="N99" s="5" t="s">
        <v>972</v>
      </c>
      <c r="O99" s="5" t="s">
        <v>972</v>
      </c>
      <c r="P99" s="5" t="s">
        <v>40</v>
      </c>
      <c r="Q99" s="5"/>
    </row>
    <row r="100" spans="1:17">
      <c r="A100" s="5" t="s">
        <v>1074</v>
      </c>
      <c r="B100" s="5" t="s">
        <v>969</v>
      </c>
      <c r="C100" s="5" t="s">
        <v>694</v>
      </c>
      <c r="D100" s="5" t="s">
        <v>970</v>
      </c>
      <c r="E100" s="5" t="s">
        <v>983</v>
      </c>
      <c r="F100" s="5">
        <v>9</v>
      </c>
      <c r="G100" s="5">
        <v>477581743</v>
      </c>
      <c r="H100" s="5" t="s">
        <v>665</v>
      </c>
      <c r="I100" s="5" t="s">
        <v>25</v>
      </c>
      <c r="J100" s="5"/>
      <c r="K100" s="5"/>
      <c r="L100" s="5"/>
      <c r="M100" s="5" t="s">
        <v>810</v>
      </c>
      <c r="N100" s="5" t="s">
        <v>972</v>
      </c>
      <c r="O100" s="5" t="s">
        <v>972</v>
      </c>
      <c r="P100" s="5" t="s">
        <v>40</v>
      </c>
      <c r="Q100" s="5"/>
    </row>
    <row r="101" spans="1:17">
      <c r="A101" s="5" t="s">
        <v>1075</v>
      </c>
      <c r="B101" s="5" t="s">
        <v>969</v>
      </c>
      <c r="C101" s="5" t="s">
        <v>694</v>
      </c>
      <c r="D101" s="5" t="s">
        <v>970</v>
      </c>
      <c r="E101" s="5" t="s">
        <v>983</v>
      </c>
      <c r="F101" s="5">
        <v>10</v>
      </c>
      <c r="G101" s="5">
        <v>869675675</v>
      </c>
      <c r="H101" s="5" t="s">
        <v>665</v>
      </c>
      <c r="I101" s="5" t="s">
        <v>25</v>
      </c>
      <c r="J101" s="5"/>
      <c r="K101" s="5"/>
      <c r="L101" s="5"/>
      <c r="M101" s="5" t="s">
        <v>810</v>
      </c>
      <c r="N101" s="5" t="s">
        <v>972</v>
      </c>
      <c r="O101" s="5" t="s">
        <v>972</v>
      </c>
      <c r="P101" s="5" t="s">
        <v>40</v>
      </c>
      <c r="Q101" s="5"/>
    </row>
    <row r="102" spans="1:17">
      <c r="A102" s="5" t="s">
        <v>1076</v>
      </c>
      <c r="B102" s="5" t="s">
        <v>969</v>
      </c>
      <c r="C102" s="5" t="s">
        <v>694</v>
      </c>
      <c r="D102" s="5" t="s">
        <v>970</v>
      </c>
      <c r="E102" s="5" t="s">
        <v>994</v>
      </c>
      <c r="F102" s="5">
        <v>1</v>
      </c>
      <c r="G102" s="5">
        <v>204886845</v>
      </c>
      <c r="H102" s="5" t="s">
        <v>665</v>
      </c>
      <c r="I102" s="5" t="s">
        <v>25</v>
      </c>
      <c r="J102" s="5"/>
      <c r="K102" s="5"/>
      <c r="L102" s="5"/>
      <c r="M102" s="5" t="s">
        <v>810</v>
      </c>
      <c r="N102" s="5" t="s">
        <v>972</v>
      </c>
      <c r="O102" s="5" t="s">
        <v>972</v>
      </c>
      <c r="P102" s="5" t="s">
        <v>40</v>
      </c>
      <c r="Q102" s="5"/>
    </row>
    <row r="103" spans="1:17">
      <c r="A103" s="5" t="s">
        <v>1077</v>
      </c>
      <c r="B103" s="5" t="s">
        <v>969</v>
      </c>
      <c r="C103" s="5" t="s">
        <v>694</v>
      </c>
      <c r="D103" s="5" t="s">
        <v>970</v>
      </c>
      <c r="E103" s="5" t="s">
        <v>994</v>
      </c>
      <c r="F103" s="5">
        <v>2</v>
      </c>
      <c r="G103" s="5">
        <v>1480646854</v>
      </c>
      <c r="H103" s="5" t="s">
        <v>665</v>
      </c>
      <c r="I103" s="5" t="s">
        <v>25</v>
      </c>
      <c r="J103" s="5"/>
      <c r="K103" s="5"/>
      <c r="L103" s="5"/>
      <c r="M103" s="5" t="s">
        <v>810</v>
      </c>
      <c r="N103" s="5" t="s">
        <v>972</v>
      </c>
      <c r="O103" s="5" t="s">
        <v>972</v>
      </c>
      <c r="P103" s="5" t="s">
        <v>40</v>
      </c>
      <c r="Q103" s="5"/>
    </row>
    <row r="104" spans="1:17">
      <c r="A104" s="5" t="s">
        <v>1078</v>
      </c>
      <c r="B104" s="5" t="s">
        <v>969</v>
      </c>
      <c r="C104" s="5" t="s">
        <v>694</v>
      </c>
      <c r="D104" s="5" t="s">
        <v>970</v>
      </c>
      <c r="E104" s="5" t="s">
        <v>994</v>
      </c>
      <c r="F104" s="5">
        <v>3</v>
      </c>
      <c r="G104" s="5">
        <v>1798418854</v>
      </c>
      <c r="H104" s="5" t="s">
        <v>665</v>
      </c>
      <c r="I104" s="5" t="s">
        <v>25</v>
      </c>
      <c r="J104" s="5"/>
      <c r="K104" s="5"/>
      <c r="L104" s="5"/>
      <c r="M104" s="5" t="s">
        <v>810</v>
      </c>
      <c r="N104" s="5" t="s">
        <v>972</v>
      </c>
      <c r="O104" s="5" t="s">
        <v>972</v>
      </c>
      <c r="P104" s="5" t="s">
        <v>40</v>
      </c>
      <c r="Q104" s="5"/>
    </row>
    <row r="105" spans="1:17">
      <c r="A105" s="5" t="s">
        <v>1079</v>
      </c>
      <c r="B105" s="5" t="s">
        <v>969</v>
      </c>
      <c r="C105" s="5" t="s">
        <v>694</v>
      </c>
      <c r="D105" s="5" t="s">
        <v>970</v>
      </c>
      <c r="E105" s="5" t="s">
        <v>994</v>
      </c>
      <c r="F105" s="5">
        <v>4</v>
      </c>
      <c r="G105" s="5">
        <v>2045683682</v>
      </c>
      <c r="H105" s="5" t="s">
        <v>665</v>
      </c>
      <c r="I105" s="5" t="s">
        <v>25</v>
      </c>
      <c r="J105" s="5"/>
      <c r="K105" s="5"/>
      <c r="L105" s="5"/>
      <c r="M105" s="5" t="s">
        <v>810</v>
      </c>
      <c r="N105" s="5" t="s">
        <v>972</v>
      </c>
      <c r="O105" s="5" t="s">
        <v>972</v>
      </c>
      <c r="P105" s="5" t="s">
        <v>40</v>
      </c>
      <c r="Q105" s="5"/>
    </row>
    <row r="106" spans="1:17">
      <c r="A106" s="5" t="s">
        <v>1080</v>
      </c>
      <c r="B106" s="5" t="s">
        <v>969</v>
      </c>
      <c r="C106" s="5" t="s">
        <v>694</v>
      </c>
      <c r="D106" s="5" t="s">
        <v>970</v>
      </c>
      <c r="E106" s="5" t="s">
        <v>994</v>
      </c>
      <c r="F106" s="5">
        <v>5</v>
      </c>
      <c r="G106" s="5">
        <v>1814859839</v>
      </c>
      <c r="H106" s="5" t="s">
        <v>665</v>
      </c>
      <c r="I106" s="5" t="s">
        <v>25</v>
      </c>
      <c r="J106" s="5"/>
      <c r="K106" s="5"/>
      <c r="L106" s="5"/>
      <c r="M106" s="5" t="s">
        <v>810</v>
      </c>
      <c r="N106" s="5" t="s">
        <v>972</v>
      </c>
      <c r="O106" s="5" t="s">
        <v>972</v>
      </c>
      <c r="P106" s="5" t="s">
        <v>40</v>
      </c>
      <c r="Q106" s="5"/>
    </row>
    <row r="107" spans="1:17">
      <c r="A107" s="5" t="s">
        <v>1081</v>
      </c>
      <c r="B107" s="5" t="s">
        <v>969</v>
      </c>
      <c r="C107" s="5" t="s">
        <v>694</v>
      </c>
      <c r="D107" s="5" t="s">
        <v>970</v>
      </c>
      <c r="E107" s="5" t="s">
        <v>994</v>
      </c>
      <c r="F107" s="5">
        <v>6</v>
      </c>
      <c r="G107" s="5">
        <v>1603952859</v>
      </c>
      <c r="H107" s="5" t="s">
        <v>665</v>
      </c>
      <c r="I107" s="5" t="s">
        <v>25</v>
      </c>
      <c r="J107" s="5"/>
      <c r="K107" s="5"/>
      <c r="L107" s="5"/>
      <c r="M107" s="5" t="s">
        <v>810</v>
      </c>
      <c r="N107" s="5" t="s">
        <v>972</v>
      </c>
      <c r="O107" s="5" t="s">
        <v>972</v>
      </c>
      <c r="P107" s="5" t="s">
        <v>40</v>
      </c>
      <c r="Q107" s="5"/>
    </row>
    <row r="108" spans="1:17">
      <c r="A108" s="5" t="s">
        <v>1082</v>
      </c>
      <c r="B108" s="5" t="s">
        <v>969</v>
      </c>
      <c r="C108" s="5" t="s">
        <v>694</v>
      </c>
      <c r="D108" s="5" t="s">
        <v>970</v>
      </c>
      <c r="E108" s="5" t="s">
        <v>994</v>
      </c>
      <c r="F108" s="5">
        <v>7</v>
      </c>
      <c r="G108" s="5">
        <v>1878351743</v>
      </c>
      <c r="H108" s="5" t="s">
        <v>665</v>
      </c>
      <c r="I108" s="5" t="s">
        <v>25</v>
      </c>
      <c r="J108" s="5"/>
      <c r="K108" s="5"/>
      <c r="L108" s="5"/>
      <c r="M108" s="5" t="s">
        <v>810</v>
      </c>
      <c r="N108" s="5" t="s">
        <v>972</v>
      </c>
      <c r="O108" s="5" t="s">
        <v>972</v>
      </c>
      <c r="P108" s="5" t="s">
        <v>40</v>
      </c>
      <c r="Q108" s="5"/>
    </row>
    <row r="109" spans="1:17">
      <c r="A109" s="5" t="s">
        <v>1083</v>
      </c>
      <c r="B109" s="5" t="s">
        <v>969</v>
      </c>
      <c r="C109" s="5" t="s">
        <v>694</v>
      </c>
      <c r="D109" s="5" t="s">
        <v>970</v>
      </c>
      <c r="E109" s="5" t="s">
        <v>994</v>
      </c>
      <c r="F109" s="5">
        <v>8</v>
      </c>
      <c r="G109" s="5">
        <v>875651179</v>
      </c>
      <c r="H109" s="5" t="s">
        <v>665</v>
      </c>
      <c r="I109" s="5" t="s">
        <v>25</v>
      </c>
      <c r="J109" s="5"/>
      <c r="K109" s="5"/>
      <c r="L109" s="5"/>
      <c r="M109" s="5" t="s">
        <v>810</v>
      </c>
      <c r="N109" s="5" t="s">
        <v>972</v>
      </c>
      <c r="O109" s="5" t="s">
        <v>972</v>
      </c>
      <c r="P109" s="5" t="s">
        <v>40</v>
      </c>
      <c r="Q109" s="5"/>
    </row>
    <row r="110" spans="1:17">
      <c r="A110" s="5" t="s">
        <v>1084</v>
      </c>
      <c r="B110" s="5" t="s">
        <v>969</v>
      </c>
      <c r="C110" s="5" t="s">
        <v>694</v>
      </c>
      <c r="D110" s="5" t="s">
        <v>970</v>
      </c>
      <c r="E110" s="5" t="s">
        <v>994</v>
      </c>
      <c r="F110" s="5">
        <v>9</v>
      </c>
      <c r="G110" s="5">
        <v>477581743</v>
      </c>
      <c r="H110" s="5" t="s">
        <v>665</v>
      </c>
      <c r="I110" s="5" t="s">
        <v>25</v>
      </c>
      <c r="J110" s="5"/>
      <c r="K110" s="5"/>
      <c r="L110" s="5"/>
      <c r="M110" s="5" t="s">
        <v>810</v>
      </c>
      <c r="N110" s="5" t="s">
        <v>972</v>
      </c>
      <c r="O110" s="5" t="s">
        <v>972</v>
      </c>
      <c r="P110" s="5" t="s">
        <v>40</v>
      </c>
      <c r="Q110" s="5"/>
    </row>
    <row r="111" spans="1:17">
      <c r="A111" s="5" t="s">
        <v>1085</v>
      </c>
      <c r="B111" s="5" t="s">
        <v>969</v>
      </c>
      <c r="C111" s="5" t="s">
        <v>694</v>
      </c>
      <c r="D111" s="5" t="s">
        <v>970</v>
      </c>
      <c r="E111" s="5" t="s">
        <v>994</v>
      </c>
      <c r="F111" s="5">
        <v>10</v>
      </c>
      <c r="G111" s="5">
        <v>869675675</v>
      </c>
      <c r="H111" s="5" t="s">
        <v>665</v>
      </c>
      <c r="I111" s="5" t="s">
        <v>25</v>
      </c>
      <c r="J111" s="5"/>
      <c r="K111" s="5"/>
      <c r="L111" s="5"/>
      <c r="M111" s="5" t="s">
        <v>810</v>
      </c>
      <c r="N111" s="5" t="s">
        <v>972</v>
      </c>
      <c r="O111" s="5" t="s">
        <v>972</v>
      </c>
      <c r="P111" s="5" t="s">
        <v>40</v>
      </c>
      <c r="Q111" s="5"/>
    </row>
    <row r="112" spans="1:17">
      <c r="A112" s="5" t="s">
        <v>1086</v>
      </c>
      <c r="B112" s="5" t="s">
        <v>969</v>
      </c>
      <c r="C112" s="5" t="s">
        <v>694</v>
      </c>
      <c r="D112" s="5" t="s">
        <v>970</v>
      </c>
      <c r="E112" s="5" t="s">
        <v>1005</v>
      </c>
      <c r="F112" s="5">
        <v>1</v>
      </c>
      <c r="G112" s="5">
        <v>204886845</v>
      </c>
      <c r="H112" s="5" t="s">
        <v>665</v>
      </c>
      <c r="I112" s="5" t="s">
        <v>25</v>
      </c>
      <c r="J112" s="5"/>
      <c r="K112" s="5"/>
      <c r="L112" s="5"/>
      <c r="M112" s="5" t="s">
        <v>810</v>
      </c>
      <c r="N112" s="5" t="s">
        <v>972</v>
      </c>
      <c r="O112" s="5" t="s">
        <v>972</v>
      </c>
      <c r="P112" s="5" t="s">
        <v>40</v>
      </c>
      <c r="Q112" s="5"/>
    </row>
    <row r="113" spans="1:17">
      <c r="A113" s="5" t="s">
        <v>1087</v>
      </c>
      <c r="B113" s="5" t="s">
        <v>969</v>
      </c>
      <c r="C113" s="5" t="s">
        <v>694</v>
      </c>
      <c r="D113" s="5" t="s">
        <v>970</v>
      </c>
      <c r="E113" s="5" t="s">
        <v>1005</v>
      </c>
      <c r="F113" s="5">
        <v>2</v>
      </c>
      <c r="G113" s="5">
        <v>1480646854</v>
      </c>
      <c r="H113" s="5" t="s">
        <v>665</v>
      </c>
      <c r="I113" s="5" t="s">
        <v>25</v>
      </c>
      <c r="J113" s="5"/>
      <c r="K113" s="5"/>
      <c r="L113" s="5"/>
      <c r="M113" s="5" t="s">
        <v>810</v>
      </c>
      <c r="N113" s="5" t="s">
        <v>972</v>
      </c>
      <c r="O113" s="5" t="s">
        <v>972</v>
      </c>
      <c r="P113" s="5" t="s">
        <v>40</v>
      </c>
      <c r="Q113" s="5"/>
    </row>
    <row r="114" spans="1:17">
      <c r="A114" s="5" t="s">
        <v>1088</v>
      </c>
      <c r="B114" s="5" t="s">
        <v>969</v>
      </c>
      <c r="C114" s="5" t="s">
        <v>694</v>
      </c>
      <c r="D114" s="5" t="s">
        <v>970</v>
      </c>
      <c r="E114" s="5" t="s">
        <v>1005</v>
      </c>
      <c r="F114" s="5">
        <v>3</v>
      </c>
      <c r="G114" s="5">
        <v>1798418854</v>
      </c>
      <c r="H114" s="5" t="s">
        <v>665</v>
      </c>
      <c r="I114" s="5" t="s">
        <v>25</v>
      </c>
      <c r="J114" s="5"/>
      <c r="K114" s="5"/>
      <c r="L114" s="5"/>
      <c r="M114" s="5" t="s">
        <v>810</v>
      </c>
      <c r="N114" s="5" t="s">
        <v>972</v>
      </c>
      <c r="O114" s="5" t="s">
        <v>972</v>
      </c>
      <c r="P114" s="5" t="s">
        <v>40</v>
      </c>
      <c r="Q114" s="5"/>
    </row>
    <row r="115" spans="1:17">
      <c r="A115" s="5" t="s">
        <v>1089</v>
      </c>
      <c r="B115" s="5" t="s">
        <v>969</v>
      </c>
      <c r="C115" s="5" t="s">
        <v>694</v>
      </c>
      <c r="D115" s="5" t="s">
        <v>970</v>
      </c>
      <c r="E115" s="5" t="s">
        <v>1005</v>
      </c>
      <c r="F115" s="5">
        <v>4</v>
      </c>
      <c r="G115" s="5">
        <v>2045683682</v>
      </c>
      <c r="H115" s="5" t="s">
        <v>665</v>
      </c>
      <c r="I115" s="5" t="s">
        <v>25</v>
      </c>
      <c r="J115" s="5"/>
      <c r="K115" s="5"/>
      <c r="L115" s="5"/>
      <c r="M115" s="5" t="s">
        <v>810</v>
      </c>
      <c r="N115" s="5" t="s">
        <v>972</v>
      </c>
      <c r="O115" s="5" t="s">
        <v>972</v>
      </c>
      <c r="P115" s="5" t="s">
        <v>40</v>
      </c>
      <c r="Q115" s="5"/>
    </row>
    <row r="116" spans="1:17">
      <c r="A116" s="5" t="s">
        <v>1090</v>
      </c>
      <c r="B116" s="5" t="s">
        <v>969</v>
      </c>
      <c r="C116" s="5" t="s">
        <v>694</v>
      </c>
      <c r="D116" s="5" t="s">
        <v>970</v>
      </c>
      <c r="E116" s="5" t="s">
        <v>1005</v>
      </c>
      <c r="F116" s="5">
        <v>5</v>
      </c>
      <c r="G116" s="5">
        <v>1814859839</v>
      </c>
      <c r="H116" s="5" t="s">
        <v>665</v>
      </c>
      <c r="I116" s="5" t="s">
        <v>25</v>
      </c>
      <c r="J116" s="5"/>
      <c r="K116" s="5"/>
      <c r="L116" s="5"/>
      <c r="M116" s="5" t="s">
        <v>810</v>
      </c>
      <c r="N116" s="5" t="s">
        <v>972</v>
      </c>
      <c r="O116" s="5" t="s">
        <v>972</v>
      </c>
      <c r="P116" s="5" t="s">
        <v>40</v>
      </c>
      <c r="Q116" s="5"/>
    </row>
    <row r="117" spans="1:17">
      <c r="A117" s="5" t="s">
        <v>1091</v>
      </c>
      <c r="B117" s="5" t="s">
        <v>969</v>
      </c>
      <c r="C117" s="5" t="s">
        <v>694</v>
      </c>
      <c r="D117" s="5" t="s">
        <v>970</v>
      </c>
      <c r="E117" s="5" t="s">
        <v>1005</v>
      </c>
      <c r="F117" s="5">
        <v>6</v>
      </c>
      <c r="G117" s="5">
        <v>1603952859</v>
      </c>
      <c r="H117" s="5" t="s">
        <v>665</v>
      </c>
      <c r="I117" s="5" t="s">
        <v>25</v>
      </c>
      <c r="J117" s="5"/>
      <c r="K117" s="5"/>
      <c r="L117" s="5"/>
      <c r="M117" s="5" t="s">
        <v>810</v>
      </c>
      <c r="N117" s="5" t="s">
        <v>972</v>
      </c>
      <c r="O117" s="5" t="s">
        <v>972</v>
      </c>
      <c r="P117" s="5" t="s">
        <v>40</v>
      </c>
      <c r="Q117" s="5"/>
    </row>
    <row r="118" spans="1:17">
      <c r="A118" s="5" t="s">
        <v>1092</v>
      </c>
      <c r="B118" s="5" t="s">
        <v>969</v>
      </c>
      <c r="C118" s="5" t="s">
        <v>694</v>
      </c>
      <c r="D118" s="5" t="s">
        <v>970</v>
      </c>
      <c r="E118" s="5" t="s">
        <v>1005</v>
      </c>
      <c r="F118" s="5">
        <v>7</v>
      </c>
      <c r="G118" s="5">
        <v>1878351743</v>
      </c>
      <c r="H118" s="5" t="s">
        <v>665</v>
      </c>
      <c r="I118" s="5" t="s">
        <v>25</v>
      </c>
      <c r="J118" s="5"/>
      <c r="K118" s="5"/>
      <c r="L118" s="5"/>
      <c r="M118" s="5" t="s">
        <v>810</v>
      </c>
      <c r="N118" s="5" t="s">
        <v>972</v>
      </c>
      <c r="O118" s="5" t="s">
        <v>972</v>
      </c>
      <c r="P118" s="5" t="s">
        <v>40</v>
      </c>
      <c r="Q118" s="5"/>
    </row>
    <row r="119" spans="1:17">
      <c r="A119" s="5" t="s">
        <v>1093</v>
      </c>
      <c r="B119" s="5" t="s">
        <v>969</v>
      </c>
      <c r="C119" s="5" t="s">
        <v>694</v>
      </c>
      <c r="D119" s="5" t="s">
        <v>970</v>
      </c>
      <c r="E119" s="5" t="s">
        <v>1005</v>
      </c>
      <c r="F119" s="5">
        <v>8</v>
      </c>
      <c r="G119" s="5">
        <v>875651179</v>
      </c>
      <c r="H119" s="5" t="s">
        <v>665</v>
      </c>
      <c r="I119" s="5" t="s">
        <v>25</v>
      </c>
      <c r="J119" s="5"/>
      <c r="K119" s="5"/>
      <c r="L119" s="5"/>
      <c r="M119" s="5" t="s">
        <v>810</v>
      </c>
      <c r="N119" s="5" t="s">
        <v>972</v>
      </c>
      <c r="O119" s="5" t="s">
        <v>972</v>
      </c>
      <c r="P119" s="5" t="s">
        <v>40</v>
      </c>
      <c r="Q119" s="5"/>
    </row>
    <row r="120" spans="1:17">
      <c r="A120" s="5" t="s">
        <v>1094</v>
      </c>
      <c r="B120" s="5" t="s">
        <v>969</v>
      </c>
      <c r="C120" s="5" t="s">
        <v>694</v>
      </c>
      <c r="D120" s="5" t="s">
        <v>970</v>
      </c>
      <c r="E120" s="5" t="s">
        <v>1005</v>
      </c>
      <c r="F120" s="5">
        <v>9</v>
      </c>
      <c r="G120" s="5">
        <v>477581743</v>
      </c>
      <c r="H120" s="5" t="s">
        <v>665</v>
      </c>
      <c r="I120" s="5" t="s">
        <v>25</v>
      </c>
      <c r="J120" s="5"/>
      <c r="K120" s="5"/>
      <c r="L120" s="5"/>
      <c r="M120" s="5" t="s">
        <v>810</v>
      </c>
      <c r="N120" s="5" t="s">
        <v>972</v>
      </c>
      <c r="O120" s="5" t="s">
        <v>972</v>
      </c>
      <c r="P120" s="5" t="s">
        <v>40</v>
      </c>
      <c r="Q120" s="5"/>
    </row>
    <row r="121" spans="1:17">
      <c r="A121" s="5" t="s">
        <v>1095</v>
      </c>
      <c r="B121" s="5" t="s">
        <v>969</v>
      </c>
      <c r="C121" s="5" t="s">
        <v>694</v>
      </c>
      <c r="D121" s="5" t="s">
        <v>970</v>
      </c>
      <c r="E121" s="5" t="s">
        <v>1005</v>
      </c>
      <c r="F121" s="5">
        <v>10</v>
      </c>
      <c r="G121" s="5">
        <v>869675675</v>
      </c>
      <c r="H121" s="5" t="s">
        <v>665</v>
      </c>
      <c r="I121" s="5" t="s">
        <v>25</v>
      </c>
      <c r="J121" s="5"/>
      <c r="K121" s="5"/>
      <c r="L121" s="5"/>
      <c r="M121" s="5" t="s">
        <v>810</v>
      </c>
      <c r="N121" s="5" t="s">
        <v>972</v>
      </c>
      <c r="O121" s="5" t="s">
        <v>972</v>
      </c>
      <c r="P121" s="5" t="s">
        <v>40</v>
      </c>
      <c r="Q121" s="5"/>
    </row>
    <row r="122" spans="1:17">
      <c r="A122" s="5" t="s">
        <v>1096</v>
      </c>
      <c r="B122" s="5" t="s">
        <v>969</v>
      </c>
      <c r="C122" s="5" t="s">
        <v>694</v>
      </c>
      <c r="D122" s="5" t="s">
        <v>1016</v>
      </c>
      <c r="E122" s="5" t="s">
        <v>971</v>
      </c>
      <c r="F122" s="5">
        <v>1</v>
      </c>
      <c r="G122" s="5">
        <v>204886845</v>
      </c>
      <c r="H122" s="5" t="s">
        <v>665</v>
      </c>
      <c r="I122" s="5" t="s">
        <v>25</v>
      </c>
      <c r="J122" s="5"/>
      <c r="K122" s="5"/>
      <c r="L122" s="5"/>
      <c r="M122" s="5" t="s">
        <v>810</v>
      </c>
      <c r="N122" s="5" t="s">
        <v>972</v>
      </c>
      <c r="O122" s="5" t="s">
        <v>972</v>
      </c>
      <c r="P122" s="5" t="s">
        <v>40</v>
      </c>
      <c r="Q122" s="5"/>
    </row>
    <row r="123" spans="1:17">
      <c r="A123" s="5" t="s">
        <v>1097</v>
      </c>
      <c r="B123" s="5" t="s">
        <v>969</v>
      </c>
      <c r="C123" s="5" t="s">
        <v>694</v>
      </c>
      <c r="D123" s="5" t="s">
        <v>1016</v>
      </c>
      <c r="E123" s="5" t="s">
        <v>971</v>
      </c>
      <c r="F123" s="5">
        <v>2</v>
      </c>
      <c r="G123" s="5">
        <v>1480646854</v>
      </c>
      <c r="H123" s="5" t="s">
        <v>665</v>
      </c>
      <c r="I123" s="5" t="s">
        <v>25</v>
      </c>
      <c r="J123" s="5"/>
      <c r="K123" s="5"/>
      <c r="L123" s="5"/>
      <c r="M123" s="5" t="s">
        <v>810</v>
      </c>
      <c r="N123" s="5" t="s">
        <v>972</v>
      </c>
      <c r="O123" s="5" t="s">
        <v>972</v>
      </c>
      <c r="P123" s="5" t="s">
        <v>40</v>
      </c>
      <c r="Q123" s="5"/>
    </row>
    <row r="124" spans="1:17">
      <c r="A124" s="5" t="s">
        <v>1098</v>
      </c>
      <c r="B124" s="5" t="s">
        <v>969</v>
      </c>
      <c r="C124" s="5" t="s">
        <v>694</v>
      </c>
      <c r="D124" s="5" t="s">
        <v>1016</v>
      </c>
      <c r="E124" s="5" t="s">
        <v>971</v>
      </c>
      <c r="F124" s="5">
        <v>3</v>
      </c>
      <c r="G124" s="5">
        <v>1798418854</v>
      </c>
      <c r="H124" s="5" t="s">
        <v>665</v>
      </c>
      <c r="I124" s="5" t="s">
        <v>25</v>
      </c>
      <c r="J124" s="5"/>
      <c r="K124" s="5"/>
      <c r="L124" s="5"/>
      <c r="M124" s="5" t="s">
        <v>810</v>
      </c>
      <c r="N124" s="5" t="s">
        <v>972</v>
      </c>
      <c r="O124" s="5" t="s">
        <v>972</v>
      </c>
      <c r="P124" s="5" t="s">
        <v>40</v>
      </c>
      <c r="Q124" s="5"/>
    </row>
    <row r="125" spans="1:17">
      <c r="A125" s="5" t="s">
        <v>1099</v>
      </c>
      <c r="B125" s="5" t="s">
        <v>969</v>
      </c>
      <c r="C125" s="5" t="s">
        <v>694</v>
      </c>
      <c r="D125" s="5" t="s">
        <v>1016</v>
      </c>
      <c r="E125" s="5" t="s">
        <v>971</v>
      </c>
      <c r="F125" s="5">
        <v>4</v>
      </c>
      <c r="G125" s="5">
        <v>2045683682</v>
      </c>
      <c r="H125" s="5" t="s">
        <v>665</v>
      </c>
      <c r="I125" s="5" t="s">
        <v>25</v>
      </c>
      <c r="J125" s="5"/>
      <c r="K125" s="5"/>
      <c r="L125" s="5"/>
      <c r="M125" s="5" t="s">
        <v>810</v>
      </c>
      <c r="N125" s="5" t="s">
        <v>972</v>
      </c>
      <c r="O125" s="5" t="s">
        <v>972</v>
      </c>
      <c r="P125" s="5" t="s">
        <v>40</v>
      </c>
      <c r="Q125" s="5"/>
    </row>
    <row r="126" spans="1:17">
      <c r="A126" s="5" t="s">
        <v>1100</v>
      </c>
      <c r="B126" s="5" t="s">
        <v>969</v>
      </c>
      <c r="C126" s="5" t="s">
        <v>694</v>
      </c>
      <c r="D126" s="5" t="s">
        <v>1016</v>
      </c>
      <c r="E126" s="5" t="s">
        <v>971</v>
      </c>
      <c r="F126" s="5">
        <v>5</v>
      </c>
      <c r="G126" s="5">
        <v>1814859839</v>
      </c>
      <c r="H126" s="5" t="s">
        <v>665</v>
      </c>
      <c r="I126" s="5" t="s">
        <v>25</v>
      </c>
      <c r="J126" s="5"/>
      <c r="K126" s="5"/>
      <c r="L126" s="5"/>
      <c r="M126" s="5" t="s">
        <v>810</v>
      </c>
      <c r="N126" s="5" t="s">
        <v>972</v>
      </c>
      <c r="O126" s="5" t="s">
        <v>972</v>
      </c>
      <c r="P126" s="5" t="s">
        <v>40</v>
      </c>
      <c r="Q126" s="5"/>
    </row>
    <row r="127" spans="1:17">
      <c r="A127" s="5" t="s">
        <v>1101</v>
      </c>
      <c r="B127" s="5" t="s">
        <v>969</v>
      </c>
      <c r="C127" s="5" t="s">
        <v>694</v>
      </c>
      <c r="D127" s="5" t="s">
        <v>1016</v>
      </c>
      <c r="E127" s="5" t="s">
        <v>971</v>
      </c>
      <c r="F127" s="5">
        <v>6</v>
      </c>
      <c r="G127" s="5">
        <v>1603952859</v>
      </c>
      <c r="H127" s="5" t="s">
        <v>665</v>
      </c>
      <c r="I127" s="5" t="s">
        <v>25</v>
      </c>
      <c r="J127" s="5"/>
      <c r="K127" s="5"/>
      <c r="L127" s="5"/>
      <c r="M127" s="5" t="s">
        <v>810</v>
      </c>
      <c r="N127" s="5" t="s">
        <v>972</v>
      </c>
      <c r="O127" s="5" t="s">
        <v>972</v>
      </c>
      <c r="P127" s="5" t="s">
        <v>40</v>
      </c>
      <c r="Q127" s="5"/>
    </row>
    <row r="128" spans="1:17">
      <c r="A128" s="5" t="s">
        <v>1102</v>
      </c>
      <c r="B128" s="5" t="s">
        <v>969</v>
      </c>
      <c r="C128" s="5" t="s">
        <v>694</v>
      </c>
      <c r="D128" s="5" t="s">
        <v>1016</v>
      </c>
      <c r="E128" s="5" t="s">
        <v>971</v>
      </c>
      <c r="F128" s="5">
        <v>7</v>
      </c>
      <c r="G128" s="5">
        <v>1878351743</v>
      </c>
      <c r="H128" s="5" t="s">
        <v>665</v>
      </c>
      <c r="I128" s="5" t="s">
        <v>25</v>
      </c>
      <c r="J128" s="5"/>
      <c r="K128" s="5"/>
      <c r="L128" s="5"/>
      <c r="M128" s="5" t="s">
        <v>810</v>
      </c>
      <c r="N128" s="5" t="s">
        <v>972</v>
      </c>
      <c r="O128" s="5" t="s">
        <v>972</v>
      </c>
      <c r="P128" s="5" t="s">
        <v>40</v>
      </c>
      <c r="Q128" s="5"/>
    </row>
    <row r="129" spans="1:17">
      <c r="A129" s="5" t="s">
        <v>1103</v>
      </c>
      <c r="B129" s="5" t="s">
        <v>969</v>
      </c>
      <c r="C129" s="5" t="s">
        <v>694</v>
      </c>
      <c r="D129" s="5" t="s">
        <v>1016</v>
      </c>
      <c r="E129" s="5" t="s">
        <v>971</v>
      </c>
      <c r="F129" s="5">
        <v>8</v>
      </c>
      <c r="G129" s="5">
        <v>875651179</v>
      </c>
      <c r="H129" s="5" t="s">
        <v>665</v>
      </c>
      <c r="I129" s="5" t="s">
        <v>25</v>
      </c>
      <c r="J129" s="5"/>
      <c r="K129" s="5"/>
      <c r="L129" s="5"/>
      <c r="M129" s="5" t="s">
        <v>810</v>
      </c>
      <c r="N129" s="5" t="s">
        <v>972</v>
      </c>
      <c r="O129" s="5" t="s">
        <v>972</v>
      </c>
      <c r="P129" s="5" t="s">
        <v>40</v>
      </c>
      <c r="Q129" s="5"/>
    </row>
    <row r="130" spans="1:17">
      <c r="A130" s="5" t="s">
        <v>1104</v>
      </c>
      <c r="B130" s="5" t="s">
        <v>969</v>
      </c>
      <c r="C130" s="5" t="s">
        <v>694</v>
      </c>
      <c r="D130" s="5" t="s">
        <v>1016</v>
      </c>
      <c r="E130" s="5" t="s">
        <v>971</v>
      </c>
      <c r="F130" s="5">
        <v>9</v>
      </c>
      <c r="G130" s="5">
        <v>477581743</v>
      </c>
      <c r="H130" s="5" t="s">
        <v>665</v>
      </c>
      <c r="I130" s="5" t="s">
        <v>25</v>
      </c>
      <c r="J130" s="5"/>
      <c r="K130" s="5"/>
      <c r="L130" s="5"/>
      <c r="M130" s="5" t="s">
        <v>810</v>
      </c>
      <c r="N130" s="5" t="s">
        <v>972</v>
      </c>
      <c r="O130" s="5" t="s">
        <v>972</v>
      </c>
      <c r="P130" s="5" t="s">
        <v>40</v>
      </c>
      <c r="Q130" s="5"/>
    </row>
    <row r="131" spans="1:17">
      <c r="A131" s="5" t="s">
        <v>1105</v>
      </c>
      <c r="B131" s="5" t="s">
        <v>969</v>
      </c>
      <c r="C131" s="5" t="s">
        <v>694</v>
      </c>
      <c r="D131" s="5" t="s">
        <v>1016</v>
      </c>
      <c r="E131" s="5" t="s">
        <v>971</v>
      </c>
      <c r="F131" s="5">
        <v>10</v>
      </c>
      <c r="G131" s="5">
        <v>869675675</v>
      </c>
      <c r="H131" s="5" t="s">
        <v>665</v>
      </c>
      <c r="I131" s="5" t="s">
        <v>25</v>
      </c>
      <c r="J131" s="5"/>
      <c r="K131" s="5"/>
      <c r="L131" s="5"/>
      <c r="M131" s="5" t="s">
        <v>810</v>
      </c>
      <c r="N131" s="5" t="s">
        <v>972</v>
      </c>
      <c r="O131" s="5" t="s">
        <v>972</v>
      </c>
      <c r="P131" s="5" t="s">
        <v>40</v>
      </c>
      <c r="Q131" s="5"/>
    </row>
    <row r="132" spans="1:17">
      <c r="A132" s="5" t="s">
        <v>1106</v>
      </c>
      <c r="B132" s="5" t="s">
        <v>969</v>
      </c>
      <c r="C132" s="5" t="s">
        <v>694</v>
      </c>
      <c r="D132" s="5" t="s">
        <v>1016</v>
      </c>
      <c r="E132" s="5" t="s">
        <v>983</v>
      </c>
      <c r="F132" s="5">
        <v>1</v>
      </c>
      <c r="G132" s="5">
        <v>204886845</v>
      </c>
      <c r="H132" s="5" t="s">
        <v>665</v>
      </c>
      <c r="I132" s="5" t="s">
        <v>25</v>
      </c>
      <c r="J132" s="5"/>
      <c r="K132" s="5"/>
      <c r="L132" s="5"/>
      <c r="M132" s="5" t="s">
        <v>810</v>
      </c>
      <c r="N132" s="5" t="s">
        <v>972</v>
      </c>
      <c r="O132" s="5" t="s">
        <v>972</v>
      </c>
      <c r="P132" s="5" t="s">
        <v>40</v>
      </c>
      <c r="Q132" s="5"/>
    </row>
    <row r="133" spans="1:17">
      <c r="A133" s="5" t="s">
        <v>1107</v>
      </c>
      <c r="B133" s="5" t="s">
        <v>969</v>
      </c>
      <c r="C133" s="5" t="s">
        <v>694</v>
      </c>
      <c r="D133" s="5" t="s">
        <v>1016</v>
      </c>
      <c r="E133" s="5" t="s">
        <v>983</v>
      </c>
      <c r="F133" s="5">
        <v>2</v>
      </c>
      <c r="G133" s="5">
        <v>1480646854</v>
      </c>
      <c r="H133" s="5" t="s">
        <v>665</v>
      </c>
      <c r="I133" s="5" t="s">
        <v>25</v>
      </c>
      <c r="J133" s="5"/>
      <c r="K133" s="5"/>
      <c r="L133" s="5"/>
      <c r="M133" s="5" t="s">
        <v>810</v>
      </c>
      <c r="N133" s="5" t="s">
        <v>972</v>
      </c>
      <c r="O133" s="5" t="s">
        <v>972</v>
      </c>
      <c r="P133" s="5" t="s">
        <v>40</v>
      </c>
      <c r="Q133" s="5"/>
    </row>
    <row r="134" spans="1:17">
      <c r="A134" s="5" t="s">
        <v>1108</v>
      </c>
      <c r="B134" s="5" t="s">
        <v>969</v>
      </c>
      <c r="C134" s="5" t="s">
        <v>694</v>
      </c>
      <c r="D134" s="5" t="s">
        <v>1016</v>
      </c>
      <c r="E134" s="5" t="s">
        <v>983</v>
      </c>
      <c r="F134" s="5">
        <v>3</v>
      </c>
      <c r="G134" s="5">
        <v>1798418854</v>
      </c>
      <c r="H134" s="5" t="s">
        <v>665</v>
      </c>
      <c r="I134" s="5" t="s">
        <v>25</v>
      </c>
      <c r="J134" s="5"/>
      <c r="K134" s="5"/>
      <c r="L134" s="5"/>
      <c r="M134" s="5" t="s">
        <v>810</v>
      </c>
      <c r="N134" s="5" t="s">
        <v>972</v>
      </c>
      <c r="O134" s="5" t="s">
        <v>972</v>
      </c>
      <c r="P134" s="5" t="s">
        <v>40</v>
      </c>
      <c r="Q134" s="5"/>
    </row>
    <row r="135" spans="1:17">
      <c r="A135" s="5" t="s">
        <v>1109</v>
      </c>
      <c r="B135" s="5" t="s">
        <v>969</v>
      </c>
      <c r="C135" s="5" t="s">
        <v>694</v>
      </c>
      <c r="D135" s="5" t="s">
        <v>1016</v>
      </c>
      <c r="E135" s="5" t="s">
        <v>983</v>
      </c>
      <c r="F135" s="5">
        <v>4</v>
      </c>
      <c r="G135" s="5">
        <v>2045683682</v>
      </c>
      <c r="H135" s="5" t="s">
        <v>665</v>
      </c>
      <c r="I135" s="5" t="s">
        <v>25</v>
      </c>
      <c r="J135" s="5"/>
      <c r="K135" s="5"/>
      <c r="L135" s="5"/>
      <c r="M135" s="5" t="s">
        <v>810</v>
      </c>
      <c r="N135" s="5" t="s">
        <v>972</v>
      </c>
      <c r="O135" s="5" t="s">
        <v>972</v>
      </c>
      <c r="P135" s="5" t="s">
        <v>40</v>
      </c>
      <c r="Q135" s="5"/>
    </row>
    <row r="136" spans="1:17">
      <c r="A136" s="5" t="s">
        <v>1110</v>
      </c>
      <c r="B136" s="5" t="s">
        <v>969</v>
      </c>
      <c r="C136" s="5" t="s">
        <v>694</v>
      </c>
      <c r="D136" s="5" t="s">
        <v>1016</v>
      </c>
      <c r="E136" s="5" t="s">
        <v>983</v>
      </c>
      <c r="F136" s="5">
        <v>5</v>
      </c>
      <c r="G136" s="5">
        <v>1814859839</v>
      </c>
      <c r="H136" s="5" t="s">
        <v>665</v>
      </c>
      <c r="I136" s="5" t="s">
        <v>25</v>
      </c>
      <c r="J136" s="5"/>
      <c r="K136" s="5"/>
      <c r="L136" s="5"/>
      <c r="M136" s="5" t="s">
        <v>810</v>
      </c>
      <c r="N136" s="5" t="s">
        <v>972</v>
      </c>
      <c r="O136" s="5" t="s">
        <v>972</v>
      </c>
      <c r="P136" s="5" t="s">
        <v>40</v>
      </c>
      <c r="Q136" s="5"/>
    </row>
    <row r="137" spans="1:17">
      <c r="A137" s="5" t="s">
        <v>1111</v>
      </c>
      <c r="B137" s="5" t="s">
        <v>969</v>
      </c>
      <c r="C137" s="5" t="s">
        <v>694</v>
      </c>
      <c r="D137" s="5" t="s">
        <v>1016</v>
      </c>
      <c r="E137" s="5" t="s">
        <v>983</v>
      </c>
      <c r="F137" s="5">
        <v>6</v>
      </c>
      <c r="G137" s="5">
        <v>1603952859</v>
      </c>
      <c r="H137" s="5" t="s">
        <v>665</v>
      </c>
      <c r="I137" s="5" t="s">
        <v>25</v>
      </c>
      <c r="J137" s="5"/>
      <c r="K137" s="5"/>
      <c r="L137" s="5"/>
      <c r="M137" s="5" t="s">
        <v>810</v>
      </c>
      <c r="N137" s="5" t="s">
        <v>972</v>
      </c>
      <c r="O137" s="5" t="s">
        <v>972</v>
      </c>
      <c r="P137" s="5" t="s">
        <v>40</v>
      </c>
      <c r="Q137" s="5"/>
    </row>
    <row r="138" spans="1:17">
      <c r="A138" s="5" t="s">
        <v>1112</v>
      </c>
      <c r="B138" s="5" t="s">
        <v>969</v>
      </c>
      <c r="C138" s="5" t="s">
        <v>694</v>
      </c>
      <c r="D138" s="5" t="s">
        <v>1016</v>
      </c>
      <c r="E138" s="5" t="s">
        <v>983</v>
      </c>
      <c r="F138" s="5">
        <v>7</v>
      </c>
      <c r="G138" s="5">
        <v>1878351743</v>
      </c>
      <c r="H138" s="5" t="s">
        <v>665</v>
      </c>
      <c r="I138" s="5" t="s">
        <v>25</v>
      </c>
      <c r="J138" s="5"/>
      <c r="K138" s="5"/>
      <c r="L138" s="5"/>
      <c r="M138" s="5" t="s">
        <v>810</v>
      </c>
      <c r="N138" s="5" t="s">
        <v>972</v>
      </c>
      <c r="O138" s="5" t="s">
        <v>972</v>
      </c>
      <c r="P138" s="5" t="s">
        <v>40</v>
      </c>
      <c r="Q138" s="5"/>
    </row>
    <row r="139" spans="1:17">
      <c r="A139" s="5" t="s">
        <v>1113</v>
      </c>
      <c r="B139" s="5" t="s">
        <v>969</v>
      </c>
      <c r="C139" s="5" t="s">
        <v>694</v>
      </c>
      <c r="D139" s="5" t="s">
        <v>1016</v>
      </c>
      <c r="E139" s="5" t="s">
        <v>983</v>
      </c>
      <c r="F139" s="5">
        <v>8</v>
      </c>
      <c r="G139" s="5">
        <v>875651179</v>
      </c>
      <c r="H139" s="5" t="s">
        <v>665</v>
      </c>
      <c r="I139" s="5" t="s">
        <v>25</v>
      </c>
      <c r="J139" s="5"/>
      <c r="K139" s="5"/>
      <c r="L139" s="5"/>
      <c r="M139" s="5" t="s">
        <v>810</v>
      </c>
      <c r="N139" s="5" t="s">
        <v>972</v>
      </c>
      <c r="O139" s="5" t="s">
        <v>972</v>
      </c>
      <c r="P139" s="5" t="s">
        <v>40</v>
      </c>
      <c r="Q139" s="5"/>
    </row>
    <row r="140" spans="1:17">
      <c r="A140" s="5" t="s">
        <v>1114</v>
      </c>
      <c r="B140" s="5" t="s">
        <v>969</v>
      </c>
      <c r="C140" s="5" t="s">
        <v>694</v>
      </c>
      <c r="D140" s="5" t="s">
        <v>1016</v>
      </c>
      <c r="E140" s="5" t="s">
        <v>983</v>
      </c>
      <c r="F140" s="5">
        <v>9</v>
      </c>
      <c r="G140" s="5">
        <v>477581743</v>
      </c>
      <c r="H140" s="5" t="s">
        <v>665</v>
      </c>
      <c r="I140" s="5" t="s">
        <v>25</v>
      </c>
      <c r="J140" s="5"/>
      <c r="K140" s="5"/>
      <c r="L140" s="5"/>
      <c r="M140" s="5" t="s">
        <v>810</v>
      </c>
      <c r="N140" s="5" t="s">
        <v>972</v>
      </c>
      <c r="O140" s="5" t="s">
        <v>972</v>
      </c>
      <c r="P140" s="5" t="s">
        <v>40</v>
      </c>
      <c r="Q140" s="5"/>
    </row>
    <row r="141" spans="1:17">
      <c r="A141" s="5" t="s">
        <v>1115</v>
      </c>
      <c r="B141" s="5" t="s">
        <v>969</v>
      </c>
      <c r="C141" s="5" t="s">
        <v>694</v>
      </c>
      <c r="D141" s="5" t="s">
        <v>1016</v>
      </c>
      <c r="E141" s="5" t="s">
        <v>983</v>
      </c>
      <c r="F141" s="5">
        <v>10</v>
      </c>
      <c r="G141" s="5">
        <v>869675675</v>
      </c>
      <c r="H141" s="5" t="s">
        <v>665</v>
      </c>
      <c r="I141" s="5" t="s">
        <v>25</v>
      </c>
      <c r="J141" s="5"/>
      <c r="K141" s="5"/>
      <c r="L141" s="5"/>
      <c r="M141" s="5" t="s">
        <v>810</v>
      </c>
      <c r="N141" s="5" t="s">
        <v>972</v>
      </c>
      <c r="O141" s="5" t="s">
        <v>972</v>
      </c>
      <c r="P141" s="5" t="s">
        <v>40</v>
      </c>
      <c r="Q141" s="5"/>
    </row>
    <row r="142" spans="1:17">
      <c r="A142" s="5" t="s">
        <v>1116</v>
      </c>
      <c r="B142" s="5" t="s">
        <v>969</v>
      </c>
      <c r="C142" s="5" t="s">
        <v>694</v>
      </c>
      <c r="D142" s="5" t="s">
        <v>1016</v>
      </c>
      <c r="E142" s="5" t="s">
        <v>994</v>
      </c>
      <c r="F142" s="5">
        <v>1</v>
      </c>
      <c r="G142" s="5">
        <v>204886845</v>
      </c>
      <c r="H142" s="5" t="s">
        <v>665</v>
      </c>
      <c r="I142" s="5" t="s">
        <v>25</v>
      </c>
      <c r="J142" s="5"/>
      <c r="K142" s="5"/>
      <c r="L142" s="5"/>
      <c r="M142" s="5" t="s">
        <v>810</v>
      </c>
      <c r="N142" s="5" t="s">
        <v>972</v>
      </c>
      <c r="O142" s="5" t="s">
        <v>972</v>
      </c>
      <c r="P142" s="5" t="s">
        <v>40</v>
      </c>
      <c r="Q142" s="5"/>
    </row>
    <row r="143" spans="1:17">
      <c r="A143" s="5" t="s">
        <v>1117</v>
      </c>
      <c r="B143" s="5" t="s">
        <v>969</v>
      </c>
      <c r="C143" s="5" t="s">
        <v>694</v>
      </c>
      <c r="D143" s="5" t="s">
        <v>1016</v>
      </c>
      <c r="E143" s="5" t="s">
        <v>994</v>
      </c>
      <c r="F143" s="5">
        <v>2</v>
      </c>
      <c r="G143" s="5">
        <v>1480646854</v>
      </c>
      <c r="H143" s="5" t="s">
        <v>665</v>
      </c>
      <c r="I143" s="5" t="s">
        <v>25</v>
      </c>
      <c r="J143" s="5"/>
      <c r="K143" s="5"/>
      <c r="L143" s="5"/>
      <c r="M143" s="5" t="s">
        <v>810</v>
      </c>
      <c r="N143" s="5" t="s">
        <v>972</v>
      </c>
      <c r="O143" s="5" t="s">
        <v>972</v>
      </c>
      <c r="P143" s="5" t="s">
        <v>40</v>
      </c>
      <c r="Q143" s="5"/>
    </row>
    <row r="144" spans="1:17">
      <c r="A144" s="5" t="s">
        <v>1118</v>
      </c>
      <c r="B144" s="5" t="s">
        <v>969</v>
      </c>
      <c r="C144" s="5" t="s">
        <v>694</v>
      </c>
      <c r="D144" s="5" t="s">
        <v>1016</v>
      </c>
      <c r="E144" s="5" t="s">
        <v>994</v>
      </c>
      <c r="F144" s="5">
        <v>3</v>
      </c>
      <c r="G144" s="5">
        <v>1798418854</v>
      </c>
      <c r="H144" s="5" t="s">
        <v>665</v>
      </c>
      <c r="I144" s="5" t="s">
        <v>25</v>
      </c>
      <c r="J144" s="5"/>
      <c r="K144" s="5"/>
      <c r="L144" s="5"/>
      <c r="M144" s="5" t="s">
        <v>810</v>
      </c>
      <c r="N144" s="5" t="s">
        <v>972</v>
      </c>
      <c r="O144" s="5" t="s">
        <v>972</v>
      </c>
      <c r="P144" s="5" t="s">
        <v>40</v>
      </c>
      <c r="Q144" s="5"/>
    </row>
    <row r="145" spans="1:17">
      <c r="A145" s="5" t="s">
        <v>1119</v>
      </c>
      <c r="B145" s="5" t="s">
        <v>969</v>
      </c>
      <c r="C145" s="5" t="s">
        <v>694</v>
      </c>
      <c r="D145" s="5" t="s">
        <v>1016</v>
      </c>
      <c r="E145" s="5" t="s">
        <v>994</v>
      </c>
      <c r="F145" s="5">
        <v>4</v>
      </c>
      <c r="G145" s="5">
        <v>2045683682</v>
      </c>
      <c r="H145" s="5" t="s">
        <v>665</v>
      </c>
      <c r="I145" s="5" t="s">
        <v>25</v>
      </c>
      <c r="J145" s="5"/>
      <c r="K145" s="5"/>
      <c r="L145" s="5"/>
      <c r="M145" s="5" t="s">
        <v>810</v>
      </c>
      <c r="N145" s="5" t="s">
        <v>972</v>
      </c>
      <c r="O145" s="5" t="s">
        <v>972</v>
      </c>
      <c r="P145" s="5" t="s">
        <v>40</v>
      </c>
      <c r="Q145" s="5"/>
    </row>
    <row r="146" spans="1:17">
      <c r="A146" s="5" t="s">
        <v>1120</v>
      </c>
      <c r="B146" s="5" t="s">
        <v>969</v>
      </c>
      <c r="C146" s="5" t="s">
        <v>694</v>
      </c>
      <c r="D146" s="5" t="s">
        <v>1016</v>
      </c>
      <c r="E146" s="5" t="s">
        <v>994</v>
      </c>
      <c r="F146" s="5">
        <v>5</v>
      </c>
      <c r="G146" s="5">
        <v>1814859839</v>
      </c>
      <c r="H146" s="5" t="s">
        <v>665</v>
      </c>
      <c r="I146" s="5" t="s">
        <v>25</v>
      </c>
      <c r="J146" s="5"/>
      <c r="K146" s="5"/>
      <c r="L146" s="5"/>
      <c r="M146" s="5" t="s">
        <v>810</v>
      </c>
      <c r="N146" s="5" t="s">
        <v>972</v>
      </c>
      <c r="O146" s="5" t="s">
        <v>972</v>
      </c>
      <c r="P146" s="5" t="s">
        <v>40</v>
      </c>
      <c r="Q146" s="5"/>
    </row>
    <row r="147" spans="1:17">
      <c r="A147" s="5" t="s">
        <v>1121</v>
      </c>
      <c r="B147" s="5" t="s">
        <v>969</v>
      </c>
      <c r="C147" s="5" t="s">
        <v>694</v>
      </c>
      <c r="D147" s="5" t="s">
        <v>1016</v>
      </c>
      <c r="E147" s="5" t="s">
        <v>994</v>
      </c>
      <c r="F147" s="5">
        <v>6</v>
      </c>
      <c r="G147" s="5">
        <v>1603952859</v>
      </c>
      <c r="H147" s="5" t="s">
        <v>665</v>
      </c>
      <c r="I147" s="5" t="s">
        <v>25</v>
      </c>
      <c r="J147" s="5"/>
      <c r="K147" s="5"/>
      <c r="L147" s="5"/>
      <c r="M147" s="5" t="s">
        <v>810</v>
      </c>
      <c r="N147" s="5" t="s">
        <v>972</v>
      </c>
      <c r="O147" s="5" t="s">
        <v>972</v>
      </c>
      <c r="P147" s="5" t="s">
        <v>40</v>
      </c>
      <c r="Q147" s="5"/>
    </row>
    <row r="148" spans="1:17">
      <c r="A148" s="5" t="s">
        <v>1122</v>
      </c>
      <c r="B148" s="5" t="s">
        <v>969</v>
      </c>
      <c r="C148" s="5" t="s">
        <v>694</v>
      </c>
      <c r="D148" s="5" t="s">
        <v>1016</v>
      </c>
      <c r="E148" s="5" t="s">
        <v>994</v>
      </c>
      <c r="F148" s="5">
        <v>7</v>
      </c>
      <c r="G148" s="5">
        <v>1878351743</v>
      </c>
      <c r="H148" s="5" t="s">
        <v>665</v>
      </c>
      <c r="I148" s="5" t="s">
        <v>25</v>
      </c>
      <c r="J148" s="5"/>
      <c r="K148" s="5"/>
      <c r="L148" s="5"/>
      <c r="M148" s="5" t="s">
        <v>810</v>
      </c>
      <c r="N148" s="5" t="s">
        <v>972</v>
      </c>
      <c r="O148" s="5" t="s">
        <v>972</v>
      </c>
      <c r="P148" s="5" t="s">
        <v>40</v>
      </c>
      <c r="Q148" s="5"/>
    </row>
    <row r="149" spans="1:17">
      <c r="A149" s="5" t="s">
        <v>1123</v>
      </c>
      <c r="B149" s="5" t="s">
        <v>969</v>
      </c>
      <c r="C149" s="5" t="s">
        <v>694</v>
      </c>
      <c r="D149" s="5" t="s">
        <v>1016</v>
      </c>
      <c r="E149" s="5" t="s">
        <v>994</v>
      </c>
      <c r="F149" s="5">
        <v>8</v>
      </c>
      <c r="G149" s="5">
        <v>875651179</v>
      </c>
      <c r="H149" s="5" t="s">
        <v>665</v>
      </c>
      <c r="I149" s="5" t="s">
        <v>25</v>
      </c>
      <c r="J149" s="5"/>
      <c r="K149" s="5"/>
      <c r="L149" s="5"/>
      <c r="M149" s="5" t="s">
        <v>810</v>
      </c>
      <c r="N149" s="5" t="s">
        <v>972</v>
      </c>
      <c r="O149" s="5" t="s">
        <v>972</v>
      </c>
      <c r="P149" s="5" t="s">
        <v>40</v>
      </c>
      <c r="Q149" s="5"/>
    </row>
    <row r="150" spans="1:17">
      <c r="A150" s="5" t="s">
        <v>1124</v>
      </c>
      <c r="B150" s="5" t="s">
        <v>969</v>
      </c>
      <c r="C150" s="5" t="s">
        <v>694</v>
      </c>
      <c r="D150" s="5" t="s">
        <v>1016</v>
      </c>
      <c r="E150" s="5" t="s">
        <v>994</v>
      </c>
      <c r="F150" s="5">
        <v>9</v>
      </c>
      <c r="G150" s="5">
        <v>477581743</v>
      </c>
      <c r="H150" s="5" t="s">
        <v>665</v>
      </c>
      <c r="I150" s="5" t="s">
        <v>25</v>
      </c>
      <c r="J150" s="5"/>
      <c r="K150" s="5"/>
      <c r="L150" s="5"/>
      <c r="M150" s="5" t="s">
        <v>810</v>
      </c>
      <c r="N150" s="5" t="s">
        <v>972</v>
      </c>
      <c r="O150" s="5" t="s">
        <v>972</v>
      </c>
      <c r="P150" s="5" t="s">
        <v>40</v>
      </c>
      <c r="Q150" s="5"/>
    </row>
    <row r="151" spans="1:17">
      <c r="A151" s="5" t="s">
        <v>1125</v>
      </c>
      <c r="B151" s="5" t="s">
        <v>969</v>
      </c>
      <c r="C151" s="5" t="s">
        <v>694</v>
      </c>
      <c r="D151" s="5" t="s">
        <v>1016</v>
      </c>
      <c r="E151" s="5" t="s">
        <v>994</v>
      </c>
      <c r="F151" s="5">
        <v>10</v>
      </c>
      <c r="G151" s="5">
        <v>869675675</v>
      </c>
      <c r="H151" s="5" t="s">
        <v>665</v>
      </c>
      <c r="I151" s="5" t="s">
        <v>25</v>
      </c>
      <c r="J151" s="5"/>
      <c r="K151" s="5"/>
      <c r="L151" s="5"/>
      <c r="M151" s="5" t="s">
        <v>810</v>
      </c>
      <c r="N151" s="5" t="s">
        <v>972</v>
      </c>
      <c r="O151" s="5" t="s">
        <v>972</v>
      </c>
      <c r="P151" s="5" t="s">
        <v>40</v>
      </c>
      <c r="Q151" s="5"/>
    </row>
    <row r="152" spans="1:17">
      <c r="A152" s="5" t="s">
        <v>1126</v>
      </c>
      <c r="B152" s="5" t="s">
        <v>969</v>
      </c>
      <c r="C152" s="5" t="s">
        <v>694</v>
      </c>
      <c r="D152" s="5" t="s">
        <v>1016</v>
      </c>
      <c r="E152" s="5" t="s">
        <v>1005</v>
      </c>
      <c r="F152" s="5">
        <v>1</v>
      </c>
      <c r="G152" s="5">
        <v>204886845</v>
      </c>
      <c r="H152" s="5" t="s">
        <v>665</v>
      </c>
      <c r="I152" s="5" t="s">
        <v>25</v>
      </c>
      <c r="J152" s="5"/>
      <c r="K152" s="5"/>
      <c r="L152" s="5"/>
      <c r="M152" s="5" t="s">
        <v>810</v>
      </c>
      <c r="N152" s="5" t="s">
        <v>972</v>
      </c>
      <c r="O152" s="5" t="s">
        <v>972</v>
      </c>
      <c r="P152" s="5" t="s">
        <v>40</v>
      </c>
      <c r="Q152" s="5"/>
    </row>
    <row r="153" spans="1:17">
      <c r="A153" s="5" t="s">
        <v>1127</v>
      </c>
      <c r="B153" s="5" t="s">
        <v>969</v>
      </c>
      <c r="C153" s="5" t="s">
        <v>694</v>
      </c>
      <c r="D153" s="5" t="s">
        <v>1016</v>
      </c>
      <c r="E153" s="5" t="s">
        <v>1005</v>
      </c>
      <c r="F153" s="5">
        <v>2</v>
      </c>
      <c r="G153" s="5">
        <v>1480646854</v>
      </c>
      <c r="H153" s="5" t="s">
        <v>665</v>
      </c>
      <c r="I153" s="5" t="s">
        <v>25</v>
      </c>
      <c r="J153" s="5"/>
      <c r="K153" s="5"/>
      <c r="L153" s="5"/>
      <c r="M153" s="5" t="s">
        <v>810</v>
      </c>
      <c r="N153" s="5" t="s">
        <v>972</v>
      </c>
      <c r="O153" s="5" t="s">
        <v>972</v>
      </c>
      <c r="P153" s="5" t="s">
        <v>40</v>
      </c>
      <c r="Q153" s="5"/>
    </row>
    <row r="154" spans="1:17">
      <c r="A154" s="5" t="s">
        <v>1128</v>
      </c>
      <c r="B154" s="5" t="s">
        <v>969</v>
      </c>
      <c r="C154" s="5" t="s">
        <v>694</v>
      </c>
      <c r="D154" s="5" t="s">
        <v>1016</v>
      </c>
      <c r="E154" s="5" t="s">
        <v>1005</v>
      </c>
      <c r="F154" s="5">
        <v>3</v>
      </c>
      <c r="G154" s="5">
        <v>1798418854</v>
      </c>
      <c r="H154" s="5" t="s">
        <v>665</v>
      </c>
      <c r="I154" s="5" t="s">
        <v>25</v>
      </c>
      <c r="J154" s="5"/>
      <c r="K154" s="5"/>
      <c r="L154" s="5"/>
      <c r="M154" s="5" t="s">
        <v>810</v>
      </c>
      <c r="N154" s="5" t="s">
        <v>972</v>
      </c>
      <c r="O154" s="5" t="s">
        <v>972</v>
      </c>
      <c r="P154" s="5" t="s">
        <v>40</v>
      </c>
      <c r="Q154" s="5"/>
    </row>
    <row r="155" spans="1:17">
      <c r="A155" s="5" t="s">
        <v>1129</v>
      </c>
      <c r="B155" s="5" t="s">
        <v>969</v>
      </c>
      <c r="C155" s="5" t="s">
        <v>694</v>
      </c>
      <c r="D155" s="5" t="s">
        <v>1016</v>
      </c>
      <c r="E155" s="5" t="s">
        <v>1005</v>
      </c>
      <c r="F155" s="5">
        <v>4</v>
      </c>
      <c r="G155" s="5">
        <v>2045683682</v>
      </c>
      <c r="H155" s="5" t="s">
        <v>665</v>
      </c>
      <c r="I155" s="5" t="s">
        <v>25</v>
      </c>
      <c r="J155" s="5"/>
      <c r="K155" s="5"/>
      <c r="L155" s="5"/>
      <c r="M155" s="5" t="s">
        <v>810</v>
      </c>
      <c r="N155" s="5" t="s">
        <v>972</v>
      </c>
      <c r="O155" s="5" t="s">
        <v>972</v>
      </c>
      <c r="P155" s="5" t="s">
        <v>40</v>
      </c>
      <c r="Q155" s="5"/>
    </row>
    <row r="156" spans="1:17">
      <c r="A156" s="5" t="s">
        <v>1130</v>
      </c>
      <c r="B156" s="5" t="s">
        <v>969</v>
      </c>
      <c r="C156" s="5" t="s">
        <v>694</v>
      </c>
      <c r="D156" s="5" t="s">
        <v>1016</v>
      </c>
      <c r="E156" s="5" t="s">
        <v>1005</v>
      </c>
      <c r="F156" s="5">
        <v>5</v>
      </c>
      <c r="G156" s="5">
        <v>1814859839</v>
      </c>
      <c r="H156" s="5" t="s">
        <v>665</v>
      </c>
      <c r="I156" s="5" t="s">
        <v>25</v>
      </c>
      <c r="J156" s="5"/>
      <c r="K156" s="5"/>
      <c r="L156" s="5"/>
      <c r="M156" s="5" t="s">
        <v>810</v>
      </c>
      <c r="N156" s="5" t="s">
        <v>972</v>
      </c>
      <c r="O156" s="5" t="s">
        <v>972</v>
      </c>
      <c r="P156" s="5" t="s">
        <v>40</v>
      </c>
      <c r="Q156" s="5"/>
    </row>
    <row r="157" spans="1:17">
      <c r="A157" s="5" t="s">
        <v>1131</v>
      </c>
      <c r="B157" s="5" t="s">
        <v>969</v>
      </c>
      <c r="C157" s="5" t="s">
        <v>694</v>
      </c>
      <c r="D157" s="5" t="s">
        <v>1016</v>
      </c>
      <c r="E157" s="5" t="s">
        <v>1005</v>
      </c>
      <c r="F157" s="5">
        <v>6</v>
      </c>
      <c r="G157" s="5">
        <v>1603952859</v>
      </c>
      <c r="H157" s="5" t="s">
        <v>665</v>
      </c>
      <c r="I157" s="5" t="s">
        <v>25</v>
      </c>
      <c r="J157" s="5"/>
      <c r="K157" s="5"/>
      <c r="L157" s="5"/>
      <c r="M157" s="5" t="s">
        <v>810</v>
      </c>
      <c r="N157" s="5" t="s">
        <v>972</v>
      </c>
      <c r="O157" s="5" t="s">
        <v>972</v>
      </c>
      <c r="P157" s="5" t="s">
        <v>40</v>
      </c>
      <c r="Q157" s="5"/>
    </row>
    <row r="158" spans="1:17">
      <c r="A158" s="5" t="s">
        <v>1132</v>
      </c>
      <c r="B158" s="5" t="s">
        <v>969</v>
      </c>
      <c r="C158" s="5" t="s">
        <v>694</v>
      </c>
      <c r="D158" s="5" t="s">
        <v>1016</v>
      </c>
      <c r="E158" s="5" t="s">
        <v>1005</v>
      </c>
      <c r="F158" s="5">
        <v>7</v>
      </c>
      <c r="G158" s="5">
        <v>1878351743</v>
      </c>
      <c r="H158" s="5" t="s">
        <v>665</v>
      </c>
      <c r="I158" s="5" t="s">
        <v>25</v>
      </c>
      <c r="J158" s="5"/>
      <c r="K158" s="5"/>
      <c r="L158" s="5"/>
      <c r="M158" s="5" t="s">
        <v>810</v>
      </c>
      <c r="N158" s="5" t="s">
        <v>972</v>
      </c>
      <c r="O158" s="5" t="s">
        <v>972</v>
      </c>
      <c r="P158" s="5" t="s">
        <v>40</v>
      </c>
      <c r="Q158" s="5"/>
    </row>
    <row r="159" spans="1:17">
      <c r="A159" s="5" t="s">
        <v>1133</v>
      </c>
      <c r="B159" s="5" t="s">
        <v>969</v>
      </c>
      <c r="C159" s="5" t="s">
        <v>694</v>
      </c>
      <c r="D159" s="5" t="s">
        <v>1016</v>
      </c>
      <c r="E159" s="5" t="s">
        <v>1005</v>
      </c>
      <c r="F159" s="5">
        <v>8</v>
      </c>
      <c r="G159" s="5">
        <v>875651179</v>
      </c>
      <c r="H159" s="5" t="s">
        <v>665</v>
      </c>
      <c r="I159" s="5" t="s">
        <v>25</v>
      </c>
      <c r="J159" s="5"/>
      <c r="K159" s="5"/>
      <c r="L159" s="5"/>
      <c r="M159" s="5" t="s">
        <v>810</v>
      </c>
      <c r="N159" s="5" t="s">
        <v>972</v>
      </c>
      <c r="O159" s="5" t="s">
        <v>972</v>
      </c>
      <c r="P159" s="5" t="s">
        <v>40</v>
      </c>
      <c r="Q159" s="5"/>
    </row>
    <row r="160" spans="1:17">
      <c r="A160" s="5" t="s">
        <v>1134</v>
      </c>
      <c r="B160" s="5" t="s">
        <v>969</v>
      </c>
      <c r="C160" s="5" t="s">
        <v>694</v>
      </c>
      <c r="D160" s="5" t="s">
        <v>1016</v>
      </c>
      <c r="E160" s="5" t="s">
        <v>1005</v>
      </c>
      <c r="F160" s="5">
        <v>9</v>
      </c>
      <c r="G160" s="5">
        <v>477581743</v>
      </c>
      <c r="H160" s="5" t="s">
        <v>665</v>
      </c>
      <c r="I160" s="5" t="s">
        <v>25</v>
      </c>
      <c r="J160" s="5"/>
      <c r="K160" s="5"/>
      <c r="L160" s="5"/>
      <c r="M160" s="5" t="s">
        <v>810</v>
      </c>
      <c r="N160" s="5" t="s">
        <v>972</v>
      </c>
      <c r="O160" s="5" t="s">
        <v>972</v>
      </c>
      <c r="P160" s="5" t="s">
        <v>40</v>
      </c>
      <c r="Q160" s="5"/>
    </row>
    <row r="161" spans="1:17">
      <c r="A161" s="5" t="s">
        <v>1135</v>
      </c>
      <c r="B161" s="5" t="s">
        <v>969</v>
      </c>
      <c r="C161" s="5" t="s">
        <v>694</v>
      </c>
      <c r="D161" s="5" t="s">
        <v>1016</v>
      </c>
      <c r="E161" s="5" t="s">
        <v>1005</v>
      </c>
      <c r="F161" s="5">
        <v>10</v>
      </c>
      <c r="G161" s="5">
        <v>869675675</v>
      </c>
      <c r="H161" s="5" t="s">
        <v>665</v>
      </c>
      <c r="I161" s="5" t="s">
        <v>25</v>
      </c>
      <c r="J161" s="5"/>
      <c r="K161" s="5"/>
      <c r="L161" s="5"/>
      <c r="M161" s="5" t="s">
        <v>810</v>
      </c>
      <c r="N161" s="5" t="s">
        <v>972</v>
      </c>
      <c r="O161" s="5" t="s">
        <v>972</v>
      </c>
      <c r="P161" s="5" t="s">
        <v>40</v>
      </c>
      <c r="Q161" s="5"/>
    </row>
    <row r="162" spans="1:17" ht="27.6">
      <c r="A162" s="5" t="s">
        <v>1136</v>
      </c>
      <c r="B162" s="5" t="s">
        <v>1137</v>
      </c>
      <c r="C162" s="5" t="s">
        <v>683</v>
      </c>
      <c r="D162" s="5" t="s">
        <v>970</v>
      </c>
      <c r="E162" s="5" t="s">
        <v>1138</v>
      </c>
      <c r="F162" s="5">
        <v>1</v>
      </c>
      <c r="G162" s="5">
        <v>204886845</v>
      </c>
      <c r="H162" s="5" t="s">
        <v>665</v>
      </c>
      <c r="I162" s="5" t="s">
        <v>25</v>
      </c>
      <c r="J162" s="5"/>
      <c r="K162" s="5"/>
      <c r="L162" s="5"/>
      <c r="M162" s="5" t="s">
        <v>41</v>
      </c>
      <c r="N162" s="5" t="s">
        <v>972</v>
      </c>
      <c r="O162" s="5" t="s">
        <v>972</v>
      </c>
      <c r="P162" s="5" t="s">
        <v>40</v>
      </c>
      <c r="Q162" s="5"/>
    </row>
    <row r="163" spans="1:17" ht="27.6">
      <c r="A163" s="5" t="s">
        <v>1139</v>
      </c>
      <c r="B163" s="5" t="s">
        <v>1137</v>
      </c>
      <c r="C163" s="5" t="s">
        <v>683</v>
      </c>
      <c r="D163" s="5" t="s">
        <v>970</v>
      </c>
      <c r="E163" s="5" t="s">
        <v>1138</v>
      </c>
      <c r="F163" s="5">
        <v>2</v>
      </c>
      <c r="G163" s="5">
        <v>1480646854</v>
      </c>
      <c r="H163" s="5" t="s">
        <v>665</v>
      </c>
      <c r="I163" s="5" t="s">
        <v>25</v>
      </c>
      <c r="J163" s="5"/>
      <c r="K163" s="5"/>
      <c r="L163" s="5"/>
      <c r="M163" s="5" t="s">
        <v>41</v>
      </c>
      <c r="N163" s="5" t="s">
        <v>972</v>
      </c>
      <c r="O163" s="5" t="s">
        <v>972</v>
      </c>
      <c r="P163" s="5" t="s">
        <v>40</v>
      </c>
      <c r="Q163" s="5"/>
    </row>
    <row r="164" spans="1:17" ht="27.6">
      <c r="A164" s="5" t="s">
        <v>1140</v>
      </c>
      <c r="B164" s="5" t="s">
        <v>1137</v>
      </c>
      <c r="C164" s="5" t="s">
        <v>683</v>
      </c>
      <c r="D164" s="5" t="s">
        <v>970</v>
      </c>
      <c r="E164" s="5" t="s">
        <v>1138</v>
      </c>
      <c r="F164" s="5">
        <v>3</v>
      </c>
      <c r="G164" s="5">
        <v>1798418854</v>
      </c>
      <c r="H164" s="5" t="s">
        <v>665</v>
      </c>
      <c r="I164" s="5" t="s">
        <v>25</v>
      </c>
      <c r="J164" s="5"/>
      <c r="K164" s="5"/>
      <c r="L164" s="5"/>
      <c r="M164" s="5" t="s">
        <v>41</v>
      </c>
      <c r="N164" s="5" t="s">
        <v>972</v>
      </c>
      <c r="O164" s="5" t="s">
        <v>972</v>
      </c>
      <c r="P164" s="5" t="s">
        <v>40</v>
      </c>
      <c r="Q164" s="5"/>
    </row>
    <row r="165" spans="1:17" ht="27.6">
      <c r="A165" s="5" t="s">
        <v>1141</v>
      </c>
      <c r="B165" s="5" t="s">
        <v>1137</v>
      </c>
      <c r="C165" s="5" t="s">
        <v>683</v>
      </c>
      <c r="D165" s="5" t="s">
        <v>970</v>
      </c>
      <c r="E165" s="5" t="s">
        <v>1138</v>
      </c>
      <c r="F165" s="5">
        <v>4</v>
      </c>
      <c r="G165" s="5">
        <v>2045683682</v>
      </c>
      <c r="H165" s="5" t="s">
        <v>665</v>
      </c>
      <c r="I165" s="5" t="s">
        <v>25</v>
      </c>
      <c r="J165" s="5"/>
      <c r="K165" s="5"/>
      <c r="L165" s="5"/>
      <c r="M165" s="5" t="s">
        <v>41</v>
      </c>
      <c r="N165" s="5" t="s">
        <v>972</v>
      </c>
      <c r="O165" s="5" t="s">
        <v>972</v>
      </c>
      <c r="P165" s="5" t="s">
        <v>40</v>
      </c>
      <c r="Q165" s="5"/>
    </row>
    <row r="166" spans="1:17" ht="27.6">
      <c r="A166" s="5" t="s">
        <v>1142</v>
      </c>
      <c r="B166" s="5" t="s">
        <v>1137</v>
      </c>
      <c r="C166" s="5" t="s">
        <v>683</v>
      </c>
      <c r="D166" s="5" t="s">
        <v>970</v>
      </c>
      <c r="E166" s="5" t="s">
        <v>1138</v>
      </c>
      <c r="F166" s="5">
        <v>5</v>
      </c>
      <c r="G166" s="5">
        <v>1814859839</v>
      </c>
      <c r="H166" s="5" t="s">
        <v>665</v>
      </c>
      <c r="I166" s="5" t="s">
        <v>25</v>
      </c>
      <c r="J166" s="5"/>
      <c r="K166" s="5"/>
      <c r="L166" s="5"/>
      <c r="M166" s="5" t="s">
        <v>41</v>
      </c>
      <c r="N166" s="5" t="s">
        <v>972</v>
      </c>
      <c r="O166" s="5" t="s">
        <v>972</v>
      </c>
      <c r="P166" s="5" t="s">
        <v>40</v>
      </c>
      <c r="Q166" s="5"/>
    </row>
    <row r="167" spans="1:17" ht="27.6">
      <c r="A167" s="5" t="s">
        <v>1143</v>
      </c>
      <c r="B167" s="5" t="s">
        <v>1137</v>
      </c>
      <c r="C167" s="5" t="s">
        <v>683</v>
      </c>
      <c r="D167" s="5" t="s">
        <v>970</v>
      </c>
      <c r="E167" s="5" t="s">
        <v>1138</v>
      </c>
      <c r="F167" s="5">
        <v>6</v>
      </c>
      <c r="G167" s="5">
        <v>1603952859</v>
      </c>
      <c r="H167" s="5" t="s">
        <v>665</v>
      </c>
      <c r="I167" s="5" t="s">
        <v>25</v>
      </c>
      <c r="J167" s="5"/>
      <c r="K167" s="5"/>
      <c r="L167" s="5"/>
      <c r="M167" s="5" t="s">
        <v>41</v>
      </c>
      <c r="N167" s="5" t="s">
        <v>972</v>
      </c>
      <c r="O167" s="5" t="s">
        <v>972</v>
      </c>
      <c r="P167" s="5" t="s">
        <v>40</v>
      </c>
      <c r="Q167" s="5"/>
    </row>
    <row r="168" spans="1:17" ht="27.6">
      <c r="A168" s="5" t="s">
        <v>1144</v>
      </c>
      <c r="B168" s="5" t="s">
        <v>1137</v>
      </c>
      <c r="C168" s="5" t="s">
        <v>683</v>
      </c>
      <c r="D168" s="5" t="s">
        <v>970</v>
      </c>
      <c r="E168" s="5" t="s">
        <v>1138</v>
      </c>
      <c r="F168" s="5">
        <v>7</v>
      </c>
      <c r="G168" s="5">
        <v>1878351743</v>
      </c>
      <c r="H168" s="5" t="s">
        <v>665</v>
      </c>
      <c r="I168" s="5" t="s">
        <v>25</v>
      </c>
      <c r="J168" s="5"/>
      <c r="K168" s="5"/>
      <c r="L168" s="5"/>
      <c r="M168" s="5" t="s">
        <v>41</v>
      </c>
      <c r="N168" s="5" t="s">
        <v>972</v>
      </c>
      <c r="O168" s="5" t="s">
        <v>972</v>
      </c>
      <c r="P168" s="5" t="s">
        <v>40</v>
      </c>
      <c r="Q168" s="5"/>
    </row>
    <row r="169" spans="1:17" ht="27.6">
      <c r="A169" s="5" t="s">
        <v>1145</v>
      </c>
      <c r="B169" s="5" t="s">
        <v>1137</v>
      </c>
      <c r="C169" s="5" t="s">
        <v>683</v>
      </c>
      <c r="D169" s="5" t="s">
        <v>970</v>
      </c>
      <c r="E169" s="5" t="s">
        <v>1138</v>
      </c>
      <c r="F169" s="5">
        <v>8</v>
      </c>
      <c r="G169" s="5">
        <v>875651179</v>
      </c>
      <c r="H169" s="5" t="s">
        <v>665</v>
      </c>
      <c r="I169" s="5" t="s">
        <v>25</v>
      </c>
      <c r="J169" s="5"/>
      <c r="K169" s="5"/>
      <c r="L169" s="5"/>
      <c r="M169" s="5" t="s">
        <v>41</v>
      </c>
      <c r="N169" s="5" t="s">
        <v>972</v>
      </c>
      <c r="O169" s="5" t="s">
        <v>972</v>
      </c>
      <c r="P169" s="5" t="s">
        <v>40</v>
      </c>
      <c r="Q169" s="5"/>
    </row>
    <row r="170" spans="1:17" ht="27.6">
      <c r="A170" s="5" t="s">
        <v>1146</v>
      </c>
      <c r="B170" s="5" t="s">
        <v>1137</v>
      </c>
      <c r="C170" s="5" t="s">
        <v>683</v>
      </c>
      <c r="D170" s="5" t="s">
        <v>970</v>
      </c>
      <c r="E170" s="5" t="s">
        <v>1138</v>
      </c>
      <c r="F170" s="5">
        <v>9</v>
      </c>
      <c r="G170" s="5">
        <v>477581743</v>
      </c>
      <c r="H170" s="5" t="s">
        <v>665</v>
      </c>
      <c r="I170" s="5" t="s">
        <v>25</v>
      </c>
      <c r="J170" s="5"/>
      <c r="K170" s="5"/>
      <c r="L170" s="5"/>
      <c r="M170" s="5" t="s">
        <v>41</v>
      </c>
      <c r="N170" s="5" t="s">
        <v>972</v>
      </c>
      <c r="O170" s="5" t="s">
        <v>972</v>
      </c>
      <c r="P170" s="5" t="s">
        <v>40</v>
      </c>
      <c r="Q170" s="5"/>
    </row>
    <row r="171" spans="1:17" ht="27.6">
      <c r="A171" s="5" t="s">
        <v>1147</v>
      </c>
      <c r="B171" s="5" t="s">
        <v>1137</v>
      </c>
      <c r="C171" s="5" t="s">
        <v>683</v>
      </c>
      <c r="D171" s="5" t="s">
        <v>970</v>
      </c>
      <c r="E171" s="5" t="s">
        <v>1138</v>
      </c>
      <c r="F171" s="5">
        <v>10</v>
      </c>
      <c r="G171" s="5">
        <v>869675675</v>
      </c>
      <c r="H171" s="5" t="s">
        <v>665</v>
      </c>
      <c r="I171" s="5" t="s">
        <v>25</v>
      </c>
      <c r="J171" s="5"/>
      <c r="K171" s="5"/>
      <c r="L171" s="5"/>
      <c r="M171" s="5" t="s">
        <v>41</v>
      </c>
      <c r="N171" s="5" t="s">
        <v>972</v>
      </c>
      <c r="O171" s="5" t="s">
        <v>972</v>
      </c>
      <c r="P171" s="5" t="s">
        <v>40</v>
      </c>
      <c r="Q171" s="5"/>
    </row>
    <row r="172" spans="1:17" ht="27.6">
      <c r="A172" s="5" t="s">
        <v>1148</v>
      </c>
      <c r="B172" s="5" t="s">
        <v>1137</v>
      </c>
      <c r="C172" s="5" t="s">
        <v>683</v>
      </c>
      <c r="D172" s="5" t="s">
        <v>1016</v>
      </c>
      <c r="E172" s="5" t="s">
        <v>1138</v>
      </c>
      <c r="F172" s="5">
        <v>1</v>
      </c>
      <c r="G172" s="5">
        <v>204886845</v>
      </c>
      <c r="H172" s="5" t="s">
        <v>665</v>
      </c>
      <c r="I172" s="5" t="s">
        <v>25</v>
      </c>
      <c r="J172" s="5"/>
      <c r="K172" s="5"/>
      <c r="L172" s="5"/>
      <c r="M172" s="5" t="s">
        <v>41</v>
      </c>
      <c r="N172" s="5" t="s">
        <v>972</v>
      </c>
      <c r="O172" s="5" t="s">
        <v>972</v>
      </c>
      <c r="P172" s="5" t="s">
        <v>40</v>
      </c>
      <c r="Q172" s="5"/>
    </row>
    <row r="173" spans="1:17" ht="27.6">
      <c r="A173" s="5" t="s">
        <v>1149</v>
      </c>
      <c r="B173" s="5" t="s">
        <v>1137</v>
      </c>
      <c r="C173" s="5" t="s">
        <v>683</v>
      </c>
      <c r="D173" s="5" t="s">
        <v>1016</v>
      </c>
      <c r="E173" s="5" t="s">
        <v>1138</v>
      </c>
      <c r="F173" s="5">
        <v>2</v>
      </c>
      <c r="G173" s="5">
        <v>1480646854</v>
      </c>
      <c r="H173" s="5" t="s">
        <v>665</v>
      </c>
      <c r="I173" s="5" t="s">
        <v>25</v>
      </c>
      <c r="J173" s="5"/>
      <c r="K173" s="5"/>
      <c r="L173" s="5"/>
      <c r="M173" s="5" t="s">
        <v>41</v>
      </c>
      <c r="N173" s="5" t="s">
        <v>972</v>
      </c>
      <c r="O173" s="5" t="s">
        <v>972</v>
      </c>
      <c r="P173" s="5" t="s">
        <v>40</v>
      </c>
      <c r="Q173" s="5"/>
    </row>
    <row r="174" spans="1:17" ht="27.6">
      <c r="A174" s="5" t="s">
        <v>1150</v>
      </c>
      <c r="B174" s="5" t="s">
        <v>1137</v>
      </c>
      <c r="C174" s="5" t="s">
        <v>683</v>
      </c>
      <c r="D174" s="5" t="s">
        <v>1016</v>
      </c>
      <c r="E174" s="5" t="s">
        <v>1138</v>
      </c>
      <c r="F174" s="5">
        <v>3</v>
      </c>
      <c r="G174" s="5">
        <v>1798418854</v>
      </c>
      <c r="H174" s="5" t="s">
        <v>665</v>
      </c>
      <c r="I174" s="5" t="s">
        <v>25</v>
      </c>
      <c r="J174" s="5"/>
      <c r="K174" s="5"/>
      <c r="L174" s="5"/>
      <c r="M174" s="5" t="s">
        <v>41</v>
      </c>
      <c r="N174" s="5" t="s">
        <v>972</v>
      </c>
      <c r="O174" s="5" t="s">
        <v>972</v>
      </c>
      <c r="P174" s="5" t="s">
        <v>40</v>
      </c>
      <c r="Q174" s="5"/>
    </row>
    <row r="175" spans="1:17" ht="27.6">
      <c r="A175" s="5" t="s">
        <v>1151</v>
      </c>
      <c r="B175" s="5" t="s">
        <v>1137</v>
      </c>
      <c r="C175" s="5" t="s">
        <v>683</v>
      </c>
      <c r="D175" s="5" t="s">
        <v>1016</v>
      </c>
      <c r="E175" s="5" t="s">
        <v>1138</v>
      </c>
      <c r="F175" s="5">
        <v>4</v>
      </c>
      <c r="G175" s="5">
        <v>2045683682</v>
      </c>
      <c r="H175" s="5" t="s">
        <v>665</v>
      </c>
      <c r="I175" s="5" t="s">
        <v>25</v>
      </c>
      <c r="J175" s="5"/>
      <c r="K175" s="5"/>
      <c r="L175" s="5"/>
      <c r="M175" s="5" t="s">
        <v>41</v>
      </c>
      <c r="N175" s="5" t="s">
        <v>972</v>
      </c>
      <c r="O175" s="5" t="s">
        <v>972</v>
      </c>
      <c r="P175" s="5" t="s">
        <v>40</v>
      </c>
      <c r="Q175" s="5"/>
    </row>
    <row r="176" spans="1:17" ht="27.6">
      <c r="A176" s="5" t="s">
        <v>1152</v>
      </c>
      <c r="B176" s="5" t="s">
        <v>1137</v>
      </c>
      <c r="C176" s="5" t="s">
        <v>683</v>
      </c>
      <c r="D176" s="5" t="s">
        <v>1016</v>
      </c>
      <c r="E176" s="5" t="s">
        <v>1138</v>
      </c>
      <c r="F176" s="5">
        <v>5</v>
      </c>
      <c r="G176" s="5">
        <v>1814859839</v>
      </c>
      <c r="H176" s="5" t="s">
        <v>665</v>
      </c>
      <c r="I176" s="5" t="s">
        <v>25</v>
      </c>
      <c r="J176" s="5"/>
      <c r="K176" s="5"/>
      <c r="L176" s="5"/>
      <c r="M176" s="5" t="s">
        <v>41</v>
      </c>
      <c r="N176" s="5" t="s">
        <v>972</v>
      </c>
      <c r="O176" s="5" t="s">
        <v>972</v>
      </c>
      <c r="P176" s="5" t="s">
        <v>40</v>
      </c>
      <c r="Q176" s="5"/>
    </row>
    <row r="177" spans="1:17" ht="27.6">
      <c r="A177" s="5" t="s">
        <v>1153</v>
      </c>
      <c r="B177" s="5" t="s">
        <v>1137</v>
      </c>
      <c r="C177" s="5" t="s">
        <v>683</v>
      </c>
      <c r="D177" s="5" t="s">
        <v>1016</v>
      </c>
      <c r="E177" s="5" t="s">
        <v>1138</v>
      </c>
      <c r="F177" s="5">
        <v>6</v>
      </c>
      <c r="G177" s="5">
        <v>1603952859</v>
      </c>
      <c r="H177" s="5" t="s">
        <v>665</v>
      </c>
      <c r="I177" s="5" t="s">
        <v>25</v>
      </c>
      <c r="J177" s="5"/>
      <c r="K177" s="5"/>
      <c r="L177" s="5"/>
      <c r="M177" s="5" t="s">
        <v>41</v>
      </c>
      <c r="N177" s="5" t="s">
        <v>972</v>
      </c>
      <c r="O177" s="5" t="s">
        <v>972</v>
      </c>
      <c r="P177" s="5" t="s">
        <v>40</v>
      </c>
      <c r="Q177" s="5"/>
    </row>
    <row r="178" spans="1:17" ht="27.6">
      <c r="A178" s="5" t="s">
        <v>1154</v>
      </c>
      <c r="B178" s="5" t="s">
        <v>1137</v>
      </c>
      <c r="C178" s="5" t="s">
        <v>683</v>
      </c>
      <c r="D178" s="5" t="s">
        <v>1016</v>
      </c>
      <c r="E178" s="5" t="s">
        <v>1138</v>
      </c>
      <c r="F178" s="5">
        <v>7</v>
      </c>
      <c r="G178" s="5">
        <v>1878351743</v>
      </c>
      <c r="H178" s="5" t="s">
        <v>665</v>
      </c>
      <c r="I178" s="5" t="s">
        <v>25</v>
      </c>
      <c r="J178" s="5"/>
      <c r="K178" s="5"/>
      <c r="L178" s="5"/>
      <c r="M178" s="5" t="s">
        <v>41</v>
      </c>
      <c r="N178" s="5" t="s">
        <v>972</v>
      </c>
      <c r="O178" s="5" t="s">
        <v>972</v>
      </c>
      <c r="P178" s="5" t="s">
        <v>40</v>
      </c>
      <c r="Q178" s="5"/>
    </row>
    <row r="179" spans="1:17" ht="27.6">
      <c r="A179" s="5" t="s">
        <v>1155</v>
      </c>
      <c r="B179" s="5" t="s">
        <v>1137</v>
      </c>
      <c r="C179" s="5" t="s">
        <v>683</v>
      </c>
      <c r="D179" s="5" t="s">
        <v>1016</v>
      </c>
      <c r="E179" s="5" t="s">
        <v>1138</v>
      </c>
      <c r="F179" s="5">
        <v>8</v>
      </c>
      <c r="G179" s="5">
        <v>875651179</v>
      </c>
      <c r="H179" s="5" t="s">
        <v>665</v>
      </c>
      <c r="I179" s="5" t="s">
        <v>25</v>
      </c>
      <c r="J179" s="5"/>
      <c r="K179" s="5"/>
      <c r="L179" s="5"/>
      <c r="M179" s="5" t="s">
        <v>41</v>
      </c>
      <c r="N179" s="5" t="s">
        <v>972</v>
      </c>
      <c r="O179" s="5" t="s">
        <v>972</v>
      </c>
      <c r="P179" s="5" t="s">
        <v>40</v>
      </c>
      <c r="Q179" s="5"/>
    </row>
    <row r="180" spans="1:17" ht="27.6">
      <c r="A180" s="5" t="s">
        <v>1156</v>
      </c>
      <c r="B180" s="5" t="s">
        <v>1137</v>
      </c>
      <c r="C180" s="5" t="s">
        <v>683</v>
      </c>
      <c r="D180" s="5" t="s">
        <v>1016</v>
      </c>
      <c r="E180" s="5" t="s">
        <v>1138</v>
      </c>
      <c r="F180" s="5">
        <v>9</v>
      </c>
      <c r="G180" s="5">
        <v>477581743</v>
      </c>
      <c r="H180" s="5" t="s">
        <v>665</v>
      </c>
      <c r="I180" s="5" t="s">
        <v>25</v>
      </c>
      <c r="J180" s="5"/>
      <c r="K180" s="5"/>
      <c r="L180" s="5"/>
      <c r="M180" s="5" t="s">
        <v>41</v>
      </c>
      <c r="N180" s="5" t="s">
        <v>972</v>
      </c>
      <c r="O180" s="5" t="s">
        <v>972</v>
      </c>
      <c r="P180" s="5" t="s">
        <v>40</v>
      </c>
      <c r="Q180" s="5"/>
    </row>
    <row r="181" spans="1:17" ht="27.6">
      <c r="A181" s="5" t="s">
        <v>1157</v>
      </c>
      <c r="B181" s="5" t="s">
        <v>1137</v>
      </c>
      <c r="C181" s="5" t="s">
        <v>683</v>
      </c>
      <c r="D181" s="5" t="s">
        <v>1016</v>
      </c>
      <c r="E181" s="5" t="s">
        <v>1138</v>
      </c>
      <c r="F181" s="5">
        <v>10</v>
      </c>
      <c r="G181" s="5">
        <v>869675675</v>
      </c>
      <c r="H181" s="5" t="s">
        <v>665</v>
      </c>
      <c r="I181" s="5" t="s">
        <v>25</v>
      </c>
      <c r="J181" s="5"/>
      <c r="K181" s="5"/>
      <c r="L181" s="5"/>
      <c r="M181" s="5" t="s">
        <v>41</v>
      </c>
      <c r="N181" s="5" t="s">
        <v>972</v>
      </c>
      <c r="O181" s="5" t="s">
        <v>972</v>
      </c>
      <c r="P181" s="5" t="s">
        <v>40</v>
      </c>
      <c r="Q181" s="5"/>
    </row>
  </sheetData>
  <conditionalFormatting sqref="I2:I181">
    <cfRule type="expression" dxfId="1" priority="1">
      <formula>I2="CLOSED_VERIFIED"</formula>
    </cfRule>
    <cfRule type="expression" dxfId="0" priority="2">
      <formula>OR(I2="TECHNICAL_FAIL",I2="BLOCKED")</formula>
    </cfRule>
  </conditionalFormatting>
  <dataValidations count="3">
    <dataValidation type="list" sqref="I2:I181" xr:uid="{00000000-0002-0000-0600-000000000000}">
      <formula1>"NOT_STARTED,RUNNING,CLOSED_VERIFIED,TECHNICAL_FAIL,BLOCKED"</formula1>
    </dataValidation>
    <dataValidation type="list" sqref="N2:O181" xr:uid="{00000000-0002-0000-0600-000001000000}">
      <formula1>"NO,YES"</formula1>
    </dataValidation>
    <dataValidation type="list" sqref="P2:P181" xr:uid="{00000000-0002-0000-0600-000002000000}">
      <formula1>"NOT_AUTHORIZED,RUNNING,CLOSED_VERIFIED,FAIL"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workbookViewId="0"/>
  </sheetViews>
  <sheetFormatPr defaultRowHeight="13.8"/>
  <cols>
    <col min="1" max="1" width="28" customWidth="1"/>
    <col min="2" max="2" width="24" customWidth="1"/>
    <col min="3" max="3" width="30" customWidth="1"/>
    <col min="4" max="4" width="50" customWidth="1"/>
    <col min="5" max="5" width="14" customWidth="1"/>
    <col min="6" max="6" width="42" customWidth="1"/>
  </cols>
  <sheetData>
    <row r="1" spans="1:6">
      <c r="A1" s="19" t="s">
        <v>1158</v>
      </c>
      <c r="B1" s="19"/>
      <c r="C1" s="19"/>
      <c r="D1" s="19"/>
      <c r="E1" s="19"/>
      <c r="F1" s="19"/>
    </row>
    <row r="2" spans="1:6">
      <c r="A2" s="19"/>
      <c r="B2" s="19"/>
      <c r="C2" s="19"/>
      <c r="D2" s="19"/>
      <c r="E2" s="19"/>
      <c r="F2" s="19"/>
    </row>
    <row r="3" spans="1:6">
      <c r="A3" s="5"/>
      <c r="B3" s="5"/>
      <c r="C3" s="5"/>
      <c r="D3" s="5"/>
      <c r="E3" s="5"/>
      <c r="F3" s="5"/>
    </row>
    <row r="4" spans="1:6">
      <c r="A4" s="2" t="s">
        <v>23</v>
      </c>
      <c r="B4" s="2" t="s">
        <v>1159</v>
      </c>
      <c r="C4" s="2" t="s">
        <v>1160</v>
      </c>
      <c r="D4" s="2" t="s">
        <v>1161</v>
      </c>
      <c r="E4" s="2" t="s">
        <v>1162</v>
      </c>
      <c r="F4" s="2" t="s">
        <v>1163</v>
      </c>
    </row>
    <row r="5" spans="1:6" ht="27.6">
      <c r="A5" s="5" t="s">
        <v>1164</v>
      </c>
      <c r="B5" s="5" t="s">
        <v>1165</v>
      </c>
      <c r="C5" s="5" t="s">
        <v>1166</v>
      </c>
      <c r="D5" s="5" t="s">
        <v>66</v>
      </c>
      <c r="E5" s="5" t="s">
        <v>1167</v>
      </c>
      <c r="F5" s="5" t="s">
        <v>1168</v>
      </c>
    </row>
    <row r="6" spans="1:6" ht="27.6">
      <c r="A6" s="5" t="s">
        <v>1169</v>
      </c>
      <c r="B6" s="5" t="s">
        <v>130</v>
      </c>
      <c r="C6" s="5" t="s">
        <v>1170</v>
      </c>
      <c r="D6" s="5" t="s">
        <v>71</v>
      </c>
      <c r="E6" s="5" t="s">
        <v>1167</v>
      </c>
      <c r="F6" s="5" t="s">
        <v>1171</v>
      </c>
    </row>
    <row r="7" spans="1:6" ht="27.6">
      <c r="A7" s="5" t="s">
        <v>1172</v>
      </c>
      <c r="B7" s="5" t="s">
        <v>65</v>
      </c>
      <c r="C7" s="5" t="s">
        <v>1173</v>
      </c>
      <c r="D7" s="5" t="s">
        <v>75</v>
      </c>
      <c r="E7" s="5" t="s">
        <v>1167</v>
      </c>
      <c r="F7" s="5" t="s">
        <v>1174</v>
      </c>
    </row>
    <row r="8" spans="1:6" ht="41.4">
      <c r="A8" s="5" t="s">
        <v>1251</v>
      </c>
      <c r="B8" s="5" t="s">
        <v>1252</v>
      </c>
      <c r="C8" s="5" t="s">
        <v>1253</v>
      </c>
      <c r="D8" s="5"/>
      <c r="E8" s="5" t="s">
        <v>1254</v>
      </c>
      <c r="F8" s="5" t="s">
        <v>1255</v>
      </c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2" t="s">
        <v>1175</v>
      </c>
      <c r="B11" s="2" t="s">
        <v>1176</v>
      </c>
      <c r="C11" s="2" t="s">
        <v>1177</v>
      </c>
      <c r="D11" s="2" t="s">
        <v>53</v>
      </c>
      <c r="E11" s="5"/>
      <c r="F11" s="5"/>
    </row>
    <row r="12" spans="1:6">
      <c r="A12" s="5" t="s">
        <v>1178</v>
      </c>
      <c r="B12" s="5">
        <v>4894</v>
      </c>
      <c r="C12" s="5" t="s">
        <v>1179</v>
      </c>
      <c r="D12" s="5" t="s">
        <v>1180</v>
      </c>
      <c r="E12" s="5"/>
      <c r="F12" s="5"/>
    </row>
    <row r="13" spans="1:6">
      <c r="A13" s="5" t="s">
        <v>1181</v>
      </c>
      <c r="B13" s="5" t="s">
        <v>1182</v>
      </c>
      <c r="C13" s="5" t="s">
        <v>1179</v>
      </c>
      <c r="D13" s="5" t="s">
        <v>1183</v>
      </c>
      <c r="E13" s="5"/>
      <c r="F13" s="5"/>
    </row>
    <row r="14" spans="1:6">
      <c r="A14" s="5" t="s">
        <v>1184</v>
      </c>
      <c r="B14" s="5" t="s">
        <v>1185</v>
      </c>
      <c r="C14" s="5" t="s">
        <v>1179</v>
      </c>
      <c r="D14" s="5" t="s">
        <v>1186</v>
      </c>
      <c r="E14" s="5"/>
      <c r="F14" s="5"/>
    </row>
    <row r="15" spans="1:6">
      <c r="A15" s="5" t="s">
        <v>1187</v>
      </c>
      <c r="B15" s="5">
        <v>14</v>
      </c>
      <c r="C15" s="5" t="s">
        <v>1188</v>
      </c>
      <c r="D15" s="5" t="s">
        <v>1189</v>
      </c>
      <c r="E15" s="5"/>
      <c r="F15" s="5"/>
    </row>
    <row r="16" spans="1:6">
      <c r="A16" s="5" t="s">
        <v>1190</v>
      </c>
      <c r="B16" s="5">
        <v>42</v>
      </c>
      <c r="C16" s="5" t="s">
        <v>1191</v>
      </c>
      <c r="D16" s="5" t="s">
        <v>1192</v>
      </c>
      <c r="E16" s="5"/>
      <c r="F16" s="5"/>
    </row>
    <row r="17" spans="1:6">
      <c r="A17" s="5" t="s">
        <v>1193</v>
      </c>
      <c r="B17" s="5">
        <v>10</v>
      </c>
      <c r="C17" s="5" t="s">
        <v>1194</v>
      </c>
      <c r="D17" s="5" t="s">
        <v>1195</v>
      </c>
      <c r="E17" s="5"/>
      <c r="F17" s="5"/>
    </row>
    <row r="18" spans="1:6">
      <c r="A18" s="5" t="s">
        <v>1196</v>
      </c>
      <c r="B18" s="5">
        <v>180</v>
      </c>
      <c r="C18" s="5" t="s">
        <v>1197</v>
      </c>
      <c r="D18" s="5" t="s">
        <v>1198</v>
      </c>
      <c r="E18" s="5"/>
      <c r="F18" s="5"/>
    </row>
    <row r="19" spans="1:6">
      <c r="A19" s="5" t="s">
        <v>1199</v>
      </c>
      <c r="B19" s="5">
        <v>172</v>
      </c>
      <c r="C19" s="5" t="s">
        <v>1200</v>
      </c>
      <c r="D19" s="5" t="s">
        <v>1201</v>
      </c>
      <c r="E19" s="5"/>
      <c r="F19" s="5"/>
    </row>
    <row r="20" spans="1:6">
      <c r="A20" s="5" t="s">
        <v>1202</v>
      </c>
      <c r="B20" s="5">
        <v>2064</v>
      </c>
      <c r="C20" s="5" t="s">
        <v>1203</v>
      </c>
      <c r="D20" s="5" t="s">
        <v>1204</v>
      </c>
      <c r="E20" s="5"/>
      <c r="F20" s="5"/>
    </row>
    <row r="21" spans="1:6">
      <c r="A21" s="5" t="s">
        <v>1205</v>
      </c>
      <c r="B21" s="5">
        <v>1032</v>
      </c>
      <c r="C21" s="5" t="s">
        <v>1203</v>
      </c>
      <c r="D21" s="5" t="s">
        <v>1206</v>
      </c>
      <c r="E21" s="5"/>
      <c r="F21" s="5"/>
    </row>
    <row r="22" spans="1:6">
      <c r="A22" s="5" t="s">
        <v>1207</v>
      </c>
      <c r="B22" s="5">
        <v>10284</v>
      </c>
      <c r="C22" s="5" t="s">
        <v>1203</v>
      </c>
      <c r="D22" s="5" t="s">
        <v>1208</v>
      </c>
      <c r="E22" s="5"/>
      <c r="F22" s="5"/>
    </row>
    <row r="23" spans="1:6">
      <c r="A23" s="5" t="s">
        <v>1209</v>
      </c>
      <c r="B23" s="5">
        <v>1E-3</v>
      </c>
      <c r="C23" s="5" t="s">
        <v>1210</v>
      </c>
      <c r="D23" s="5" t="s">
        <v>1211</v>
      </c>
      <c r="E23" s="5"/>
      <c r="F23" s="5"/>
    </row>
    <row r="24" spans="1:6">
      <c r="A24" s="5" t="s">
        <v>1212</v>
      </c>
      <c r="B24" s="5" t="s">
        <v>1213</v>
      </c>
      <c r="C24" s="5" t="s">
        <v>1214</v>
      </c>
      <c r="D24" s="5" t="s">
        <v>1215</v>
      </c>
      <c r="E24" s="5"/>
      <c r="F24" s="5"/>
    </row>
    <row r="25" spans="1:6">
      <c r="A25" s="5" t="s">
        <v>1216</v>
      </c>
      <c r="B25" s="5">
        <v>4</v>
      </c>
      <c r="C25" s="5" t="s">
        <v>1217</v>
      </c>
      <c r="D25" s="5" t="s">
        <v>1218</v>
      </c>
      <c r="E25" s="5"/>
      <c r="F25" s="5"/>
    </row>
    <row r="26" spans="1:6">
      <c r="A26" s="5" t="s">
        <v>448</v>
      </c>
      <c r="B26" s="5" t="s">
        <v>1219</v>
      </c>
      <c r="C26" s="5" t="s">
        <v>1220</v>
      </c>
      <c r="D26" s="5" t="s">
        <v>1221</v>
      </c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</sheetData>
  <mergeCells count="1">
    <mergeCell ref="A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/>
  </sheetViews>
  <sheetFormatPr defaultRowHeight="13.8"/>
  <cols>
    <col min="1" max="1" width="38" customWidth="1"/>
    <col min="2" max="2" width="28" customWidth="1"/>
    <col min="3" max="3" width="10" customWidth="1"/>
    <col min="4" max="4" width="60" customWidth="1"/>
    <col min="5" max="5" width="14" customWidth="1"/>
    <col min="6" max="6" width="40" customWidth="1"/>
  </cols>
  <sheetData>
    <row r="1" spans="1:6">
      <c r="A1" s="2" t="s">
        <v>806</v>
      </c>
      <c r="B1" s="2" t="s">
        <v>1160</v>
      </c>
      <c r="C1" s="2" t="s">
        <v>23</v>
      </c>
      <c r="D1" s="2" t="s">
        <v>1222</v>
      </c>
      <c r="E1" s="2" t="s">
        <v>1162</v>
      </c>
      <c r="F1" s="2" t="s">
        <v>53</v>
      </c>
    </row>
    <row r="2" spans="1:6">
      <c r="A2" s="5" t="s">
        <v>1165</v>
      </c>
      <c r="B2" s="5" t="s">
        <v>1223</v>
      </c>
      <c r="C2" s="5" t="s">
        <v>1224</v>
      </c>
      <c r="D2" s="5" t="s">
        <v>1225</v>
      </c>
      <c r="E2" s="5" t="s">
        <v>1167</v>
      </c>
      <c r="F2" s="5" t="s">
        <v>1226</v>
      </c>
    </row>
    <row r="3" spans="1:6" ht="27.6">
      <c r="A3" s="5" t="s">
        <v>130</v>
      </c>
      <c r="B3" s="5" t="s">
        <v>1170</v>
      </c>
      <c r="C3" s="5" t="s">
        <v>1227</v>
      </c>
      <c r="D3" s="5" t="s">
        <v>1228</v>
      </c>
      <c r="E3" s="5" t="s">
        <v>1167</v>
      </c>
      <c r="F3" s="5" t="s">
        <v>1229</v>
      </c>
    </row>
    <row r="4" spans="1:6" ht="27.6">
      <c r="A4" s="5" t="s">
        <v>65</v>
      </c>
      <c r="B4" s="5" t="s">
        <v>1173</v>
      </c>
      <c r="C4" s="5" t="s">
        <v>1230</v>
      </c>
      <c r="D4" s="5" t="s">
        <v>1231</v>
      </c>
      <c r="E4" s="5" t="s">
        <v>1167</v>
      </c>
      <c r="F4" s="5" t="s">
        <v>1232</v>
      </c>
    </row>
    <row r="5" spans="1:6" ht="27.6">
      <c r="A5" s="5" t="s">
        <v>1252</v>
      </c>
      <c r="B5" s="5" t="s">
        <v>1256</v>
      </c>
      <c r="C5" s="5" t="s">
        <v>1257</v>
      </c>
      <c r="D5" s="5" t="s">
        <v>1258</v>
      </c>
      <c r="E5" s="5" t="s">
        <v>1254</v>
      </c>
      <c r="F5" s="5" t="s">
        <v>1259</v>
      </c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Lists</vt:lpstr>
      <vt:lpstr>Detailed_Tasks</vt:lpstr>
      <vt:lpstr>Stage_Status</vt:lpstr>
      <vt:lpstr>Evidence_Register</vt:lpstr>
      <vt:lpstr>Risks_Blockers</vt:lpstr>
      <vt:lpstr>S9_Official_Matrix</vt:lpstr>
      <vt:lpstr>Reference_Locks</vt:lpstr>
      <vt:lpstr>Source_Map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2026-09-07T09:48:36Z</dcterms:modified>
</cp:coreProperties>
</file>