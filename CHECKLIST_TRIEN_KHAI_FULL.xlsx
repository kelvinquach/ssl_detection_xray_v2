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207174b1bb430f" /></Relationships>
</file>

<file path=xl/workbook.xml><?xml version="1.0" encoding="utf-8"?>
<x:workbook xmlns:x="http://schemas.openxmlformats.org/spreadsheetml/2006/main">
  <x:sheets>
    <x:sheet xmlns:r="http://schemas.openxmlformats.org/officeDocument/2006/relationships" name="Dashboard" sheetId="1" r:id="R692de72276794385"/>
    <x:sheet xmlns:r="http://schemas.openxmlformats.org/officeDocument/2006/relationships" name="Checklist" sheetId="2" r:id="R3e3e136ef8b04eb5"/>
    <x:sheet xmlns:r="http://schemas.openxmlformats.org/officeDocument/2006/relationships" name="Phase Summary" sheetId="3" r:id="Re41850fdd9254fc6"/>
    <x:sheet xmlns:r="http://schemas.openxmlformats.org/officeDocument/2006/relationships" name="Lists" sheetId="4" r:id="Raf7184ff2b9f48be"/>
  </x:sheets>
</x:workbook>
</file>

<file path=xl/sharedStrings.xml><?xml version="1.0" encoding="utf-8"?>
<x:sst xmlns:x="http://schemas.openxmlformats.org/spreadsheetml/2006/main">
  <x:si>
    <x:t xml:space="preserve">CHECKLIST TRIỂN KHAI FULL — SEMI-SUPERVISED OBJECT DETECTION TRÊN X-QUANG PHỔI</x:t>
  </x:si>
  <x:si>
    <x:t xml:space="preserve">Tổng số task</x:t>
  </x:si>
  <x:si>
    <x:t xml:space="preserve">Gợi ý sử dụng file</x:t>
  </x:si>
  <x:si>
    <x:t xml:space="preserve">Chưa làm</x:t>
  </x:si>
  <x:si>
    <x:t xml:space="preserve">1</x:t>
  </x:si>
  <x:si>
    <x:t xml:space="preserve">Cập nhật Status tại sheet Checklist bằng dropdown.</x:t>
  </x:si>
  <x:si>
    <x:t xml:space="preserve">Đang làm</x:t>
  </x:si>
  <x:si>
    <x:t xml:space="preserve">2</x:t>
  </x:si>
  <x:si>
    <x:t xml:space="preserve">Dùng Priority/Risk/Owner/Due Date để quản lý tiến độ.</x:t>
  </x:si>
  <x:si>
    <x:t xml:space="preserve">Hoàn thành</x:t>
  </x:si>
  <x:si>
    <x:t xml:space="preserve">3</x:t>
  </x:si>
  <x:si>
    <x:t xml:space="preserve">Theo dõi tiến độ theo phase ở sheet Phase Summary.</x:t>
  </x:si>
  <x:si>
    <x:t xml:space="preserve">Bị chặn</x:t>
  </x:si>
  <x:si>
    <x:t xml:space="preserve">4</x:t>
  </x:si>
  <x:si>
    <x:t xml:space="preserve">Không sửa công thức Done Flag trừ khi thay đổi cấu trúc.</x:t>
  </x:si>
  <x:si>
    <x:t xml:space="preserve">Tiến độ</x:t>
  </x:si>
  <x:si>
    <x:t xml:space="preserve">5</x:t>
  </x:si>
  <x:si>
    <x:t xml:space="preserve">Metric chính đã khóa: mAP@0.5:0.95.</x:t>
  </x:si>
  <x:si>
    <x:t xml:space="preserve">6</x:t>
  </x:si>
  <x:si>
    <x:t xml:space="preserve">No Finding là ảnh âm tính không bbox, không phải detection class.</x:t>
  </x:si>
  <x:si>
    <x:t xml:space="preserve">7</x:t>
  </x:si>
  <x:si>
    <x:t xml:space="preserve">Pseudo-BBox phải có NMS + box-quality filtering trước khi student học.</x:t>
  </x:si>
  <x:si>
    <x:t xml:space="preserve">Phase</x:t>
  </x:si>
  <x:si>
    <x:t xml:space="preserve">Total</x:t>
  </x:si>
  <x:si>
    <x:t xml:space="preserve">Tạm hoãn</x:t>
  </x:si>
  <x:si>
    <x:t xml:space="preserve">Completion %</x:t>
  </x:si>
  <x:si>
    <x:t xml:space="preserve">Nguyên tắc chung</x:t>
  </x:si>
  <x:si>
    <x:t xml:space="preserve">PHASE 0 — Setup repo và môi trường</x:t>
  </x:si>
  <x:si>
    <x:t xml:space="preserve">PHASE 1 — Kiểm tra dữ liệu gốc &amp; feasibility</x:t>
  </x:si>
  <x:si>
    <x:t xml:space="preserve">PHASE 2 — Chuẩn hóa dữ liệu và COCO master</x:t>
  </x:si>
  <x:si>
    <x:t xml:space="preserve">PHASE 3 — Pre-training dataset diagnostics</x:t>
  </x:si>
  <x:si>
    <x:t xml:space="preserve">PHASE 4 — Supervised baseline</x:t>
  </x:si>
  <x:si>
    <x:t xml:space="preserve">PHASE 5 — SSL detection</x:t>
  </x:si>
  <x:si>
    <x:t xml:space="preserve">PHASE 6 — Threshold sweep và phân tích lỗi</x:t>
  </x:si>
  <x:si>
    <x:t xml:space="preserve">PHASE 7 — Tổng hợp báo cáo và viết thesis/paper</x:t>
  </x:si>
  <x:si>
    <x:t xml:space="preserve">Checklist bắt buộc trước khi chạy train lớn</x:t>
  </x:si>
  <x:si>
    <x:t xml:space="preserve">Checklist chống lỗi âm thầm</x:t>
  </x:si>
  <x:si>
    <x:t xml:space="preserve">Quy tắc kết luận kết quả</x:t>
  </x:si>
  <x:si>
    <x:t xml:space="preserve">ID</x:t>
  </x:si>
  <x:si>
    <x:t xml:space="preserve">Section</x:t>
  </x:si>
  <x:si>
    <x:t xml:space="preserve">Type</x:t>
  </x:si>
  <x:si>
    <x:t xml:space="preserve">Task</x:t>
  </x:si>
  <x:si>
    <x:t xml:space="preserve">Status</x:t>
  </x:si>
  <x:si>
    <x:t xml:space="preserve">Priority</x:t>
  </x:si>
  <x:si>
    <x:t xml:space="preserve">Risk</x:t>
  </x:si>
  <x:si>
    <x:t xml:space="preserve">Owner</x:t>
  </x:si>
  <x:si>
    <x:t xml:space="preserve">Due Date</x:t>
  </x:si>
  <x:si>
    <x:t xml:space="preserve">Notes</x:t>
  </x:si>
  <x:si>
    <x:t xml:space="preserve">Evidence / Link</x:t>
  </x:si>
  <x:si>
    <x:t xml:space="preserve">Done Flag</x:t>
  </x:si>
  <x:si>
    <x:t xml:space="preserve">Checklist</x:t>
  </x:si>
  <x:si>
    <x:t xml:space="preserve">Mọi kết quả phải truy vết được từ: config → seed/split manifest → log → checkpoint → report.</x:t>
  </x:si>
  <x:si>
    <x:t xml:space="preserve">Cao</x:t>
  </x:si>
  <x:si>
    <x:t xml:space="preserve">Thấp</x:t>
  </x:si>
  <x:si>
    <x:t xml:space="preserve">Metric chính để kết luận là mAP@0.5:0.95.</x:t>
  </x:si>
  <x:si>
    <x:t xml:space="preserve">Test set chỉ dùng để đánh giá cuối; không dùng để chọn checkpoint, threshold, backbone, augmentation hoặc model tốt nhất.</x:t>
  </x:si>
  <x:si>
    <x:t xml:space="preserve">No Finding / normal là ảnh âm tính không có bbox, không phải detection class.</x:t>
  </x:si>
  <x:si>
    <x:t xml:space="preserve">Supervised low-label và SSL phải so sánh trên cùng labeled split, cùng split_seed, cùng fixed test set.</x:t>
  </x:si>
  <x:si>
    <x:t xml:space="preserve">Stability phải được đo bằng nhiều training_seed; không được nhầm training_seed với split_seed.</x:t>
  </x:si>
  <x:si>
    <x:t xml:space="preserve">Không kết luận SSL tốt hơn nếu SSL gain nhỏ hơn hoặc tương đương std giữa các seed.</x:t>
  </x:si>
  <x:si>
    <x:t xml:space="preserve">Class imbalance được theo dõi/phân tích trong SSL; không dùng oversampling/undersampling/class weighting như đóng góp xử lý độc lập.</x:t>
  </x:si>
  <x:si>
    <x:t xml:space="preserve">0A. Tạo cấu trúc repo</x:t>
  </x:si>
  <x:si>
    <x:t xml:space="preserve">Việc cần làm</x:t>
  </x:si>
  <x:si>
    <x:t xml:space="preserve">Tạo repo tên: ssl_detection_xray_v2</x:t>
  </x:si>
  <x:si>
    <x:t xml:space="preserve">Trung bình</x:t>
  </x:si>
  <x:si>
    <x:t xml:space="preserve">Tạo thư mục chính: configs/, data/, src/, scripts/, experiments/, reports/, plots/, models/, logs/, tests/, draft/.</x:t>
  </x:si>
  <x:si>
    <x:t xml:space="preserve">Tạo .gitignore loại dữ liệu lớn và checkpoint: data/raw/, data/interim/, data/processed/images/, models/, logs/, experiments/*/checkpoints/.</x:t>
  </x:si>
  <x:si>
    <x:t xml:space="preserve">Đưa file định hướng vào repo: README.md, CLAUDE.md, STRUCTURE.md, RESEARCH_CHECKLIST.md, repository_structure.md, CHECKLIST_TRIEN_KHAI_FULL.xlsx, research_log.md.</x:t>
  </x:si>
  <x:si>
    <x:t xml:space="preserve">Không dùng lẫn RESEARCH_STRUCTURE.md nếu repo đã khóa tên STRUCTURE.md.</x:t>
  </x:si>
  <x:si>
    <x:t xml:space="preserve">0B. Khóa môi trường và tái lập</x:t>
  </x:si>
  <x:si>
    <x:t xml:space="preserve">Tạo requirements.txt.</x:t>
  </x:si>
  <x:si>
    <x:t xml:space="preserve">Tạo environment.yml nếu dùng Conda.</x:t>
  </x:si>
  <x:si>
    <x:t xml:space="preserve">Ghi rõ Python, PyTorch, CUDA, Detectron2/MMDetection, OpenCV, pandas, numpy, pydicom, pycocotools.</x:t>
  </x:si>
  <x:si>
    <x:t xml:space="preserve">Tạo scripts/00_setup_environment.sh.</x:t>
  </x:si>
  <x:si>
    <x:t xml:space="preserve">Phân biệt và lưu seed number, RNG state và deterministic flags.</x:t>
  </x:si>
  <x:si>
    <x:t xml:space="preserve">Lưu trạng thái RNG của Python random, NumPy, PyTorch CPU, PyTorch CUDA.</x:t>
  </x:si>
  <x:si>
    <x:t xml:space="preserve">Ghi rõ cờ deterministic: torch.use_deterministic_algorithms, torch.backends.cudnn.deterministic, torch.backends.cudnn.benchmark.</x:t>
  </x:si>
  <x:si>
    <x:t xml:space="preserve">Ghi rõ nếu có CUDA operation không deterministic và ảnh hưởng dự kiến.</x:t>
  </x:si>
  <x:si>
    <x:t xml:space="preserve">Output</x:t>
  </x:si>
  <x:si>
    <x:t xml:space="preserve">requirements.txt</x:t>
  </x:si>
  <x:si>
    <x:t xml:space="preserve">environment.yml</x:t>
  </x:si>
  <x:si>
    <x:t xml:space="preserve">scripts/00_setup_environment.sh</x:t>
  </x:si>
  <x:si>
    <x:t xml:space="preserve">data/manifests/seed_state_manifest.json</x:t>
  </x:si>
  <x:si>
    <x:t xml:space="preserve">reports/reproducibility_settings.md</x:t>
  </x:si>
  <x:si>
    <x:t xml:space="preserve">DoD</x:t>
  </x:si>
  <x:si>
    <x:t xml:space="preserve">Cài môi trường được trên máy mới.</x:t>
  </x:si>
  <x:si>
    <x:t xml:space="preserve">Import được framework detection.</x:t>
  </x:si>
  <x:si>
    <x:t xml:space="preserve">Chạy được kiểm tra torch.cuda.is_available().</x:t>
  </x:si>
  <x:si>
    <x:t xml:space="preserve">Mỗi lần chạy lưu được seed number, RNG state và deterministic configuration.</x:t>
  </x:si>
  <x:si>
    <x:t xml:space="preserve">Truy vết được một kết quả từ config → seed state → checkpoint → metric.</x:t>
  </x:si>
  <x:si>
    <x:t xml:space="preserve">1A. Dataset inspection</x:t>
  </x:si>
  <x:si>
    <x:t xml:space="preserve">Kiểm tra số file ảnh thực tế.</x:t>
  </x:si>
  <x:si>
    <x:t xml:space="preserve">Kiểm tra số file annotation.</x:t>
  </x:si>
  <x:si>
    <x:t xml:space="preserve">Đọc train.csv hoặc annotation gốc.</x:t>
  </x:si>
  <x:si>
    <x:t xml:space="preserve">Đếm tổng số dòng annotation.</x:t>
  </x:si>
  <x:si>
    <x:t xml:space="preserve">Đếm số image_id duy nhất.</x:t>
  </x:si>
  <x:si>
    <x:t xml:space="preserve">Đếm số ảnh abnormal có bbox.</x:t>
  </x:si>
  <x:si>
    <x:t xml:space="preserve">Đếm số ảnh No Finding / normal.</x:t>
  </x:si>
  <x:si>
    <x:t xml:space="preserve">Đếm số class abnormal.</x:t>
  </x:si>
  <x:si>
    <x:t xml:space="preserve">Đếm số bbox theo từng class.</x:t>
  </x:si>
  <x:si>
    <x:t xml:space="preserve">Thống kê per-radiologist / reader metadata nếu có.</x:t>
  </x:si>
  <x:si>
    <x:t xml:space="preserve">Kiểm tra class No Finding không đưa vào detection categories.</x:t>
  </x:si>
  <x:si>
    <x:t xml:space="preserve">reports/dataset_overview.csv</x:t>
  </x:si>
  <x:si>
    <x:t xml:space="preserve">reports/dataset_overview.md</x:t>
  </x:si>
  <x:si>
    <x:t xml:space="preserve">Biết chính xác tổng ảnh, tổng bbox, số ảnh No Finding và 14 abnormal classes.</x:t>
  </x:si>
  <x:si>
    <x:t xml:space="preserve">Có kết luận: No Finding là ảnh âm tính không có bbox, không phải detection class.</x:t>
  </x:si>
  <x:si>
    <x:t xml:space="preserve">1B. Annotation sanity check</x:t>
  </x:si>
  <x:si>
    <x:t xml:space="preserve">Kiểm tra bbox tọa độ âm.</x:t>
  </x:si>
  <x:si>
    <x:t xml:space="preserve">Kiểm tra bbox vượt biên ảnh.</x:t>
  </x:si>
  <x:si>
    <x:t xml:space="preserve">Kiểm tra bbox có width/height bằng 0 hoặc area bằng 0.</x:t>
  </x:si>
  <x:si>
    <x:t xml:space="preserve">Kiểm tra ảnh No Finding nhưng có bbox.</x:t>
  </x:si>
  <x:si>
    <x:t xml:space="preserve">Kiểm tra ảnh abnormal nhưng không có bbox.</x:t>
  </x:si>
  <x:si>
    <x:t xml:space="preserve">Kiểm tra duplicate bbox và near-duplicate bbox.</x:t>
  </x:si>
  <x:si>
    <x:t xml:space="preserve">Kiểm tra class mapping nhất quán.</x:t>
  </x:si>
  <x:si>
    <x:t xml:space="preserve">reports/annotation_sanity_report.md</x:t>
  </x:si>
  <x:si>
    <x:t xml:space="preserve">reports/invalid_bbox_rows.csv</x:t>
  </x:si>
  <x:si>
    <x:t xml:space="preserve">reports/duplicate_bbox_candidates.csv</x:t>
  </x:si>
  <x:si>
    <x:t xml:space="preserve">Tất cả lỗi nghiêm trọng được liệt kê.</x:t>
  </x:si>
  <x:si>
    <x:t xml:space="preserve">Có quyết định xử lý từng loại lỗi trong research_log.md.</x:t>
  </x:si>
  <x:si>
    <x:t xml:space="preserve">Không tự động xóa dữ liệu nếu chưa ghi quyết định.</x:t>
  </x:si>
  <x:si>
    <x:t xml:space="preserve">1C. Chốt scope subset</x:t>
  </x:si>
  <x:si>
    <x:t xml:space="preserve">Chốt subset dùng cho nghiên cứu: 4.894 ảnh, 14 abnormal classes, 500 ảnh negative / No Finding.</x:t>
  </x:si>
  <x:si>
    <x:t xml:space="preserve">Ghi rõ No Finding không phải detection class.</x:t>
  </x:si>
  <x:si>
    <x:t xml:space="preserve">Không dùng oversampling/undersampling/class weighting/reweighting loss như kỹ thuật xử lý imbalance độc lập.</x:t>
  </x:si>
  <x:si>
    <x:t xml:space="preserve">Class imbalance được giữ và phân tích qua class-wise AP, pseudo-label count theo class, retained pseudo-label ratio, rare-class survival rate.</x:t>
  </x:si>
  <x:si>
    <x:t xml:space="preserve">Ghi limitation nếu dùng subset thay vì full dataset.</x:t>
  </x:si>
  <x:si>
    <x:t xml:space="preserve">reports/scope_decision.md</x:t>
  </x:si>
  <x:si>
    <x:t xml:space="preserve">research_log.md</x:t>
  </x:si>
  <x:si>
    <x:t xml:space="preserve">Có văn bản chốt scope.</x:t>
  </x:si>
  <x:si>
    <x:t xml:space="preserve">Các script sau chỉ dùng scope đã khóa.</x:t>
  </x:si>
  <x:si>
    <x:t xml:space="preserve">Không thay đổi số ảnh tùy tiện giữa các phase.</x:t>
  </x:si>
  <x:si>
    <x:t xml:space="preserve">1D. Kappa Feasibility / Limitation-aware Analysis</x:t>
  </x:si>
  <x:si>
    <x:t xml:space="preserve">Đọc reader metadata / rad_id nếu có.</x:t>
  </x:si>
  <x:si>
    <x:t xml:space="preserve">Đếm số reader trên mỗi ảnh.</x:t>
  </x:si>
  <x:si>
    <x:t xml:space="preserve">Kiểm tra có đủ multi-reader labels để tính Kappa không.</x:t>
  </x:si>
  <x:si>
    <x:t xml:space="preserve">Nếu đủ điều kiện: tính Kappa hoặc agreement proxy phù hợp.</x:t>
  </x:si>
  <x:si>
    <x:t xml:space="preserve">Nếu không đủ điều kiện: ghi limitation về inter-reader agreement / label noise.</x:t>
  </x:si>
  <x:si>
    <x:t xml:space="preserve">Tạo Gate Phase 1D: chỉ qua phase sau khi đã xác định tính khả thi hoặc limitation.</x:t>
  </x:si>
  <x:si>
    <x:t xml:space="preserve">reports/reader_metadata_report.csv</x:t>
  </x:si>
  <x:si>
    <x:t xml:space="preserve">reports/kappa_feasibility_report.md</x:t>
  </x:si>
  <x:si>
    <x:t xml:space="preserve">reports/kappa_results.csv</x:t>
  </x:si>
  <x:si>
    <x:t xml:space="preserve">reports/label_noise_limitation.md</x:t>
  </x:si>
  <x:si>
    <x:t xml:space="preserve">Biết rõ có đủ điều kiện tính Kappa không.</x:t>
  </x:si>
  <x:si>
    <x:t xml:space="preserve">Nếu tính được thì có kết quả Kappa; nếu không thì có limitation được ghi rõ.</x:t>
  </x:si>
  <x:si>
    <x:t xml:space="preserve">Phase 1D Gate pass trước khi chuẩn hóa dữ liệu.</x:t>
  </x:si>
  <x:si>
    <x:t xml:space="preserve">2A. DICOM &amp; BBox Validation</x:t>
  </x:si>
  <x:si>
    <x:t xml:space="preserve">Đọc ảnh DICOM.</x:t>
  </x:si>
  <x:si>
    <x:t xml:space="preserve">Lấy đúng pixel array, width, height gốc.</x:t>
  </x:si>
  <x:si>
    <x:t xml:space="preserve">Normalize ảnh nếu cần.</x:t>
  </x:si>
  <x:si>
    <x:t xml:space="preserve">Convert sang PNG/JPG để train.</x:t>
  </x:si>
  <x:si>
    <x:t xml:space="preserve">Lưu mapping ảnh gốc → ảnh processed.</x:t>
  </x:si>
  <x:si>
    <x:t xml:space="preserve">Không làm mất image_id.</x:t>
  </x:si>
  <x:si>
    <x:t xml:space="preserve">Validate bbox boundary theo width/height ảnh gốc sau khi đọc DICOM.</x:t>
  </x:si>
  <x:si>
    <x:t xml:space="preserve">Kiểm tra bbox có cần scale khi ảnh resize/convert không.</x:t>
  </x:si>
  <x:si>
    <x:t xml:space="preserve">data/interim/dicom_png/</x:t>
  </x:si>
  <x:si>
    <x:t xml:space="preserve">data/processed/images/</x:t>
  </x:si>
  <x:si>
    <x:t xml:space="preserve">reports/image_preprocessing_report.csv</x:t>
  </x:si>
  <x:si>
    <x:t xml:space="preserve">reports/dicom_bbox_validation_report.csv</x:t>
  </x:si>
  <x:si>
    <x:t xml:space="preserve">Số ảnh processed bằng số ảnh trong scope.</x:t>
  </x:si>
  <x:si>
    <x:t xml:space="preserve">Mỗi ảnh processed truy ngược được về ảnh gốc.</x:t>
  </x:si>
  <x:si>
    <x:t xml:space="preserve">BBox hợp lệ theo kích thước ảnh gốc.</x:t>
  </x:si>
  <x:si>
    <x:t xml:space="preserve">Không đổi bbox nếu chưa có logic scale rõ ràng.</x:t>
  </x:si>
  <x:si>
    <x:t xml:space="preserve">2B. Canonical Detection Annotation Schema</x:t>
  </x:si>
  <x:si>
    <x:t xml:space="preserve">Tạo canonical_image_table.csv.</x:t>
  </x:si>
  <x:si>
    <x:t xml:space="preserve">Tạo canonical_bbox_table.csv.</x:t>
  </x:si>
  <x:si>
    <x:t xml:space="preserve">Tạo class_mapping.csv.</x:t>
  </x:si>
  <x:si>
    <x:t xml:space="preserve">Giữ traceability: image_id, rad_id, source_row_id, class_name, class_id, bbox, width, height, is_negative, has_bbox.</x:t>
  </x:si>
  <x:si>
    <x:t xml:space="preserve">Đảm bảo No Finding có is_negative=True, has_bbox=False.</x:t>
  </x:si>
  <x:si>
    <x:t xml:space="preserve">data/processed/canonical/canonical_image_table.csv</x:t>
  </x:si>
  <x:si>
    <x:t xml:space="preserve">data/processed/canonical/canonical_bbox_table.csv</x:t>
  </x:si>
  <x:si>
    <x:t xml:space="preserve">data/processed/canonical/class_mapping.csv</x:t>
  </x:si>
  <x:si>
    <x:t xml:space="preserve">reports/canonical_schema_report.md</x:t>
  </x:si>
  <x:si>
    <x:t xml:space="preserve">Mỗi bbox gắn đúng image.</x:t>
  </x:si>
  <x:si>
    <x:t xml:space="preserve">No Finding không có class_id trong detection categories.</x:t>
  </x:si>
  <x:si>
    <x:t xml:space="preserve">Canonical schema truy vết được đến raw source row.</x:t>
  </x:si>
  <x:si>
    <x:t xml:space="preserve">2C. Framework &amp; Format Decision</x:t>
  </x:si>
  <x:si>
    <x:t xml:space="preserve">So sánh COCO / YOLO / VOC / JSONL.</x:t>
  </x:si>
  <x:si>
    <x:t xml:space="preserve">Chọn framework chính: Detectron2 hoặc MMDetection.</x:t>
  </x:si>
  <x:si>
    <x:t xml:space="preserve">Kiểm tra framework hỗ trợ SSOD / teacher-student hoặc có thể custom.</x:t>
  </x:si>
  <x:si>
    <x:t xml:space="preserve">Kiểm tra framework hỗ trợ ảnh empty / No Finding không bbox.</x:t>
  </x:si>
  <x:si>
    <x:t xml:space="preserve">Đánh giá traceability, COCO evaluation, risk, compatibility với mAP@0.5:0.95.</x:t>
  </x:si>
  <x:si>
    <x:t xml:space="preserve">Chốt primary framework và fallback framework.</x:t>
  </x:si>
  <x:si>
    <x:t xml:space="preserve">reports/framework_format_decision.md</x:t>
  </x:si>
  <x:si>
    <x:t xml:space="preserve">configs/dataset/coco_paths.yaml</x:t>
  </x:si>
  <x:si>
    <x:t xml:space="preserve">configs/framework/main_framework.yaml</x:t>
  </x:si>
  <x:si>
    <x:t xml:space="preserve">Có quyết định framework/format chính và fallback.</x:t>
  </x:si>
  <x:si>
    <x:t xml:space="preserve">Quyết định có lý do gắn với SSOD, negative images và mAP evaluation.</x:t>
  </x:si>
  <x:si>
    <x:t xml:space="preserve">2D. COCO Master Conversion &amp; Validation</x:t>
  </x:si>
  <x:si>
    <x:t xml:space="preserve">Convert canonical schema sang COCO master.</x:t>
  </x:si>
  <x:si>
    <x:t xml:space="preserve">COCO images chứa toàn bộ ảnh trong scope.</x:t>
  </x:si>
  <x:si>
    <x:t xml:space="preserve">COCO annotations chỉ chứa bbox abnormal.</x:t>
  </x:si>
  <x:si>
    <x:t xml:space="preserve">COCO categories chỉ chứa 14 abnormal classes.</x:t>
  </x:si>
  <x:si>
    <x:t xml:space="preserve">Bbox format là [x, y, width, height] — xywh, không phải xyxy.</x:t>
  </x:si>
  <x:si>
    <x:t xml:space="preserve">Tính đúng area.</x:t>
  </x:si>
  <x:si>
    <x:t xml:space="preserve">Ảnh No Finding nằm trong images, không có annotation.</x:t>
  </x:si>
  <x:si>
    <x:t xml:space="preserve">data/processed/coco/coco_master.json</x:t>
  </x:si>
  <x:si>
    <x:t xml:space="preserve">reports/phase2D_coco_master_validation.json
reports/phase2D_coco_master_validation.md</x:t>
  </x:si>
  <x:si>
    <x:t xml:space="preserve">COCO validator pass 100%.</x:t>
  </x:si>
  <x:si>
    <x:t xml:space="preserve">Không có No Finding trong categories.</x:t>
  </x:si>
  <x:si>
    <x:t xml:space="preserve">Số ảnh negative trong images đúng bằng scope.</x:t>
  </x:si>
  <x:si>
    <x:t xml:space="preserve">Số annotation khớp với canonical bbox table.</x:t>
  </x:si>
  <x:si>
    <x:t xml:space="preserve">2D.1A. Image Representation Protocol Decision</x:t>
  </x:si>
  <x:si>
    <x:t xml:space="preserve">Khóa vai trò: DICOM là immutable raw medical source; JPG là processed training representation.</x:t>
  </x:si>
  <x:si>
    <x:t xml:space="preserve">CLOSED / PASS; GPT review PASS; full conversion not run</x:t>
  </x:si>
  <x:si>
    <x:t xml:space="preserve">Khóa vai trò: coco_master.json là annotation master; coco_master_jpg.json là training derivative.</x:t>
  </x:si>
  <x:si>
    <x:t xml:space="preserve">Khóa DICOM pixel decoding và modality transformation policy.</x:t>
  </x:si>
  <x:si>
    <x:t xml:space="preserve">Khóa RescaleSlope / RescaleIntercept và modality LUT policy.</x:t>
  </x:si>
  <x:si>
    <x:t xml:space="preserve">Khóa VOI LUT / windowing và intensity clipping policy.</x:t>
  </x:si>
  <x:si>
    <x:t xml:space="preserve">Khóa PhotometricInterpretation và MONOCHROME1 inversion policy.</x:t>
  </x:si>
  <x:si>
    <x:t xml:space="preserve">Khóa uint8 [0,255] conversion và output channel policy.</x:t>
  </x:si>
  <x:si>
    <x:t xml:space="preserve">Khóa no-resize, no-crop, no-rotation và bbox scaling policy.</x:t>
  </x:si>
  <x:si>
    <x:t xml:space="preserve">Định nghĩa pilot so sánh JPEG quality 95 và 100; chưa khóa final quality trước pilot.</x:t>
  </x:si>
  <x:si>
    <x:t xml:space="preserve">Khóa JPG filename, COCO-JPG path và DICOM↔JPG traceability policy.</x:t>
  </x:si>
  <x:si>
    <x:t xml:space="preserve">Khóa pilot subset và fidelity metrics: file size, MAE, PSNR, SSIM, visual audit.</x:t>
  </x:si>
  <x:si>
    <x:t xml:space="preserve">Tạo protocol YAML Phase 2D.1A.</x:t>
  </x:si>
  <x:si>
    <x:t xml:space="preserve">configs/protocol/phase2D1_jpg_representation.yaml</x:t>
  </x:si>
  <x:si>
    <x:t xml:space="preserve">Tạo decision reports Markdown và JSON.</x:t>
  </x:si>
  <x:si>
    <x:t xml:space="preserve">reports/phase2D1_image_representation_decision.md
reports/phase2D1_image_representation_decision.json</x:t>
  </x:si>
  <x:si>
    <x:t xml:space="preserve">Phase 2D.1A evidence đầy đủ và GPT review PASS; chưa full-convert dataset.</x:t>
  </x:si>
  <x:si>
    <x:t xml:space="preserve">scripts/02D1A_image_representation_protocol.py
configs/protocol/phase2D1_jpg_representation.yaml
reports/phase2D1_image_representation_decision.md
reports/phase2D1_image_representation_decision.json
tests/test_phase2D1A_protocol_guardrails.py</x:t>
  </x:si>
  <x:si>
    <x:t xml:space="preserve">2D.1B-Pilot. DICOM-to-JPG Pilot</x:t>
  </x:si>
  <x:si>
    <x:t xml:space="preserve">Chọn pilot có abnormal, No Finding, min/max dimensions và metadata DICOM đại diện.</x:t>
  </x:si>
  <x:si>
    <x:t xml:space="preserve">CLOSED / PASS; pilot=64 images; No Finding=16; metadata/features coverage=54/54; abnormal class coverage=14/14.</x:t>
  </x:si>
  <x:si>
    <x:t xml:space="preserve">reports/phase2D1B_pilot_selection.csv; reports/phase2D1B_pilot_selection_coverage.csv</x:t>
  </x:si>
  <x:si>
    <x:t xml:space="preserve">Decode DICOM theo protocol 2D.1A và tạo pre-JPEG uint8 reference.</x:t>
  </x:si>
  <x:si>
    <x:t xml:space="preserve">CLOSED / PASS; explicit Pillow backend; pixel decode=64/64; decode errors=0; no silent decoder fallback.</x:t>
  </x:si>
  <x:si>
    <x:t xml:space="preserve">reports/phase2D1B_pilot_run_output_pillow.txt; reports/phase2D1B_pilot_environment.json; reports/phase2D1B_pilot_header_inventory.csv; data/processed/image_mapping/phase2D1B_pilot_dicom_to_jpg_mapping.csv</x:t>
  </x:si>
  <x:si>
    <x:t xml:space="preserve">Encode/decode pilot với JPEG quality 95.</x:t>
  </x:si>
  <x:si>
    <x:t xml:space="preserve">CLOSED / PASS; JPEG quality 95 paired encode/decode completed; whole-image and bbox-ROI fidelity evidence complete.</x:t>
  </x:si>
  <x:si>
    <x:t xml:space="preserve">reports/phase2D1B_pilot_fidelity_metrics.csv; reports/phase2D1B_pilot_bbox_roi_metrics.csv; data/processed/images_jpg_pilot/q95/</x:t>
  </x:si>
  <x:si>
    <x:t xml:space="preserve">Encode/decode pilot với JPEG quality 100.</x:t>
  </x:si>
  <x:si>
    <x:t xml:space="preserve">CLOSED / PASS; JPEG quality 100 paired encode/decode completed; whole-image and bbox-ROI fidelity evidence complete.</x:t>
  </x:si>
  <x:si>
    <x:t xml:space="preserve">reports/phase2D1B_pilot_fidelity_metrics.csv; reports/phase2D1B_pilot_bbox_roi_metrics.csv; data/processed/images_jpg_pilot/q100/</x:t>
  </x:si>
  <x:si>
    <x:t xml:space="preserve">So sánh pre-JPEG uint8 với decoded JPG bằng file size, compression ratio, MAE, RMSE, PSNR, SSIM, Max AE, p95/p99 AE và bbox-ROI metrics.</x:t>
  </x:si>
  <x:si>
    <x:t xml:space="preserve">q100 wins numerical fidelity. q95 selected as fidelity-storage/I/O trade-off. q95: PSNR=47.2414 dB, SSIM=0.981217, ROI PSNR=47.9413 dB, ROI SSIM=0.996632, projected storage=7.38 GiB. q100: PSNR=58.8577 dB, SSIM=0.998981, ROI PSNR=58.7247 dB, ROI SSIM=0.999820, projected storage=14.41 GiB. q95 reduces projected storage by approximately 48.79%.</x:t>
  </x:si>
  <x:si>
    <x:t xml:space="preserve">reports/phase2D1B_pilot_quality_summary.csv; reports/phase2D1B_pilot_quality_pairwise.csv; reports/phase2D1B_pilot_fidelity_metrics.csv; reports/phase2D1B_pilot_bbox_roi_metrics.csv</x:t>
  </x:si>
  <x:si>
    <x:t xml:space="preserve">Thực hiện visual audit gồm No Finding, abnormal images, lesion nhỏ, rare class, multi-window, padding, polarity, dimension/bbox extrema và worst-case q95/q100.</x:t>
  </x:si>
  <x:si>
    <x:t xml:space="preserve">Visual review complete; no critical polarity inversion, crop, rotation, flip, transpose, geometry deformation or conversion-induced anatomical truncation observed. This is representation-pipeline evidence, not clinical validation.</x:t>
  </x:si>
  <x:si>
    <x:t xml:space="preserve">reports/phase2D1B_pilot_visual_audit_manifest.csv; plots/phase2D1B_pilot/contact_sheets/; plots/phase2D1B_pilot/bbox_crops/; plots/phase2D1B_pilot/difference_heatmaps/</x:t>
  </x:si>
  <x:si>
    <x:t xml:space="preserve">Khóa một final JPEG quality dựa trên pilot evidence và GPT review.</x:t>
  </x:si>
  <x:si>
    <x:t xml:space="preserve">Final JPEG quality=95 / LOCKED after quantitative, geometry, bbox-ROI, storage and visual review. Full controlled-scope conversion authorized. This is a fidelity-storage/I/O decision and does not claim detector superiority or clinical equivalence.</x:t>
  </x:si>
  <x:si>
    <x:t xml:space="preserve">reports/phase2D1B_pilot_decision_template.json; reports/phase2D1B_pilot_quality_summary.csv; reports/phase2D1B_pilot_quality_pairwise.csv</x:t>
  </x:si>
  <x:si>
    <x:t xml:space="preserve">Tạo pilot fidelity và decision evidence.</x:t>
  </x:si>
  <x:si>
    <x:t xml:space="preserve">Phase 2D.1B-Pilot fidelity and decision evidence package completed. Pilot CLOSED / PASS; final JPEG quality=95. Generated structural validation JSON remains historical pre-review evidence and must not be edited retroactively.</x:t>
  </x:si>
  <x:si>
    <x:t xml:space="preserve">reports/phase2D1B_pilot_fidelity_metrics.csv; reports/phase2D1B_pilot_bbox_roi_metrics.csv; reports/phase2D1B_pilot_quality_summary.csv; reports/phase2D1B_pilot_quality_pairwise.csv; reports/phase2D1B_pilot_geometry_validation.csv; reports/phase2D1B_pilot_visual_audit_manifest.csv; reports/phase2D1B_pilot_validation.json; reports/phase2D1B_pilot_validation.md; reports/phase2D1B_pilot_decision_template.json</x:t>
  </x:si>
  <x:si>
    <x:t xml:space="preserve">2D.1B-Full. DICOM-to-JPG Conversion &amp; Validation</x:t>
  </x:si>
  <x:si>
    <x:t xml:space="preserve">Tạo script full DICOM-to-JPG conversion theo protocol và final quality đã khóa.</x:t>
  </x:si>
  <x:si>
    <x:t xml:space="preserve">Tạo đúng 4,894 JPG; missing=0, duplicate image_id=0, decode error=0.</x:t>
  </x:si>
  <x:si>
    <x:t xml:space="preserve">JPG width/height khớp DICOM/COCO; resize/crop/rotation=0.</x:t>
  </x:si>
  <x:si>
    <x:t xml:space="preserve">Xác nhận bbox_scaling_required=false chỉ khi dimensions và orientation không đổi.</x:t>
  </x:si>
  <x:si>
    <x:t xml:space="preserve">Tạo coco_master_jpg.json; chỉ đổi file_name/path representation.</x:t>
  </x:si>
  <x:si>
    <x:t xml:space="preserve">COCO-JPG giữ images=4,894; annotations=36,096; categories=14.</x:t>
  </x:si>
  <x:si>
    <x:t xml:space="preserve">COCO-JPG giữ abnormal=4,394; No Finding=500; No Finding annotations=0.</x:t>
  </x:si>
  <x:si>
    <x:t xml:space="preserve">BBox, area, category, annotation ID và traceability mismatch=0.</x:t>
  </x:si>
  <x:si>
    <x:t xml:space="preserve">Tạo DICOM-to-JPG mapping manifest có path, dimensions, protocol và hashes.</x:t>
  </x:si>
  <x:si>
    <x:t xml:space="preserve">Tạo JPG metadata, bbox validation, No Finding audit và error CSV.</x:t>
  </x:si>
  <x:si>
    <x:t xml:space="preserve">Tạo full-conversion validation JSON và Markdown report.</x:t>
  </x:si>
  <x:si>
    <x:t xml:space="preserve">Phase 2D.1B full conversion và validation được GPT review PASS.</x:t>
  </x:si>
  <x:si>
    <x:t xml:space="preserve">2D.1C. MMDetection Dataset / Empty-Image Loading Validation</x:t>
  </x:si>
  <x:si>
    <x:t xml:space="preserve">Cài/pin Colab environment và ghi Python, PyTorch, CUDA, MMEngine, MMCV, MMDetection, pycocotools.</x:t>
  </x:si>
  <x:si>
    <x:t xml:space="preserve">MMDetection import PASS; COCO-JPG parse và dataset build PASS.</x:t>
  </x:si>
  <x:si>
    <x:t xml:space="preserve">dataset.full_init() PASS và len(dataset)=4,894.</x:t>
  </x:si>
  <x:si>
    <x:t xml:space="preserve">Giữ abnormal images=4,394 và No Finding images=500.</x:t>
  </x:si>
  <x:si>
    <x:t xml:space="preserve">Empty-GT samples=500; unexpected empty abnormal=0; annotated No Finding=0.</x:t>
  </x:si>
  <x:si>
    <x:t xml:space="preserve">Chứng minh filter_empty_gt=False hoặc cơ chế tương đương có hiệu lực.</x:t>
  </x:si>
  <x:si>
    <x:t xml:space="preserve">Abnormal sample load đúng bbox/labels; No Finding load với bbox (0,4), labels (0,).</x:t>
  </x:si>
  <x:si>
    <x:t xml:space="preserve">Tạo MMDetection config và loading-validation script.</x:t>
  </x:si>
  <x:si>
    <x:t xml:space="preserve">Tạo loading, empty-image, sample và dataloader audit reports; GPT review PASS.</x:t>
  </x:si>
  <x:si>
    <x:t xml:space="preserve">2D.1D. Evidence Consolidation, GPT Review &amp; Closure</x:t>
  </x:si>
  <x:si>
    <x:t xml:space="preserve">Tải Colab evidence về local và kiểm tra file/hash.</x:t>
  </x:si>
  <x:si>
    <x:t xml:space="preserve">2E. Fixed Train/Val/Test Split</x:t>
  </x:si>
  <x:si>
    <x:t xml:space="preserve">Tạo train/val/test cố định.</x:t>
  </x:si>
  <x:si>
    <x:t xml:space="preserve">Stratify theo class nếu khả thi.</x:t>
  </x:si>
  <x:si>
    <x:t xml:space="preserve">Giữ phân phối ảnh negative hợp lý.</x:t>
  </x:si>
  <x:si>
    <x:t xml:space="preserve">Đảm bảo test set có đủ ảnh No Finding để đo FP per negative image.</x:t>
  </x:si>
  <x:si>
    <x:t xml:space="preserve">Kiểm tra số lượng và tỷ lệ No Finding trong train/val/test.</x:t>
  </x:si>
  <x:si>
    <x:t xml:space="preserve">Check không trùng image_id giữa train/val/test.</x:t>
  </x:si>
  <x:si>
    <x:t xml:space="preserve">Xuất split_lock_manifest.json.</x:t>
  </x:si>
  <x:si>
    <x:t xml:space="preserve">data/manifests/split_lock_manifest.json</x:t>
  </x:si>
  <x:si>
    <x:t xml:space="preserve">data/manifests/leakage_check_report.json</x:t>
  </x:si>
  <x:si>
    <x:t xml:space="preserve">reports/split_negative_distribution.csv</x:t>
  </x:si>
  <x:si>
    <x:t xml:space="preserve">data/processed/coco/instances_train.json</x:t>
  </x:si>
  <x:si>
    <x:t xml:space="preserve">data/processed/coco/instances_val.json</x:t>
  </x:si>
  <x:si>
    <x:t xml:space="preserve">data/processed/coco/instances_test.json</x:t>
  </x:si>
  <x:si>
    <x:t xml:space="preserve">Test set chứa đủ ảnh No Finding để tính FP per negative image.</x:t>
  </x:si>
  <x:si>
    <x:t xml:space="preserve">Tỷ lệ negative trong train/val/test được báo cáo rõ.</x:t>
  </x:si>
  <x:si>
    <x:t xml:space="preserve">2F. Labeled/Unlabeled Split for SSL</x:t>
  </x:si>
  <x:si>
    <x:t xml:space="preserve">Tạo labeled split 1%.</x:t>
  </x:si>
  <x:si>
    <x:t xml:space="preserve">Tạo labeled split 5%.</x:t>
  </x:si>
  <x:si>
    <x:t xml:space="preserve">Tạo labeled split 10%.</x:t>
  </x:si>
  <x:si>
    <x:t xml:space="preserve">Tạo labeled split 20%.</x:t>
  </x:si>
  <x:si>
    <x:t xml:space="preserve">Nested sampling: 1% ⊂ 5% ⊂ 10% ⊂ 20%.</x:t>
  </x:si>
  <x:si>
    <x:t xml:space="preserve">Stratified theo class distribution.</x:t>
  </x:si>
  <x:si>
    <x:t xml:space="preserve">Unlabeled = phần còn lại của train.</x:t>
  </x:si>
  <x:si>
    <x:t xml:space="preserve">Unlabeled có thể gồm abnormal và No Finding.</x:t>
  </x:si>
  <x:si>
    <x:t xml:space="preserve">Ground truth của unlabeled bị cô lập khỏi training SSL.</x:t>
  </x:si>
  <x:si>
    <x:t xml:space="preserve">Theo dõi số lượng unlabeled negative images để phân tích pseudo-box sai.</x:t>
  </x:si>
  <x:si>
    <x:t xml:space="preserve">data/processed/coco/labeled_splits/instances_labeled_1pct.json</x:t>
  </x:si>
  <x:si>
    <x:t xml:space="preserve">data/processed/coco/labeled_splits/instances_labeled_5pct.json</x:t>
  </x:si>
  <x:si>
    <x:t xml:space="preserve">data/processed/coco/labeled_splits/instances_labeled_10pct.json</x:t>
  </x:si>
  <x:si>
    <x:t xml:space="preserve">data/processed/coco/labeled_splits/instances_labeled_20pct.json</x:t>
  </x:si>
  <x:si>
    <x:t xml:space="preserve">Nested property pass.</x:t>
  </x:si>
  <x:si>
    <x:t xml:space="preserve">Không leakage với val/test.</x:t>
  </x:si>
  <x:si>
    <x:t xml:space="preserve">Supervised low-label và SSL dùng cùng labeled split.</x:t>
  </x:si>
  <x:si>
    <x:t xml:space="preserve">2F.1 Seed Protocol: split_seed vs training_seed</x:t>
  </x:si>
  <x:si>
    <x:t xml:space="preserve">split_seed dùng để tạo train/val/test và labeled/unlabeled split.</x:t>
  </x:si>
  <x:si>
    <x:t xml:space="preserve">training_seed dùng để khởi tạo mô hình, dataloader shuffle, augmentation và training.</x:t>
  </x:si>
  <x:si>
    <x:t xml:space="preserve">Supervised vs SSL dùng cùng split_seed để nhìn cùng dữ liệu.</x:t>
  </x:si>
  <x:si>
    <x:t xml:space="preserve">Stability dùng nhiều training_seed để đo variance thật.</x:t>
  </x:si>
  <x:si>
    <x:t xml:space="preserve">Không khóa cùng training_seed cho mọi run vì sẽ tạo variance giả thấp.</x:t>
  </x:si>
  <x:si>
    <x:t xml:space="preserve">Log rõ split_seed, training_seed, rng_state_id cho từng run.</x:t>
  </x:si>
  <x:si>
    <x:t xml:space="preserve">data/manifests/seed_manifest.json</x:t>
  </x:si>
  <x:si>
    <x:t xml:space="preserve">reports/seed_protocol.md</x:t>
  </x:si>
  <x:si>
    <x:t xml:space="preserve">Mỗi experiment log rõ split_seed và training_seed.</x:t>
  </x:si>
  <x:si>
    <x:t xml:space="preserve">Stability được đo bằng nhiều training_seed.</x:t>
  </x:si>
  <x:si>
    <x:t xml:space="preserve">Không có seed leakage hoặc variance giả do khóa nhầm seed.</x:t>
  </x:si>
  <x:si>
    <x:t xml:space="preserve">3A. Pre-training Dataset Diagnostics</x:t>
  </x:si>
  <x:si>
    <x:t xml:space="preserve">Vẽ class distribution.</x:t>
  </x:si>
  <x:si>
    <x:t xml:space="preserve">Vẽ bbox count theo class.</x:t>
  </x:si>
  <x:si>
    <x:t xml:space="preserve">Vẽ bbox size distribution.</x:t>
  </x:si>
  <x:si>
    <x:t xml:space="preserve">Vẽ bbox location heatmap.</x:t>
  </x:si>
  <x:si>
    <x:t xml:space="preserve">Thống kê rare class và chốt tiêu chí rare class.</x:t>
  </x:si>
  <x:si>
    <x:t xml:space="preserve">Thống kê negative images.</x:t>
  </x:si>
  <x:si>
    <x:t xml:space="preserve">Thống kê split distribution.</x:t>
  </x:si>
  <x:si>
    <x:t xml:space="preserve">Chỉ dùng train cho diagnostics chính, không nhìn test để tune.</x:t>
  </x:si>
  <x:si>
    <x:t xml:space="preserve">reports/dataset_analysis_report.md</x:t>
  </x:si>
  <x:si>
    <x:t xml:space="preserve">plots/dataset/class_distribution.png</x:t>
  </x:si>
  <x:si>
    <x:t xml:space="preserve">plots/dataset/bbox_distribution.png</x:t>
  </x:si>
  <x:si>
    <x:t xml:space="preserve">plots/dataset/bbox_location_heatmap.png</x:t>
  </x:si>
  <x:si>
    <x:t xml:space="preserve">plots/dataset/negative_image_distribution.png</x:t>
  </x:si>
  <x:si>
    <x:t xml:space="preserve">Có báo cáo trước train.</x:t>
  </x:si>
  <x:si>
    <x:t xml:space="preserve">Biết lớp nào rare.</x:t>
  </x:si>
  <x:si>
    <x:t xml:space="preserve">Biết rủi ro imbalance.</x:t>
  </x:si>
  <x:si>
    <x:t xml:space="preserve">Biết bbox nhỏ/vừa/lớn phân bố thế nào.</x:t>
  </x:si>
  <x:si>
    <x:t xml:space="preserve">4A.0 Full-label supervised upper bound</x:t>
  </x:si>
  <x:si>
    <x:t xml:space="preserve">Chọn detector chính.</x:t>
  </x:si>
  <x:si>
    <x:t xml:space="preserve">Train trên 100% labeled train.</x:t>
  </x:si>
  <x:si>
    <x:t xml:space="preserve">Select checkpoint theo validation set.</x:t>
  </x:si>
  <x:si>
    <x:t xml:space="preserve">Chọn checkpoint tốt nhất theo validation mAP@0.5:0.95.</x:t>
  </x:si>
  <x:si>
    <x:t xml:space="preserve">Không chọn checkpoint theo test set.</x:t>
  </x:si>
  <x:si>
    <x:t xml:space="preserve">Không thay đổi tiêu chí chọn checkpoint giữa các experiment.</x:t>
  </x:si>
  <x:si>
    <x:t xml:space="preserve">Evaluate trên fixed test set.</x:t>
  </x:si>
  <x:si>
    <x:t xml:space="preserve">Lưu config, seed, RNG state, checkpoint, log.</x:t>
  </x:si>
  <x:si>
    <x:t xml:space="preserve">Metric bắt buộc</x:t>
  </x:si>
  <x:si>
    <x:t xml:space="preserve">mAP@0.5:0.95 — metric chính</x:t>
  </x:si>
  <x:si>
    <x:t xml:space="preserve">mAP@0.5</x:t>
  </x:si>
  <x:si>
    <x:t xml:space="preserve">Class-wise AP</x:t>
  </x:si>
  <x:si>
    <x:t xml:space="preserve">Recall</x:t>
  </x:si>
  <x:si>
    <x:t xml:space="preserve">FP per image</x:t>
  </x:si>
  <x:si>
    <x:t xml:space="preserve">FP per negative image</x:t>
  </x:si>
  <x:si>
    <x:t xml:space="preserve">reports/supervised_full_results.csv</x:t>
  </x:si>
  <x:si>
    <x:t xml:space="preserve">experiments/exp1_full_label_baseline/</x:t>
  </x:si>
  <x:si>
    <x:t xml:space="preserve">models/supervised/full_label/</x:t>
  </x:si>
  <x:si>
    <x:t xml:space="preserve">Có upper bound 100%.</x:t>
  </x:si>
  <x:si>
    <x:t xml:space="preserve">Kết quả trace được từ config → log → checkpoint → report.</x:t>
  </x:si>
  <x:si>
    <x:t xml:space="preserve">Không dùng test để chọn model.</x:t>
  </x:si>
  <x:si>
    <x:t xml:space="preserve">FP per negative image được tính trên test set có đủ ảnh No Finding.</x:t>
  </x:si>
  <x:si>
    <x:t xml:space="preserve">Checkpoint selection criterion khóa là validation mAP@0.5:0.95.</x:t>
  </x:si>
  <x:si>
    <x:t xml:space="preserve">4A.1 Low-label supervised baseline</x:t>
  </x:si>
  <x:si>
    <x:t xml:space="preserve">Train 1% labeled.</x:t>
  </x:si>
  <x:si>
    <x:t xml:space="preserve">Train 5% labeled.</x:t>
  </x:si>
  <x:si>
    <x:t xml:space="preserve">Train 10% labeled.</x:t>
  </x:si>
  <x:si>
    <x:t xml:space="preserve">Train 20% labeled.</x:t>
  </x:si>
  <x:si>
    <x:t xml:space="preserve">Mỗi mức label chạy 3–5 training_seed.</x:t>
  </x:si>
  <x:si>
    <x:t xml:space="preserve">Dùng đúng labeled split đã khóa bằng split_seed.</x:t>
  </x:si>
  <x:si>
    <x:t xml:space="preserve">Chọn checkpoint theo validation mAP@0.5:0.95.</x:t>
  </x:si>
  <x:si>
    <x:t xml:space="preserve">Evaluate trên cùng fixed test set.</x:t>
  </x:si>
  <x:si>
    <x:t xml:space="preserve">Báo cáo mean ± std.</x:t>
  </x:si>
  <x:si>
    <x:t xml:space="preserve">Lưu seed number, RNG state và deterministic flags cho từng run.</x:t>
  </x:si>
  <x:si>
    <x:t xml:space="preserve">reports/supervised_lowlabel_results.csv</x:t>
  </x:si>
  <x:si>
    <x:t xml:space="preserve">experiments/exp2_low_label_baseline/</x:t>
  </x:si>
  <x:si>
    <x:t xml:space="preserve">Có baseline đối chứng cho từng mức label.</x:t>
  </x:si>
  <x:si>
    <x:t xml:space="preserve">SSL so sánh với baseline dùng cùng labeled split/cùng split_seed.</x:t>
  </x:si>
  <x:si>
    <x:t xml:space="preserve">Stability đo qua nhiều training_seed.</x:t>
  </x:si>
  <x:si>
    <x:t xml:space="preserve">Nếu variance lớn, ghi rõ trong báo cáo.</x:t>
  </x:si>
  <x:si>
    <x:t xml:space="preserve">Checkpoint chọn nhất quán bằng validation mAP@0.5:0.95.</x:t>
  </x:si>
  <x:si>
    <x:t xml:space="preserve">4B. Extension: Attention / ViT-Oriented Supervised Analysis</x:t>
  </x:si>
  <x:si>
    <x:t xml:space="preserve">Đánh giá feasibility GPU/VRAM/thời gian train cho ViT/Attention.</x:t>
  </x:si>
  <x:si>
    <x:t xml:space="preserve">Nếu khả thi: chạy supervised baseline ViT/Attention.</x:t>
  </x:si>
  <x:si>
    <x:t xml:space="preserve">So sánh với detector chính trên cùng split/test/metric.</x:t>
  </x:si>
  <x:si>
    <x:t xml:space="preserve">Ghi rõ đây là extension, không phải trọng tâm chính.</x:t>
  </x:si>
  <x:si>
    <x:t xml:space="preserve">reports/vit_attention_feasibility_report.md</x:t>
  </x:si>
  <x:si>
    <x:t xml:space="preserve">reports/attention_supervised_results.csv</x:t>
  </x:si>
  <x:si>
    <x:t xml:space="preserve">Có quyết định chạy hoặc không chạy extension dựa trên compute.</x:t>
  </x:si>
  <x:si>
    <x:t xml:space="preserve">Extension không làm lệch trọng tâm teacher-student SSOD.</x:t>
  </x:si>
  <x:si>
    <x:t xml:space="preserve">5.1A Teacher–Student SSL Pipeline</x:t>
  </x:si>
  <x:si>
    <x:t xml:space="preserve">Khởi tạo student từ supervised detector.</x:t>
  </x:si>
  <x:si>
    <x:t xml:space="preserve">Khởi tạo teacher.</x:t>
  </x:si>
  <x:si>
    <x:t xml:space="preserve">Teacher sinh pseudo-label trên weak augmentation.</x:t>
  </x:si>
  <x:si>
    <x:t xml:space="preserve">Student học trên strong augmentation.</x:t>
  </x:si>
  <x:si>
    <x:t xml:space="preserve">Teacher cập nhật bằng EMA.</x:t>
  </x:si>
  <x:si>
    <x:t xml:space="preserve">Có burn-in supervised trước khi bật SSL.</x:t>
  </x:si>
  <x:si>
    <x:t xml:space="preserve">Ghi rõ λ của unlabeled loss.</x:t>
  </x:si>
  <x:si>
    <x:t xml:space="preserve">Đồng bộ transform bbox với geometric augmentation.</x:t>
  </x:si>
  <x:si>
    <x:t xml:space="preserve">reports/ssl_results.csv</x:t>
  </x:si>
  <x:si>
    <x:t xml:space="preserve">experiments/exp3_ssl_detection/</x:t>
  </x:si>
  <x:si>
    <x:t xml:space="preserve">models/ssl/</x:t>
  </x:si>
  <x:si>
    <x:t xml:space="preserve">Train SSL chạy end-to-end.</x:t>
  </x:si>
  <x:si>
    <x:t xml:space="preserve">Có log pseudo-label count.</x:t>
  </x:si>
  <x:si>
    <x:t xml:space="preserve">Có log unlabeled loss λ.</x:t>
  </x:si>
  <x:si>
    <x:t xml:space="preserve">Không có lỗi box lệch do augmentation.</x:t>
  </x:si>
  <x:si>
    <x:t xml:space="preserve">5.1B Pseudo-BBox Generation, NMS &amp; Box Filtering</x:t>
  </x:si>
  <x:si>
    <x:t xml:space="preserve">Teacher prediction trên weak image tạo pseudo-label dạng class_id + confidence + bbox xywh.</x:t>
  </x:si>
  <x:si>
    <x:t xml:space="preserve">Lọc theo confidence threshold.</x:t>
  </x:si>
  <x:si>
    <x:t xml:space="preserve">Áp dụng class-wise threshold nếu cấu hình bật.</x:t>
  </x:si>
  <x:si>
    <x:t xml:space="preserve">Áp dụng NMS trước khi nhận pseudo-bbox để giảm box trùng lặp.</x:t>
  </x:si>
  <x:si>
    <x:t xml:space="preserve">Áp dụng box quality filters: bbox size, aspect ratio, boundary, area.</x:t>
  </x:si>
  <x:si>
    <x:t xml:space="preserve">Giới hạn số pseudo-box tối đa mỗi ảnh nếu cần để tránh nhiễu dày đặc.</x:t>
  </x:si>
  <x:si>
    <x:t xml:space="preserve">Lưu pseudo-label gồm image_id, class_id, confidence, bbox xywh, threshold_used, nms_iou.</x:t>
  </x:si>
  <x:si>
    <x:t xml:space="preserve">Transform pseudo-bbox đúng từ weak view sang strong view.</x:t>
  </x:si>
  <x:si>
    <x:t xml:space="preserve">Visualize một số pseudo-box sau transform để kiểm tra khớp ảnh student.</x:t>
  </x:si>
  <x:si>
    <x:t xml:space="preserve">reports/pseudo_label_filter_report.csv</x:t>
  </x:si>
  <x:si>
    <x:t xml:space="preserve">reports/pseudo_bbox_generation_report.md</x:t>
  </x:si>
  <x:si>
    <x:t xml:space="preserve">plots/error_vis/pseudo_label_failure_cases/</x:t>
  </x:si>
  <x:si>
    <x:t xml:space="preserve">Pseudo-label cho detection có đủ class_id, confidence, bbox xywh.</x:t>
  </x:si>
  <x:si>
    <x:t xml:space="preserve">NMS được áp dụng trước khi student học pseudo-box.</x:t>
  </x:si>
  <x:si>
    <x:t xml:space="preserve">Box transform weak→strong được kiểm tra bằng test và visualization.</x:t>
  </x:si>
  <x:si>
    <x:t xml:space="preserve">5.1C Anti-confirmation-bias Safeguards</x:t>
  </x:si>
  <x:si>
    <x:t xml:space="preserve">Dùng supervised burn-in trước SSL.</x:t>
  </x:si>
  <x:si>
    <x:t xml:space="preserve">Dùng EMA teacher thay vì cập nhật teacher trực tiếp.</x:t>
  </x:si>
  <x:si>
    <x:t xml:space="preserve">Không bật pseudo-label nếu teacher chưa đạt ngưỡng tối thiểu trên validation hoặc chưa qua burn-in.</x:t>
  </x:si>
  <x:si>
    <x:t xml:space="preserve">Theo dõi pseudo-label quality proxy theo epoch.</x:t>
  </x:si>
  <x:si>
    <x:t xml:space="preserve">Theo dõi pseudo-box sai trên ảnh No Finding trong unlabeled set.</x:t>
  </x:si>
  <x:si>
    <x:t xml:space="preserve">Theo dõi class-wise pseudo-label count để phát hiện teacher bias.</x:t>
  </x:si>
  <x:si>
    <x:t xml:space="preserve">Không chọn threshold chỉ vì mAP tổng tốt nếu rare class bị triệt tiêu.</x:t>
  </x:si>
  <x:si>
    <x:t xml:space="preserve">Ghi rõ confirmation bias như rủi ro chính trong report.</x:t>
  </x:si>
  <x:si>
    <x:t xml:space="preserve">reports/confirmation_bias_monitoring.md</x:t>
  </x:si>
  <x:si>
    <x:t xml:space="preserve">reports/pseudolabel_rareclass_report.csv</x:t>
  </x:si>
  <x:si>
    <x:t xml:space="preserve">reports/negative_pseudobox_report.csv</x:t>
  </x:si>
  <x:si>
    <x:t xml:space="preserve">Có ít nhất một cơ chế chống confirmation bias ngoài threshold đơn giản.</x:t>
  </x:si>
  <x:si>
    <x:t xml:space="preserve">Có báo cáo pseudo-box sai trên No Finding.</x:t>
  </x:si>
  <x:si>
    <x:t xml:space="preserve">Có báo cáo rare-class pseudo-label survival rate.</x:t>
  </x:si>
  <x:si>
    <x:t xml:space="preserve">5.1D Threshold Strategy: Global, Class-wise, Dynamic</x:t>
  </x:si>
  <x:si>
    <x:t xml:space="preserve">Sweep confidence threshold chung từ 0.1 → 0.9.</x:t>
  </x:si>
  <x:si>
    <x:t xml:space="preserve">Thử class-wise / dynamic threshold như ablation.</x:t>
  </x:si>
  <x:si>
    <x:t xml:space="preserve">Không khóa cứng threshold cụ thể trước khi có validation.</x:t>
  </x:si>
  <x:si>
    <x:t xml:space="preserve">Với class hiếm, đánh giá cân bằng giữa pseudo-label coverage và pseudo-label noise.</x:t>
  </x:si>
  <x:si>
    <x:t xml:space="preserve">Ghi threshold_used theo từng pseudo-label.</x:t>
  </x:si>
  <x:si>
    <x:t xml:space="preserve">Báo cáo pseudo-label count theo class và threshold.</x:t>
  </x:si>
  <x:si>
    <x:t xml:space="preserve">reports/threshold_policy.md</x:t>
  </x:si>
  <x:si>
    <x:t xml:space="preserve">reports/threshold_sweep_report.csv</x:t>
  </x:si>
  <x:si>
    <x:t xml:space="preserve">Threshold cuối được chọn bằng validation/analysis split, không dùng test.</x:t>
  </x:si>
  <x:si>
    <x:t xml:space="preserve">Class-wise threshold chỉ được kết luận nếu có ablation.</x:t>
  </x:si>
  <x:si>
    <x:t xml:space="preserve">Không dùng ví dụ 0.9/0.6 như protocol cố định nếu chưa có bằng chứng.</x:t>
  </x:si>
  <x:si>
    <x:t xml:space="preserve">5.1E Positive/Negative Batch Monitoring</x:t>
  </x:si>
  <x:si>
    <x:t xml:space="preserve">Log tỷ lệ positive/negative trong labeled batch.</x:t>
  </x:si>
  <x:si>
    <x:t xml:space="preserve">Log tỷ lệ positive/negative trong unlabeled batch nếu metadata cho phép.</x:t>
  </x:si>
  <x:si>
    <x:t xml:space="preserve">Không giả định ảnh Normal chiếm đa số; kiểm tra tỷ lệ thật trong split và batch.</x:t>
  </x:si>
  <x:si>
    <x:t xml:space="preserve">Theo dõi pseudo-box sinh trên unlabeled negative images.</x:t>
  </x:si>
  <x:si>
    <x:t xml:space="preserve">Nếu batch lệch quá mạnh, dùng sampler kiểm soát nhẹ như biện pháp ổn định training, không xem là contribution xử lý imbalance.</x:t>
  </x:si>
  <x:si>
    <x:t xml:space="preserve">reports/batch_composition_report.csv</x:t>
  </x:si>
  <x:si>
    <x:t xml:space="preserve">reports/unlabeled_negative_monitoring.csv</x:t>
  </x:si>
  <x:si>
    <x:t xml:space="preserve">Biết tỷ lệ positive/negative trong training batches.</x:t>
  </x:si>
  <x:si>
    <x:t xml:space="preserve">Nếu SSL thất bại, có dữ liệu để kiểm tra batch bias.</x:t>
  </x:si>
  <x:si>
    <x:t xml:space="preserve">5.1F Compute / OOM Fallback for SSOD</x:t>
  </x:si>
  <x:si>
    <x:t xml:space="preserve">Chạy smoke test SSL trước full training.</x:t>
  </x:si>
  <x:si>
    <x:t xml:space="preserve">Chuẩn bị AMP mixed precision.</x:t>
  </x:si>
  <x:si>
    <x:t xml:space="preserve">Chuẩn bị gradient accumulation.</x:t>
  </x:si>
  <x:si>
    <x:t xml:space="preserve">Giảm batch size khi OOM.</x:t>
  </x:si>
  <x:si>
    <x:t xml:space="preserve">Giảm image size có kiểm soát nếu cần và ghi rõ ảnh hưởng.</x:t>
  </x:si>
  <x:si>
    <x:t xml:space="preserve">Giảm unlabeled images per batch nếu OOM.</x:t>
  </x:si>
  <x:si>
    <x:t xml:space="preserve">Lưu checkpoint/resume để tránh mất tiến trình.</x:t>
  </x:si>
  <x:si>
    <x:t xml:space="preserve">Nếu Colab/Kaggle không đủ, chuyển Vast.ai.</x:t>
  </x:si>
  <x:si>
    <x:t xml:space="preserve">reports/compute_budget_report.md</x:t>
  </x:si>
  <x:si>
    <x:t xml:space="preserve">reports/oom_fallback_log.md</x:t>
  </x:si>
  <x:si>
    <x:t xml:space="preserve">Có kế hoạch fallback trước khi chạy SSL tốn GPU.</x:t>
  </x:si>
  <x:si>
    <x:t xml:space="preserve">OOM không làm mất checkpoint hoặc thay đổi protocol âm thầm.</x:t>
  </x:si>
  <x:si>
    <x:t xml:space="preserve">5.1G SSL Main Experiments</x:t>
  </x:si>
  <x:si>
    <x:t xml:space="preserve">Chạy SSL 1%.</x:t>
  </x:si>
  <x:si>
    <x:t xml:space="preserve">Chạy SSL 5%.</x:t>
  </x:si>
  <x:si>
    <x:t xml:space="preserve">Chạy SSL 10%.</x:t>
  </x:si>
  <x:si>
    <x:t xml:space="preserve">Chạy SSL 20%.</x:t>
  </x:si>
  <x:si>
    <x:t xml:space="preserve">Mỗi mức chạy 3–5 training_seed.</x:t>
  </x:si>
  <x:si>
    <x:t xml:space="preserve">So sánh với supervised baseline cùng labeled split, cùng split_seed, cùng fixed test set.</x:t>
  </x:si>
  <x:si>
    <x:t xml:space="preserve">Không hiểu 'cùng seed' là khóa giống toàn bộ training_seed; fair comparison dùng cùng split_seed, stability dùng nhiều training_seed.</x:t>
  </x:si>
  <x:si>
    <x:t xml:space="preserve">SSL checkpoint chọn theo validation mAP@0.5:0.95.</x:t>
  </x:si>
  <x:si>
    <x:t xml:space="preserve">Tính SSL Gain = mAP@0.5:0.95_SSL - mAP@0.5:0.95_Supervised.</x:t>
  </x:si>
  <x:si>
    <x:t xml:space="preserve">reports/ssl_gain_curve.csv</x:t>
  </x:si>
  <x:si>
    <x:t xml:space="preserve">plots/results/ssl_gain_curve.png</x:t>
  </x:si>
  <x:si>
    <x:t xml:space="preserve">Có SSL gain/loss từng mức label.</x:t>
  </x:si>
  <x:si>
    <x:t xml:space="preserve">Có mean ± std.</x:t>
  </x:si>
  <x:si>
    <x:t xml:space="preserve">Không kết luận gain nếu gain nhỏ hơn std giữa seed.</x:t>
  </x:si>
  <x:si>
    <x:t xml:space="preserve">Metric chọn checkpoint khóa là validation mAP@0.5:0.95.</x:t>
  </x:si>
  <x:si>
    <x:t xml:space="preserve">5.2 / 5.3 Optional Extension: Attention / ViT SSL</x:t>
  </x:si>
  <x:si>
    <x:t xml:space="preserve">Chỉ chạy nếu compute cho phép.</x:t>
  </x:si>
  <x:si>
    <x:t xml:space="preserve">Dùng cùng split, metric, checkpoint criterion.</x:t>
  </x:si>
  <x:si>
    <x:t xml:space="preserve">Kiểm tra Attention/ViT có cải thiện SSL gain hoặc stability không.</x:t>
  </x:si>
  <x:si>
    <x:t xml:space="preserve">Không xem là đóng góp chính nếu chưa đủ multi-seed.</x:t>
  </x:si>
  <x:si>
    <x:t xml:space="preserve">reports/attention_ssl_results.csv</x:t>
  </x:si>
  <x:si>
    <x:t xml:space="preserve">reports/attention_ssl_stability_report.csv</x:t>
  </x:si>
  <x:si>
    <x:t xml:space="preserve">Có quyết định chạy/không chạy extension dựa trên compute.</x:t>
  </x:si>
  <x:si>
    <x:t xml:space="preserve">Extension không làm thay đổi kết luận chính nếu thiếu multi-seed.</x:t>
  </x:si>
  <x:si>
    <x:t xml:space="preserve">6A. Threshold sweep</x:t>
  </x:si>
  <x:si>
    <x:t xml:space="preserve">Sweep threshold 0.1 → 0.9.</x:t>
  </x:si>
  <x:si>
    <x:t xml:space="preserve">Ghi pseudo-label count theo threshold.</x:t>
  </x:si>
  <x:si>
    <x:t xml:space="preserve">Ghi pseudo-label count theo class.</x:t>
  </x:si>
  <x:si>
    <x:t xml:space="preserve">Ghi rare-class survival rate.</x:t>
  </x:si>
  <x:si>
    <x:t xml:space="preserve">Ghi mAP theo threshold.</x:t>
  </x:si>
  <x:si>
    <x:t xml:space="preserve">Ghi FP trên negative theo threshold.</x:t>
  </x:si>
  <x:si>
    <x:t xml:space="preserve">Threshold tuning chỉ dùng validation hoặc analysis split được quy định trước, không dùng test.</x:t>
  </x:si>
  <x:si>
    <x:t xml:space="preserve">Phân tích NMS IoU và max pseudo-box per image nếu có.</x:t>
  </x:si>
  <x:si>
    <x:t xml:space="preserve">plots/results/threshold_sweep.png</x:t>
  </x:si>
  <x:si>
    <x:t xml:space="preserve">Biết threshold nào tốt nhưng gây bias.</x:t>
  </x:si>
  <x:si>
    <x:t xml:space="preserve">Biết threshold nào giữ rare class tốt hơn.</x:t>
  </x:si>
  <x:si>
    <x:t xml:space="preserve">Có cơ sở chọn threshold cuối.</x:t>
  </x:si>
  <x:si>
    <x:t xml:space="preserve">Test set không bị dùng để chọn threshold.</x:t>
  </x:si>
  <x:si>
    <x:t xml:space="preserve">6B. Evaluation chính</x:t>
  </x:si>
  <x:si>
    <x:t xml:space="preserve">Evaluate tất cả checkpoint tốt nhất.</x:t>
  </x:si>
  <x:si>
    <x:t xml:space="preserve">Tính mAP@0.5:0.95.</x:t>
  </x:si>
  <x:si>
    <x:t xml:space="preserve">Tính mAP@0.5.</x:t>
  </x:si>
  <x:si>
    <x:t xml:space="preserve">Tính class-wise AP.</x:t>
  </x:si>
  <x:si>
    <x:t xml:space="preserve">Tính recall.</x:t>
  </x:si>
  <x:si>
    <x:t xml:space="preserve">Tính FP per image.</x:t>
  </x:si>
  <x:si>
    <x:t xml:space="preserve">Tính FP per negative image.</x:t>
  </x:si>
  <x:si>
    <x:t xml:space="preserve">Tính bbox-size AP nếu có.</x:t>
  </x:si>
  <x:si>
    <x:t xml:space="preserve">reports/final_evaluation_results.csv</x:t>
  </x:si>
  <x:si>
    <x:t xml:space="preserve">reports/classwise_ap_results.csv</x:t>
  </x:si>
  <x:si>
    <x:t xml:space="preserve">reports/negative_fp_report.csv</x:t>
  </x:si>
  <x:si>
    <x:t xml:space="preserve">Tất cả mô hình evaluate trên cùng fixed test set.</x:t>
  </x:si>
  <x:si>
    <x:t xml:space="preserve">Metric chính là mAP@0.5:0.95.</x:t>
  </x:si>
  <x:si>
    <x:t xml:space="preserve">Không dùng metric phụ để thay thế kết luận chính.</x:t>
  </x:si>
  <x:si>
    <x:t xml:space="preserve">FP per negative image tính trên test set có đủ No Finding.</x:t>
  </x:si>
  <x:si>
    <x:t xml:space="preserve">6C. Error analysis</x:t>
  </x:si>
  <x:si>
    <x:t xml:space="preserve">Phân tích false positive trên ảnh No Finding.</x:t>
  </x:si>
  <x:si>
    <x:t xml:space="preserve">Phân tích false negative trên ảnh abnormal.</x:t>
  </x:si>
  <x:si>
    <x:t xml:space="preserve">Phân tích class nào hay bị nhầm.</x:t>
  </x:si>
  <x:si>
    <x:t xml:space="preserve">Phân tích bbox nhỏ có bị bỏ sót không.</x:t>
  </x:si>
  <x:si>
    <x:t xml:space="preserve">Visualize TP / FP / FN.</x:t>
  </x:si>
  <x:si>
    <x:t xml:space="preserve">Visualize pseudo-label failure cases.</x:t>
  </x:si>
  <x:si>
    <x:t xml:space="preserve">Liên hệ lỗi với confirmation bias, threshold, NMS và batch composition.</x:t>
  </x:si>
  <x:si>
    <x:t xml:space="preserve">reports/error_analysis_report.md</x:t>
  </x:si>
  <x:si>
    <x:t xml:space="preserve">plots/error_vis/true_positive_examples/</x:t>
  </x:si>
  <x:si>
    <x:t xml:space="preserve">plots/error_vis/false_positive_negative_images/</x:t>
  </x:si>
  <x:si>
    <x:t xml:space="preserve">plots/error_vis/false_negative_abnormal_images/</x:t>
  </x:si>
  <x:si>
    <x:t xml:space="preserve">Mỗi kết luận định lượng có ví dụ hình ảnh minh họa.</x:t>
  </x:si>
  <x:si>
    <x:t xml:space="preserve">Mỗi lỗi chính có giải thích hoặc hành động.</x:t>
  </x:si>
  <x:si>
    <x:t xml:space="preserve">6D. Stability analysis</x:t>
  </x:si>
  <x:si>
    <x:t xml:space="preserve">Tổng hợp kết quả theo seed.</x:t>
  </x:si>
  <x:si>
    <x:t xml:space="preserve">Phân biệt rõ split_seed và training_seed trong bảng stability.</x:t>
  </x:si>
  <x:si>
    <x:t xml:space="preserve">Tính mean ± std.</x:t>
  </x:si>
  <x:si>
    <x:t xml:space="preserve">Tính 95% CI nếu đủ seed.</x:t>
  </x:si>
  <x:si>
    <x:t xml:space="preserve">Vẽ seed stability plot.</x:t>
  </x:si>
  <x:si>
    <x:t xml:space="preserve">So sánh gain với baseline variability.</x:t>
  </x:si>
  <x:si>
    <x:t xml:space="preserve">Cảnh báo seed leakage: supervised vs SSL cùng split_seed, nhiều training_seed để đo variance thật.</x:t>
  </x:si>
  <x:si>
    <x:t xml:space="preserve">reports/seed_stability_report.csv</x:t>
  </x:si>
  <x:si>
    <x:t xml:space="preserve">plots/results/seed_stability.png</x:t>
  </x:si>
  <x:si>
    <x:t xml:space="preserve">Biết SSL gain có ổn định không.</x:t>
  </x:si>
  <x:si>
    <x:t xml:space="preserve">Nếu gain nhỏ hơn std, ghi rõ không đủ mạnh để kết luận.</x:t>
  </x:si>
  <x:si>
    <x:t xml:space="preserve">Không over-claim.</x:t>
  </x:si>
  <x:si>
    <x:t xml:space="preserve">Không có variance giả do khóa nhầm training_seed.</x:t>
  </x:si>
  <x:si>
    <x:t xml:space="preserve">7A. Generate final reports</x:t>
  </x:si>
  <x:si>
    <x:t xml:space="preserve">Tổng hợp dataset report.</x:t>
  </x:si>
  <x:si>
    <x:t xml:space="preserve">Tổng hợp supervised baseline.</x:t>
  </x:si>
  <x:si>
    <x:t xml:space="preserve">Tổng hợp SSL results.</x:t>
  </x:si>
  <x:si>
    <x:t xml:space="preserve">Tổng hợp threshold sweep.</x:t>
  </x:si>
  <x:si>
    <x:t xml:space="preserve">Tổng hợp negative FP.</x:t>
  </x:si>
  <x:si>
    <x:t xml:space="preserve">Tổng hợp seed stability.</x:t>
  </x:si>
  <x:si>
    <x:t xml:space="preserve">Tổng hợp pseudo-bbox/NMS/confirmation-bias findings.</x:t>
  </x:si>
  <x:si>
    <x:t xml:space="preserve">Tạo bảng kết quả chính.</x:t>
  </x:si>
  <x:si>
    <x:t xml:space="preserve">Tạo hình label efficiency curve.</x:t>
  </x:si>
  <x:si>
    <x:t xml:space="preserve">Tạo hình SSL gain curve.</x:t>
  </x:si>
  <x:si>
    <x:t xml:space="preserve">reports/final_results_summary.md</x:t>
  </x:si>
  <x:si>
    <x:t xml:space="preserve">reports/paper_framing.md</x:t>
  </x:si>
  <x:si>
    <x:t xml:space="preserve">plots/results/label_efficiency_curve.png</x:t>
  </x:si>
  <x:si>
    <x:t xml:space="preserve">Mọi bảng/hình trong thesis truy vết được tới CSV/log/config.</x:t>
  </x:si>
  <x:si>
    <x:t xml:space="preserve">Không có số liệu nhập tay không rõ nguồn.</x:t>
  </x:si>
  <x:si>
    <x:t xml:space="preserve">7B. Viết thesis/paper theo STRUCTURE.md</x:t>
  </x:si>
  <x:si>
    <x:t xml:space="preserve">Viết Abstract.</x:t>
  </x:si>
  <x:si>
    <x:t xml:space="preserve">Viết Introduction.</x:t>
  </x:si>
  <x:si>
    <x:t xml:space="preserve">Viết Related Work.</x:t>
  </x:si>
  <x:si>
    <x:t xml:space="preserve">Viết Materials and Data Protocol.</x:t>
  </x:si>
  <x:si>
    <x:t xml:space="preserve">Viết Methodology.</x:t>
  </x:si>
  <x:si>
    <x:t xml:space="preserve">Viết Experiments.</x:t>
  </x:si>
  <x:si>
    <x:t xml:space="preserve">Viết Results.</x:t>
  </x:si>
  <x:si>
    <x:t xml:space="preserve">Viết Discussion.</x:t>
  </x:si>
  <x:si>
    <x:t xml:space="preserve">Viết Conclusion.</x:t>
  </x:si>
  <x:si>
    <x:t xml:space="preserve">Viết Appendix.</x:t>
  </x:si>
  <x:si>
    <x:t xml:space="preserve">draft/thesis/</x:t>
  </x:si>
  <x:si>
    <x:t xml:space="preserve">draft/paper/</x:t>
  </x:si>
  <x:si>
    <x:t xml:space="preserve">RQ nào cũng có experiment trả lời.</x:t>
  </x:si>
  <x:si>
    <x:t xml:space="preserve">Experiment nào cũng có result.</x:t>
  </x:si>
  <x:si>
    <x:t xml:space="preserve">Result nào cũng được discussion giải thích.</x:t>
  </x:si>
  <x:si>
    <x:t xml:space="preserve">Không over-claim khi SSL gain yếu hoặc bất ổn.</x:t>
  </x:si>
  <x:si>
    <x:t xml:space="preserve">Pre-train Gate</x:t>
  </x:si>
  <x:si>
    <x:t xml:space="preserve">Gate</x:t>
  </x:si>
  <x:si>
    <x:t xml:space="preserve">COCO master validate thành công.</x:t>
  </x:si>
  <x:si>
    <x:t xml:space="preserve">No Finding không nằm trong categories.</x:t>
  </x:si>
  <x:si>
    <x:t xml:space="preserve">Ảnh No Finding nằm trong images và không có annotations.</x:t>
  </x:si>
  <x:si>
    <x:t xml:space="preserve">Framework không lọc bỏ ảnh empty.</x:t>
  </x:si>
  <x:si>
    <x:t xml:space="preserve">Train/val/test leakage = 0.</x:t>
  </x:si>
  <x:si>
    <x:t xml:space="preserve">Test set có đủ No Finding để đo FP per negative image.</x:t>
  </x:si>
  <x:si>
    <x:t xml:space="preserve">Labeled splits nested đúng.</x:t>
  </x:si>
  <x:si>
    <x:t xml:space="preserve">Supervised và SSL dùng cùng labeled split.</x:t>
  </x:si>
  <x:si>
    <x:t xml:space="preserve">Supervised vs SSL dùng cùng split_seed.</x:t>
  </x:si>
  <x:si>
    <x:t xml:space="preserve">Stability dùng nhiều training_seed.</x:t>
  </x:si>
  <x:si>
    <x:t xml:space="preserve">Đã lưu seed number, RNG state và deterministic flags.</x:t>
  </x:si>
  <x:si>
    <x:t xml:space="preserve">Test set không dùng để tune.</x:t>
  </x:si>
  <x:si>
    <x:t xml:space="preserve">Test set không dùng để chọn checkpoint, threshold hoặc model tốt nhất.</x:t>
  </x:si>
  <x:si>
    <x:t xml:space="preserve">Augmentation bbox transform đúng.</x:t>
  </x:si>
  <x:si>
    <x:t xml:space="preserve">Pseudo-bbox generation có NMS và box quality filtering.</x:t>
  </x:si>
  <x:si>
    <x:t xml:space="preserve">Có burn-in + EMA teacher để giảm confirmation bias.</x:t>
  </x:si>
  <x:si>
    <x:t xml:space="preserve">Config seed được lưu.</x:t>
  </x:si>
  <x:si>
    <x:t xml:space="preserve">Checkpoint được chọn bằng validation mAP@0.5:0.95.</x:t>
  </x:si>
  <x:si>
    <x:t xml:space="preserve">Có kế hoạch OOM fallback trước khi chạy SSOD.</x:t>
  </x:si>
  <x:si>
    <x:t xml:space="preserve">Silent Failure Checks</x:t>
  </x:si>
  <x:si>
    <x:t xml:space="preserve">No Finding bị đưa nhầm thành detection class.</x:t>
  </x:si>
  <x:si>
    <x:t xml:space="preserve">Ảnh empty bị framework loại khỏi dataloader.</x:t>
  </x:si>
  <x:si>
    <x:t xml:space="preserve">Bbox format nhầm xyxy thành xywh.</x:t>
  </x:si>
  <x:si>
    <x:t xml:space="preserve">Bbox bị lệch sau resize.</x:t>
  </x:si>
  <x:si>
    <x:t xml:space="preserve">Bbox bị lệch sau flip/crop/scale.</x:t>
  </x:si>
  <x:si>
    <x:t xml:space="preserve">Unlabeled data vô tình dùng ground truth.</x:t>
  </x:si>
  <x:si>
    <x:t xml:space="preserve">Test set bị dùng trong threshold tuning.</x:t>
  </x:si>
  <x:si>
    <x:t xml:space="preserve">SSL so với supervised nhưng không cùng labeled split.</x:t>
  </x:si>
  <x:si>
    <x:t xml:space="preserve">SSL so với supervised nhưng không cùng split_seed.</x:t>
  </x:si>
  <x:si>
    <x:t xml:space="preserve">Chỉ chạy 1 seed rồi kết luận gain.</x:t>
  </x:si>
  <x:si>
    <x:t xml:space="preserve">Khóa nhầm training_seed giống nhau cho mọi run làm variance giả thấp.</x:t>
  </x:si>
  <x:si>
    <x:t xml:space="preserve">Chỉ lưu seed number, không lưu RNG state và deterministic flags.</x:t>
  </x:si>
  <x:si>
    <x:t xml:space="preserve">Teacher sinh quá nhiều pseudo-bbox trùng lặp vì thiếu NMS.</x:t>
  </x:si>
  <x:si>
    <x:t xml:space="preserve">Pseudo-bbox không transform đúng từ weak sang strong view.</x:t>
  </x:si>
  <x:si>
    <x:t xml:space="preserve">Threshold cao làm rare class biến mất.</x:t>
  </x:si>
  <x:si>
    <x:t xml:space="preserve">Threshold thấp làm ảnh negative sinh nhiều pseudo-box sai.</x:t>
  </x:si>
  <x:si>
    <x:t xml:space="preserve">Checkpoint tốt nhất chọn bằng test thay vì validation.</x:t>
  </x:si>
  <x:si>
    <x:t xml:space="preserve">Checkpoint mỗi experiment chọn theo tiêu chí khác nhau.</x:t>
  </x:si>
  <x:si>
    <x:t xml:space="preserve">Conclusion Rules</x:t>
  </x:si>
  <x:si>
    <x:t xml:space="preserve">SSL gain/loss phải tính bằng mAP@0.5:0.95.</x:t>
  </x:si>
  <x:si>
    <x:t xml:space="preserve">SSL gain phải so với supervised baseline cùng labeled split và cùng split_seed.</x:t>
  </x:si>
  <x:si>
    <x:t xml:space="preserve">SSL gain phải báo cáo kèm mean ± std theo nhiều training_seed.</x:t>
  </x:si>
  <x:si>
    <x:t xml:space="preserve">Nếu SSL gain nhỏ hơn hoặc tương đương std giữa các seed, chỉ nói chưa đủ bằng chứng ổn định.</x:t>
  </x:si>
  <x:si>
    <x:t xml:space="preserve">Nếu SSL tăng mAP nhưng FP per negative image tăng mạnh, phải thảo luận trade-off y khoa.</x:t>
  </x:si>
  <x:si>
    <x:t xml:space="preserve">Nếu threshold làm rare-class survival rate giảm mạnh, không được chỉ báo cáo mAP tổng.</x:t>
  </x:si>
  <x:si>
    <x:t xml:space="preserve">Nếu SSL không giúp, kiểm tra threshold, NMS, confirmation bias, batch composition, OOM/compute simplification trước khi kết luận.</x:t>
  </x:si>
</x:sst>
</file>

<file path=xl/styles.xml><?xml version="1.0" encoding="utf-8"?>
<x:styleSheet xmlns:x="http://schemas.openxmlformats.org/spreadsheetml/2006/main">
  <x:fonts count="5">
    <x:font>
      <x:sz val="11"/>
      <x:name val="Carlito"/>
    </x:font>
    <x:font>
      <x:b/>
      <x:sz val="11"/>
      <x:color rgb="FFFFFFFF"/>
      <x:name val="Carlito"/>
    </x:font>
    <x:font>
      <x:b/>
      <x:sz val="14"/>
      <x:color rgb="FFFFFFFF"/>
      <x:name val="Carlito"/>
    </x:font>
    <x:font>
      <x:b/>
      <x:sz val="11"/>
      <x:color rgb="FF1E3A8A"/>
      <x:name val="Carlito"/>
    </x:font>
    <x:font>
      <x:sz val="11"/>
      <x:color rgb="FF0F172A"/>
      <x:name val="Carlito"/>
    </x:font>
  </x:fonts>
  <x:fills count="6">
    <x:fill>
      <x:patternFill patternType="none"/>
    </x:fill>
    <x:fill>
      <x:patternFill patternType="gray125"/>
    </x:fill>
    <x:fill>
      <x:patternFill patternType="solid">
        <x:fgColor rgb="FF1E3A8A"/>
      </x:patternFill>
    </x:fill>
    <x:fill>
      <x:patternFill patternType="solid">
        <x:fgColor rgb="FF0F172A"/>
      </x:patternFill>
    </x:fill>
    <x:fill>
      <x:patternFill patternType="solid">
        <x:fgColor rgb="FFDBEAFE"/>
      </x:patternFill>
    </x:fill>
    <x:fill>
      <x:patternFill patternType="solid">
        <x:fgColor rgb="FFF8FAFC"/>
      </x:patternFill>
    </x:fill>
  </x:fills>
  <x:borders count="1">
    <x:border/>
  </x:borders>
  <x:cellStyleXfs count="1">
    <x:xf numFmtId="0" fontId="0" fillId="0" borderId="0"/>
  </x:cellStyleXfs>
  <x:cellXfs count="12">
    <x:xf numFmtId="0" fontId="0" fillId="0" borderId="0" xfId="0"/>
    <x:xf numFmtId="0" fontId="1" fillId="2" borderId="0" xfId="0" applyFont="1" applyFill="1" applyAlignment="1">
      <x:alignment horizontal="center" vertical="center"/>
    </x:xf>
    <x:xf numFmtId="0" fontId="3" fillId="4" borderId="0" xfId="0" applyFont="1" applyFill="1" applyAlignment="1">
      <x:alignment horizontal="center" vertical="center"/>
    </x:xf>
    <x:xf numFmtId="0" fontId="4" fillId="5" borderId="0" xfId="0" applyFont="1" applyFill="1" applyAlignment="1">
      <x:alignment vertical="center"/>
    </x:xf>
    <x:xf numFmtId="0" fontId="1" fillId="2" borderId="0" xfId="0" applyFont="1" applyFill="1" applyAlignment="1">
      <x:alignment horizontal="center" vertical="center" wrapText="1"/>
    </x:xf>
    <x:xf numFmtId="9" fontId="3" fillId="4" borderId="0" xfId="0" applyNumberFormat="1" applyFont="1" applyFill="1" applyAlignment="1">
      <x:alignment horizontal="center" vertical="center"/>
    </x:xf>
    <x:xf numFmtId="9" fontId="0" fillId="0" borderId="0" xfId="0" applyNumberFormat="1"/>
    <x:xf numFmtId="9" fontId="4" fillId="5" borderId="0" xfId="0" applyNumberFormat="1" applyFont="1" applyFill="1" applyAlignment="1">
      <x:alignment vertical="center"/>
    </x:xf>
    <x:xf numFmtId="9" fontId="1" fillId="2" borderId="0" xfId="0" applyNumberFormat="1" applyFont="1" applyFill="1" applyAlignment="1">
      <x:alignment horizontal="center" vertical="center"/>
    </x:xf>
    <x:xf numFmtId="0" fontId="0" fillId="0" borderId="0" xfId="0" applyAlignment="1">
      <x:alignment vertical="center"/>
    </x:xf>
    <x:xf numFmtId="0" fontId="0" fillId="0" borderId="0" xfId="0" applyAlignment="1">
      <x:alignment vertical="center" wrapText="1"/>
    </x:xf>
    <x:xf numFmtId="0" fontId="2" fillId="3" borderId="0" xfId="0" applyFont="1" applyFill="1" applyAlignment="1">
      <x:alignment horizontal="center" vertical="center"/>
    </x:xf>
  </x:cellXfs>
  <x:cellStyles count="1">
    <x:cellStyle name="Normal" xfId="0"/>
  </x:cellStyles>
  <x:dxfs count="11">
    <x:dxf>
      <x:font>
        <x:color rgb="FF991B1B"/>
      </x:font>
      <x:fill>
        <x:patternFill>
          <x:bgColor rgb="FFFEE2E2"/>
        </x:patternFill>
      </x:fill>
    </x:dxf>
    <x:dxf>
      <x:font>
        <x:color rgb="FF166534"/>
      </x:font>
      <x:fill>
        <x:patternFill>
          <x:bgColor rgb="FFDCFCE7"/>
        </x:patternFill>
      </x:fill>
    </x:dxf>
    <x:dxf>
      <x:font>
        <x:color rgb="FF991B1B"/>
      </x:font>
      <x:fill>
        <x:patternFill>
          <x:bgColor rgb="FFFEE2E2"/>
        </x:patternFill>
      </x:fill>
    </x:dxf>
    <x:dxf>
      <x:font>
        <x:color rgb="FF991B1B"/>
      </x:font>
      <x:fill>
        <x:patternFill>
          <x:bgColor rgb="FFFEE2E2"/>
        </x:patternFill>
      </x:fill>
    </x:dxf>
    <x:dxf>
      <x:font>
        <x:color rgb="FF4B5563"/>
      </x:font>
      <x:fill>
        <x:patternFill>
          <x:bgColor rgb="FFE5E7EB"/>
        </x:patternFill>
      </x:fill>
    </x:dxf>
    <x:dxf>
      <x:font>
        <x:color rgb="FF991B1B"/>
      </x:font>
      <x:fill>
        <x:patternFill>
          <x:bgColor rgb="FFFEE2E2"/>
        </x:patternFill>
      </x:fill>
    </x:dxf>
    <x:dxf>
      <x:font>
        <x:color rgb="FF166534"/>
      </x:font>
      <x:fill>
        <x:patternFill>
          <x:bgColor rgb="FFDCFCE7"/>
        </x:patternFill>
      </x:fill>
    </x:dxf>
    <x:dxf>
      <x:font>
        <x:color rgb="FF92400E"/>
      </x:font>
      <x:fill>
        <x:patternFill>
          <x:bgColor rgb="FFFEF3C7"/>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6da1dcb9094a99" /><Relationship Type="http://schemas.openxmlformats.org/officeDocument/2006/relationships/theme" Target="/xl/theme/theme1.xml" Id="Raf99135518be4916" /><Relationship Type="http://schemas.openxmlformats.org/officeDocument/2006/relationships/sharedStrings" Target="/xl/sharedStrings.xml" Id="Re6aae3f4e07f4cae" /><Relationship Type="http://schemas.openxmlformats.org/officeDocument/2006/relationships/worksheet" Target="/xl/worksheets/sheet1.xml" Id="R692de72276794385" /><Relationship Type="http://schemas.openxmlformats.org/officeDocument/2006/relationships/worksheet" Target="/xl/worksheets/sheet2.xml" Id="R3e3e136ef8b04eb5" /><Relationship Type="http://schemas.openxmlformats.org/officeDocument/2006/relationships/worksheet" Target="/xl/worksheets/sheet3.xml" Id="Re41850fdd9254fc6" /><Relationship Type="http://schemas.openxmlformats.org/officeDocument/2006/relationships/worksheet" Target="/xl/worksheets/sheet4.xml" Id="Raf7184ff2b9f48be" /></Relationships>
</file>

<file path=xl/tables/table1.xml><?xml version="1.0" encoding="utf-8"?>
<x:table xmlns:x="http://schemas.openxmlformats.org/spreadsheetml/2006/main" id="1" name="ChecklistTable" displayName="ChecklistTable" ref="A1:M496">
  <x:tableColumns count="13">
    <x:tableColumn id="1" name="ID"/>
    <x:tableColumn id="2" name="Phase"/>
    <x:tableColumn id="3" name="Section"/>
    <x:tableColumn id="4" name="Type"/>
    <x:tableColumn id="5" name="Task"/>
    <x:tableColumn id="6" name="Status"/>
    <x:tableColumn id="7" name="Priority"/>
    <x:tableColumn id="8" name="Risk"/>
    <x:tableColumn id="9" name="Owner"/>
    <x:tableColumn id="10" name="Due Date"/>
    <x:tableColumn id="11" name="Notes"/>
    <x:tableColumn id="12" name="Evidence / Link"/>
    <x:tableColumn id="13" name="Done Flag"/>
  </x:tableColumns>
  <x:tableStyleInfo name="TableStyleMedium2" showFirstColumn="0" showLastColumn="0" showRowStripes="1" showColumnStripes="0"/>
</x:table>
</file>

<file path=xl/tables/table2.xml><?xml version="1.0" encoding="utf-8"?>
<x:table xmlns:x="http://schemas.openxmlformats.org/spreadsheetml/2006/main" id="2" name="PhaseSummaryTable" displayName="PhaseSummaryTable" ref="A1:H13">
  <x:tableColumns count="8">
    <x:tableColumn id="1" name="Phase"/>
    <x:tableColumn id="2" name="Total"/>
    <x:tableColumn id="3" name="Chưa làm"/>
    <x:tableColumn id="4" name="Đang làm"/>
    <x:tableColumn id="5" name="Hoàn thành"/>
    <x:tableColumn id="6" name="Bị chặn"/>
    <x:tableColumn id="7" name="Tạm hoãn"/>
    <x:tableColumn id="8" name="Completion %"/>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44192d4decf47ff" /></Relationships>
</file>

<file path=xl/worksheets/_rels/sheet3.xml.rels>&#65279;<?xml version="1.0" encoding="utf-8"?><Relationships xmlns="http://schemas.openxmlformats.org/package/2006/relationships"><Relationship Type="http://schemas.openxmlformats.org/officeDocument/2006/relationships/table" Target="/xl/tables/table2.xml" Id="Rbf6bf186454b471c" /></Relationships>
</file>

<file path=xl/worksheets/sheet1.xml><?xml version="1.0" encoding="utf-8"?>
<x:worksheet xmlns:x="http://schemas.openxmlformats.org/spreadsheetml/2006/main">
  <x:sheetFormatPr defaultRowHeight="13.800000190734863"/>
  <x:cols>
    <x:col min="1" max="1" width="44" customWidth="1"/>
    <x:col min="2" max="3" width="14" customWidth="1"/>
    <x:col min="4" max="4" width="8" customWidth="1"/>
    <x:col min="5" max="5" width="65" customWidth="1"/>
    <x:col min="6" max="8" width="14" customWidth="1"/>
  </x:cols>
  <x:sheetData>
    <x:row r="1" ht="17.399999618530273">
      <x:c r="A1" s="11" t="s">
        <x:v>0</x:v>
      </x:c>
      <x:c r="B1" s="11"/>
      <x:c r="C1" s="11"/>
      <x:c r="D1" s="11"/>
      <x:c r="E1" s="11"/>
      <x:c r="F1" s="11"/>
      <x:c r="G1" s="11"/>
      <x:c r="H1" s="11"/>
    </x:row>
    <x:row r="2">
      <x:c r="H2" s="6"/>
    </x:row>
    <x:row r="3">
      <x:c r="A3" s="2" t="s">
        <x:v>1</x:v>
      </x:c>
      <x:c r="B3" s="2" t="n">
        <x:f>COUNTA(Checklist!$A$2:$A$1000)</x:f>
        <x:v>533</x:v>
      </x:c>
      <x:c r="D3" s="3" t="s">
        <x:v>2</x:v>
      </x:c>
      <x:c r="E3" s="3"/>
      <x:c r="F3" s="3"/>
      <x:c r="G3" s="3"/>
      <x:c r="H3" s="7"/>
    </x:row>
    <x:row r="4">
      <x:c r="A4" s="2" t="s">
        <x:v>3</x:v>
      </x:c>
      <x:c r="B4" s="2" t="n">
        <x:f>COUNTIF(Checklist!$F:$F,"Chưa làm")</x:f>
        <x:v>312</x:v>
      </x:c>
      <x:c r="D4" s="3" t="s">
        <x:v>4</x:v>
      </x:c>
      <x:c r="E4" s="3" t="s">
        <x:v>5</x:v>
      </x:c>
      <x:c r="F4" s="3"/>
      <x:c r="G4" s="3"/>
      <x:c r="H4" s="7"/>
    </x:row>
    <x:row r="5">
      <x:c r="A5" s="2" t="s">
        <x:v>6</x:v>
      </x:c>
      <x:c r="B5" s="2" t="n">
        <x:f>COUNTIF(Checklist!$F:$F,"Đang làm")</x:f>
        <x:v>0</x:v>
      </x:c>
      <x:c r="D5" s="3" t="s">
        <x:v>7</x:v>
      </x:c>
      <x:c r="E5" s="3" t="s">
        <x:v>8</x:v>
      </x:c>
      <x:c r="F5" s="3"/>
      <x:c r="G5" s="3"/>
      <x:c r="H5" s="7"/>
    </x:row>
    <x:row r="6">
      <x:c r="A6" s="2" t="s">
        <x:v>9</x:v>
      </x:c>
      <x:c r="B6" s="2" t="n">
        <x:f>COUNTIF(Checklist!$F:$F,"Hoàn thành")</x:f>
        <x:v>219</x:v>
      </x:c>
      <x:c r="D6" s="3" t="s">
        <x:v>10</x:v>
      </x:c>
      <x:c r="E6" s="3" t="s">
        <x:v>11</x:v>
      </x:c>
      <x:c r="F6" s="3"/>
      <x:c r="G6" s="3"/>
      <x:c r="H6" s="7"/>
    </x:row>
    <x:row r="7">
      <x:c r="A7" s="2" t="s">
        <x:v>12</x:v>
      </x:c>
      <x:c r="B7" s="2" t="n">
        <x:f>COUNTIF(Checklist!$F:$F,"Bị chặn")</x:f>
        <x:v>2</x:v>
      </x:c>
      <x:c r="D7" s="3" t="s">
        <x:v>13</x:v>
      </x:c>
      <x:c r="E7" s="3" t="s">
        <x:v>14</x:v>
      </x:c>
      <x:c r="F7" s="3"/>
      <x:c r="G7" s="3"/>
      <x:c r="H7" s="7"/>
    </x:row>
    <x:row r="8">
      <x:c r="A8" s="2" t="s">
        <x:v>15</x:v>
      </x:c>
      <x:c r="B8" s="5" t="n">
        <x:f>IFERROR(B6/B3,0)</x:f>
        <x:v>0.41088180112570355</x:v>
      </x:c>
      <x:c r="D8" s="3" t="s">
        <x:v>16</x:v>
      </x:c>
      <x:c r="E8" s="3" t="s">
        <x:v>17</x:v>
      </x:c>
      <x:c r="F8" s="3"/>
      <x:c r="G8" s="3"/>
      <x:c r="H8" s="7"/>
    </x:row>
    <x:row r="9">
      <x:c r="D9" s="3" t="s">
        <x:v>18</x:v>
      </x:c>
      <x:c r="E9" s="3" t="s">
        <x:v>19</x:v>
      </x:c>
      <x:c r="F9" s="3"/>
      <x:c r="G9" s="3"/>
      <x:c r="H9" s="7"/>
    </x:row>
    <x:row r="10">
      <x:c r="D10" s="3" t="s">
        <x:v>20</x:v>
      </x:c>
      <x:c r="E10" s="3" t="s">
        <x:v>21</x:v>
      </x:c>
      <x:c r="F10" s="3"/>
      <x:c r="G10" s="3"/>
      <x:c r="H10" s="7"/>
    </x:row>
    <x:row r="11">
      <x:c r="A11" s="1" t="s">
        <x:v>22</x:v>
      </x:c>
      <x:c r="B11" s="1" t="s">
        <x:v>23</x:v>
      </x:c>
      <x:c r="C11" s="1" t="s">
        <x:v>3</x:v>
      </x:c>
      <x:c r="D11" s="1" t="s">
        <x:v>6</x:v>
      </x:c>
      <x:c r="E11" s="1" t="s">
        <x:v>9</x:v>
      </x:c>
      <x:c r="F11" s="1" t="s">
        <x:v>12</x:v>
      </x:c>
      <x:c r="G11" s="1" t="s">
        <x:v>24</x:v>
      </x:c>
      <x:c r="H11" s="8" t="s">
        <x:v>25</x:v>
      </x:c>
    </x:row>
    <x:row r="12">
      <x:c r="A12" t="s">
        <x:v>26</x:v>
      </x:c>
      <x:c r="B12" t="n">
        <x:f>'Phase Summary'!B2</x:f>
        <x:v>8</x:v>
      </x:c>
      <x:c r="C12" t="n">
        <x:f>'Phase Summary'!C2</x:f>
        <x:v>0</x:v>
      </x:c>
      <x:c r="D12" t="n">
        <x:f>'Phase Summary'!D2</x:f>
        <x:v>0</x:v>
      </x:c>
      <x:c r="E12" t="n">
        <x:f>'Phase Summary'!E2</x:f>
        <x:v>8</x:v>
      </x:c>
      <x:c r="F12" t="n">
        <x:f>'Phase Summary'!F2</x:f>
        <x:v>0</x:v>
      </x:c>
      <x:c r="G12" t="n">
        <x:f>'Phase Summary'!G2</x:f>
        <x:v>0</x:v>
      </x:c>
      <x:c r="H12" s="6" t="n">
        <x:f>'Phase Summary'!H2</x:f>
        <x:v>1</x:v>
      </x:c>
    </x:row>
    <x:row r="13">
      <x:c r="A13" t="s">
        <x:v>27</x:v>
      </x:c>
      <x:c r="B13" t="n">
        <x:f>'Phase Summary'!B3</x:f>
        <x:v>23</x:v>
      </x:c>
      <x:c r="C13" t="n">
        <x:f>'Phase Summary'!C3</x:f>
        <x:v>2</x:v>
      </x:c>
      <x:c r="D13" t="n">
        <x:f>'Phase Summary'!D3</x:f>
        <x:v>0</x:v>
      </x:c>
      <x:c r="E13" t="n">
        <x:f>'Phase Summary'!E3</x:f>
        <x:v>19</x:v>
      </x:c>
      <x:c r="F13" t="n">
        <x:f>'Phase Summary'!F3</x:f>
        <x:v>2</x:v>
      </x:c>
      <x:c r="G13" t="n">
        <x:f>'Phase Summary'!G3</x:f>
        <x:v>0</x:v>
      </x:c>
      <x:c r="H13" s="6" t="n">
        <x:f>'Phase Summary'!H3</x:f>
        <x:v>0.8260869565217391</x:v>
      </x:c>
    </x:row>
    <x:row r="14">
      <x:c r="A14" t="s">
        <x:v>28</x:v>
      </x:c>
      <x:c r="B14" t="n">
        <x:f>'Phase Summary'!B4</x:f>
        <x:v>51</x:v>
      </x:c>
      <x:c r="C14" t="n">
        <x:f>'Phase Summary'!C4</x:f>
        <x:v>0</x:v>
      </x:c>
      <x:c r="D14" t="n">
        <x:f>'Phase Summary'!D4</x:f>
        <x:v>0</x:v>
      </x:c>
      <x:c r="E14" t="n">
        <x:f>'Phase Summary'!E4</x:f>
        <x:v>51</x:v>
      </x:c>
      <x:c r="F14" t="n">
        <x:f>'Phase Summary'!F4</x:f>
        <x:v>0</x:v>
      </x:c>
      <x:c r="G14" t="n">
        <x:f>'Phase Summary'!G4</x:f>
        <x:v>0</x:v>
      </x:c>
      <x:c r="H14" s="6" t="n">
        <x:f>'Phase Summary'!H4</x:f>
        <x:v>1</x:v>
      </x:c>
    </x:row>
    <x:row r="15">
      <x:c r="A15" t="s">
        <x:v>29</x:v>
      </x:c>
      <x:c r="B15" t="n">
        <x:f>'Phase Summary'!B5</x:f>
        <x:v>153</x:v>
      </x:c>
      <x:c r="C15" t="n">
        <x:f>'Phase Summary'!C5</x:f>
        <x:v>12</x:v>
      </x:c>
      <x:c r="D15" t="n">
        <x:f>'Phase Summary'!D5</x:f>
        <x:v>0</x:v>
      </x:c>
      <x:c r="E15" t="n">
        <x:f>'Phase Summary'!E5</x:f>
        <x:v>141</x:v>
      </x:c>
      <x:c r="F15" t="n">
        <x:f>'Phase Summary'!F5</x:f>
        <x:v>0</x:v>
      </x:c>
      <x:c r="G15" t="n">
        <x:f>'Phase Summary'!G5</x:f>
        <x:v>0</x:v>
      </x:c>
      <x:c r="H15" s="6" t="n">
        <x:f>'Phase Summary'!H5</x:f>
        <x:v>0.9215686274509803</x:v>
      </x:c>
    </x:row>
    <x:row r="16">
      <x:c r="A16" t="s">
        <x:v>30</x:v>
      </x:c>
      <x:c r="B16" t="n">
        <x:f>'Phase Summary'!B6</x:f>
        <x:v>17</x:v>
      </x:c>
      <x:c r="C16" t="n">
        <x:f>'Phase Summary'!C6</x:f>
        <x:v>17</x:v>
      </x:c>
      <x:c r="D16" t="n">
        <x:f>'Phase Summary'!D6</x:f>
        <x:v>0</x:v>
      </x:c>
      <x:c r="E16" t="n">
        <x:f>'Phase Summary'!E6</x:f>
        <x:v>0</x:v>
      </x:c>
      <x:c r="F16" t="n">
        <x:f>'Phase Summary'!F6</x:f>
        <x:v>0</x:v>
      </x:c>
      <x:c r="G16" t="n">
        <x:f>'Phase Summary'!G6</x:f>
        <x:v>0</x:v>
      </x:c>
      <x:c r="H16" s="6" t="n">
        <x:f>'Phase Summary'!H6</x:f>
        <x:v>0</x:v>
      </x:c>
    </x:row>
    <x:row r="17">
      <x:c r="A17" t="s">
        <x:v>31</x:v>
      </x:c>
      <x:c r="B17" t="n">
        <x:f>'Phase Summary'!B7</x:f>
        <x:v>47</x:v>
      </x:c>
      <x:c r="C17" t="n">
        <x:f>'Phase Summary'!C7</x:f>
        <x:v>47</x:v>
      </x:c>
      <x:c r="D17" t="n">
        <x:f>'Phase Summary'!D7</x:f>
        <x:v>0</x:v>
      </x:c>
      <x:c r="E17" t="n">
        <x:f>'Phase Summary'!E7</x:f>
        <x:v>0</x:v>
      </x:c>
      <x:c r="F17" t="n">
        <x:f>'Phase Summary'!F7</x:f>
        <x:v>0</x:v>
      </x:c>
      <x:c r="G17" t="n">
        <x:f>'Phase Summary'!G7</x:f>
        <x:v>0</x:v>
      </x:c>
      <x:c r="H17" s="6" t="n">
        <x:f>'Phase Summary'!H7</x:f>
        <x:v>0</x:v>
      </x:c>
    </x:row>
    <x:row r="18">
      <x:c r="A18" t="s">
        <x:v>32</x:v>
      </x:c>
      <x:c r="B18" t="n">
        <x:f>'Phase Summary'!B8</x:f>
        <x:v>101</x:v>
      </x:c>
      <x:c r="C18" t="n">
        <x:f>'Phase Summary'!C8</x:f>
        <x:v>101</x:v>
      </x:c>
      <x:c r="D18" t="n">
        <x:f>'Phase Summary'!D8</x:f>
        <x:v>0</x:v>
      </x:c>
      <x:c r="E18" t="n">
        <x:f>'Phase Summary'!E8</x:f>
        <x:v>0</x:v>
      </x:c>
      <x:c r="F18" t="n">
        <x:f>'Phase Summary'!F8</x:f>
        <x:v>0</x:v>
      </x:c>
      <x:c r="G18" t="n">
        <x:f>'Phase Summary'!G8</x:f>
        <x:v>0</x:v>
      </x:c>
      <x:c r="H18" s="6" t="n">
        <x:f>'Phase Summary'!H8</x:f>
        <x:v>0</x:v>
      </x:c>
    </x:row>
    <x:row r="19">
      <x:c r="A19" t="s">
        <x:v>33</x:v>
      </x:c>
      <x:c r="B19" t="n">
        <x:f>'Phase Summary'!B9</x:f>
        <x:v>56</x:v>
      </x:c>
      <x:c r="C19" t="n">
        <x:f>'Phase Summary'!C9</x:f>
        <x:v>56</x:v>
      </x:c>
      <x:c r="D19" t="n">
        <x:f>'Phase Summary'!D9</x:f>
        <x:v>0</x:v>
      </x:c>
      <x:c r="E19" t="n">
        <x:f>'Phase Summary'!E9</x:f>
        <x:v>0</x:v>
      </x:c>
      <x:c r="F19" t="n">
        <x:f>'Phase Summary'!F9</x:f>
        <x:v>0</x:v>
      </x:c>
      <x:c r="G19" t="n">
        <x:f>'Phase Summary'!G9</x:f>
        <x:v>0</x:v>
      </x:c>
      <x:c r="H19" s="6" t="n">
        <x:f>'Phase Summary'!H9</x:f>
        <x:v>0</x:v>
      </x:c>
    </x:row>
    <x:row r="20">
      <x:c r="A20" t="s">
        <x:v>34</x:v>
      </x:c>
      <x:c r="B20" t="n">
        <x:f>'Phase Summary'!B10</x:f>
        <x:v>32</x:v>
      </x:c>
      <x:c r="C20" t="n">
        <x:f>'Phase Summary'!C10</x:f>
        <x:v>32</x:v>
      </x:c>
      <x:c r="D20" t="n">
        <x:f>'Phase Summary'!D10</x:f>
        <x:v>0</x:v>
      </x:c>
      <x:c r="E20" t="n">
        <x:f>'Phase Summary'!E10</x:f>
        <x:v>0</x:v>
      </x:c>
      <x:c r="F20" t="n">
        <x:f>'Phase Summary'!F10</x:f>
        <x:v>0</x:v>
      </x:c>
      <x:c r="G20" t="n">
        <x:f>'Phase Summary'!G10</x:f>
        <x:v>0</x:v>
      </x:c>
      <x:c r="H20" s="6" t="n">
        <x:f>'Phase Summary'!H10</x:f>
        <x:v>0</x:v>
      </x:c>
    </x:row>
    <x:row r="21">
      <x:c r="A21" t="s">
        <x:v>35</x:v>
      </x:c>
      <x:c r="B21" t="n">
        <x:f>'Phase Summary'!B11</x:f>
        <x:v>20</x:v>
      </x:c>
      <x:c r="C21" t="n">
        <x:f>'Phase Summary'!C11</x:f>
        <x:v>20</x:v>
      </x:c>
      <x:c r="D21" t="n">
        <x:f>'Phase Summary'!D11</x:f>
        <x:v>0</x:v>
      </x:c>
      <x:c r="E21" t="n">
        <x:f>'Phase Summary'!E11</x:f>
        <x:v>0</x:v>
      </x:c>
      <x:c r="F21" t="n">
        <x:f>'Phase Summary'!F11</x:f>
        <x:v>0</x:v>
      </x:c>
      <x:c r="G21" t="n">
        <x:f>'Phase Summary'!G11</x:f>
        <x:v>0</x:v>
      </x:c>
      <x:c r="H21" s="6" t="n">
        <x:f>'Phase Summary'!H11</x:f>
        <x:v>0</x:v>
      </x:c>
    </x:row>
    <x:row r="22">
      <x:c r="A22" t="s">
        <x:v>36</x:v>
      </x:c>
      <x:c r="B22" t="n">
        <x:f>'Phase Summary'!B12</x:f>
        <x:v>18</x:v>
      </x:c>
      <x:c r="C22" t="n">
        <x:f>'Phase Summary'!C12</x:f>
        <x:v>18</x:v>
      </x:c>
      <x:c r="D22" t="n">
        <x:f>'Phase Summary'!D12</x:f>
        <x:v>0</x:v>
      </x:c>
      <x:c r="E22" t="n">
        <x:f>'Phase Summary'!E12</x:f>
        <x:v>0</x:v>
      </x:c>
      <x:c r="F22" t="n">
        <x:f>'Phase Summary'!F12</x:f>
        <x:v>0</x:v>
      </x:c>
      <x:c r="G22" t="n">
        <x:f>'Phase Summary'!G12</x:f>
        <x:v>0</x:v>
      </x:c>
      <x:c r="H22" s="6" t="n">
        <x:f>'Phase Summary'!H12</x:f>
        <x:v>0</x:v>
      </x:c>
    </x:row>
    <x:row r="23">
      <x:c r="A23" t="s">
        <x:v>37</x:v>
      </x:c>
      <x:c r="B23" t="n">
        <x:f>'Phase Summary'!B13</x:f>
        <x:v>7</x:v>
      </x:c>
      <x:c r="C23" t="n">
        <x:f>'Phase Summary'!C13</x:f>
        <x:v>7</x:v>
      </x:c>
      <x:c r="D23" t="n">
        <x:f>'Phase Summary'!D13</x:f>
        <x:v>0</x:v>
      </x:c>
      <x:c r="E23" t="n">
        <x:f>'Phase Summary'!E13</x:f>
        <x:v>0</x:v>
      </x:c>
      <x:c r="F23" t="n">
        <x:f>'Phase Summary'!F13</x:f>
        <x:v>0</x:v>
      </x:c>
      <x:c r="G23" t="n">
        <x:f>'Phase Summary'!G13</x:f>
        <x:v>0</x:v>
      </x:c>
      <x:c r="H23" s="6" t="n">
        <x:f>'Phase Summary'!H13</x:f>
        <x:v>0</x:v>
      </x:c>
    </x:row>
  </x:sheetData>
  <x:mergeCells>
    <x:mergeCell ref="A1:H1"/>
  </x:mergeCells>
  <x:conditionalFormatting sqref="H12:H23">
    <x:cfRule type="dataBar" priority="1">
      <x:dataBar>
        <x:cfvo type="min"/>
        <x:cfvo type="max"/>
        <x:color rgb="FF2563EB"/>
      </x:dataBar>
    </x:cfRule>
    <x:cfRule type="dataBar" priority="2">
      <x:dataBar>
        <x:cfvo type="min"/>
        <x:cfvo type="max"/>
        <x:color rgb="FF2563EB"/>
      </x:dataBar>
    </x:cfRule>
    <x:cfRule type="dataBar" priority="3">
      <x:dataBar>
        <x:cfvo type="min"/>
        <x:cfvo type="max"/>
        <x:color rgb="FF2563EB"/>
      </x:dataBar>
    </x:cfRule>
    <x:cfRule type="dataBar" priority="4">
      <x:dataBar>
        <x:cfvo type="min"/>
        <x:cfvo type="max"/>
        <x:color rgb="FF2563EB"/>
      </x:dataBar>
      <x:extLst>
        <x:ext xmlns:x14="http://schemas.microsoft.com/office/spreadsheetml/2009/9/main" uri="{B025F937-C7B1-47D3-B67F-A62EFF666E3E}">
          <x14:id>{E5D2A047-4238-8741-E2B3-85669B88D1C8}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E5D2A047-4238-8741-E2B3-85669B88D1C8}">
            <x14:dataBar>
              <x14:cfvo type="min"/>
              <x14:cfvo type="max"/>
              <x14:fillColor rgb="FF2563EB"/>
              <x14:negativeFillColor auto="1"/>
              <x14:axisColor auto="1"/>
            </x14:dataBar>
          </x14:cfRule>
          <xm:sqref>H12:H23</xm:sqref>
        </x14:conditionalFormatting>
      </x14:conditionalFormattings>
    </x:ext>
  </x:extLst>
</x:worksheet>
</file>

<file path=xl/worksheets/sheet2.xml><?xml version="1.0" encoding="utf-8"?>
<x:worksheet xmlns:x="http://schemas.openxmlformats.org/spreadsheetml/2006/main">
  <x:sheetFormatPr defaultRowHeight="13.800000190734863"/>
  <x:cols>
    <x:col min="1" max="1" width="5.296875" style="9" customWidth="1"/>
    <x:col min="2" max="2" width="36.8984375" style="9" customWidth="1"/>
    <x:col min="3" max="3" width="32" style="9" customWidth="1"/>
    <x:col min="4" max="4" width="16" style="9" customWidth="1"/>
    <x:col min="5" max="5" width="65" style="9" customWidth="1"/>
    <x:col min="6" max="6" width="14" style="9" customWidth="1"/>
    <x:col min="7" max="8" width="12" style="9" customWidth="1"/>
    <x:col min="9" max="9" width="16" style="9" customWidth="1"/>
    <x:col min="10" max="10" width="14" style="9" customWidth="1"/>
    <x:col min="11" max="12" width="24" style="9" customWidth="1"/>
    <x:col min="13" max="13" width="10" style="9" customWidth="1"/>
    <x:col min="14" max="16384" width="8.796875" style="9" customWidth="0"/>
  </x:cols>
  <x:sheetData>
    <x:row r="1">
      <x:c r="A1" s="4" t="s">
        <x:v>38</x:v>
      </x:c>
      <x:c r="B1" s="4" t="s">
        <x:v>22</x:v>
      </x:c>
      <x:c r="C1" s="4" t="s">
        <x:v>39</x:v>
      </x:c>
      <x:c r="D1" s="4" t="s">
        <x:v>40</x:v>
      </x:c>
      <x:c r="E1" s="4" t="s">
        <x:v>41</x:v>
      </x:c>
      <x:c r="F1" s="4" t="s">
        <x:v>42</x:v>
      </x:c>
      <x:c r="G1" s="4" t="s">
        <x:v>43</x:v>
      </x:c>
      <x:c r="H1" s="4" t="s">
        <x:v>44</x:v>
      </x:c>
      <x:c r="I1" s="4" t="s">
        <x:v>45</x:v>
      </x:c>
      <x:c r="J1" s="4" t="s">
        <x:v>46</x:v>
      </x:c>
      <x:c r="K1" s="4" t="s">
        <x:v>47</x:v>
      </x:c>
      <x:c r="L1" s="4" t="s">
        <x:v>48</x:v>
      </x:c>
      <x:c r="M1" s="4" t="s">
        <x:v>49</x:v>
      </x:c>
    </x:row>
    <x:row r="2" ht="27.600000381469727">
      <x:c r="A2" s="10">
        <x:v>1</x:v>
      </x:c>
      <x:c r="B2" s="10" t="s">
        <x:v>26</x:v>
      </x:c>
      <x:c r="C2" s="10" t="s">
        <x:v>26</x:v>
      </x:c>
      <x:c r="D2" s="10" t="s">
        <x:v>50</x:v>
      </x:c>
      <x:c r="E2" s="10" t="s">
        <x:v>51</x:v>
      </x:c>
      <x:c r="F2" s="10" t="s">
        <x:v>9</x:v>
      </x:c>
      <x:c r="G2" s="10" t="s">
        <x:v>52</x:v>
      </x:c>
      <x:c r="H2" s="10" t="s">
        <x:v>53</x:v>
      </x:c>
      <x:c r="I2" s="10"/>
      <x:c r="J2" s="10"/>
      <x:c r="K2" s="10"/>
      <x:c r="L2" s="10"/>
      <x:c r="M2" s="10" t="n">
        <x:f t="shared" ref="M2:M65" si="0">IF(F2="Hoàn thành",1,0)</x:f>
        <x:v>1</x:v>
      </x:c>
    </x:row>
    <x:row r="3">
      <x:c r="A3" s="10">
        <x:v>2</x:v>
      </x:c>
      <x:c r="B3" s="10" t="s">
        <x:v>26</x:v>
      </x:c>
      <x:c r="C3" s="10" t="s">
        <x:v>26</x:v>
      </x:c>
      <x:c r="D3" s="10" t="s">
        <x:v>50</x:v>
      </x:c>
      <x:c r="E3" s="10" t="s">
        <x:v>54</x:v>
      </x:c>
      <x:c r="F3" s="10" t="s">
        <x:v>9</x:v>
      </x:c>
      <x:c r="G3" s="10" t="s">
        <x:v>52</x:v>
      </x:c>
      <x:c r="H3" s="10" t="s">
        <x:v>53</x:v>
      </x:c>
      <x:c r="I3" s="10"/>
      <x:c r="J3" s="10"/>
      <x:c r="K3" s="10"/>
      <x:c r="L3" s="10"/>
      <x:c r="M3" s="10">
        <x:f t="shared" si="0"/>
        <x:v>1</x:v>
      </x:c>
    </x:row>
    <x:row r="4" ht="27.600000381469727">
      <x:c r="A4" s="10">
        <x:v>3</x:v>
      </x:c>
      <x:c r="B4" s="10" t="s">
        <x:v>26</x:v>
      </x:c>
      <x:c r="C4" s="10" t="s">
        <x:v>26</x:v>
      </x:c>
      <x:c r="D4" s="10" t="s">
        <x:v>50</x:v>
      </x:c>
      <x:c r="E4" s="10" t="s">
        <x:v>55</x:v>
      </x:c>
      <x:c r="F4" s="10" t="s">
        <x:v>9</x:v>
      </x:c>
      <x:c r="G4" s="10" t="s">
        <x:v>52</x:v>
      </x:c>
      <x:c r="H4" s="10" t="s">
        <x:v>53</x:v>
      </x:c>
      <x:c r="I4" s="10"/>
      <x:c r="J4" s="10"/>
      <x:c r="K4" s="10"/>
      <x:c r="L4" s="10"/>
      <x:c r="M4" s="10">
        <x:f t="shared" si="0"/>
        <x:v>1</x:v>
      </x:c>
    </x:row>
    <x:row r="5">
      <x:c r="A5" s="10">
        <x:v>4</x:v>
      </x:c>
      <x:c r="B5" s="10" t="s">
        <x:v>26</x:v>
      </x:c>
      <x:c r="C5" s="10" t="s">
        <x:v>26</x:v>
      </x:c>
      <x:c r="D5" s="10" t="s">
        <x:v>50</x:v>
      </x:c>
      <x:c r="E5" s="10" t="s">
        <x:v>56</x:v>
      </x:c>
      <x:c r="F5" s="10" t="s">
        <x:v>9</x:v>
      </x:c>
      <x:c r="G5" s="10" t="s">
        <x:v>52</x:v>
      </x:c>
      <x:c r="H5" s="10" t="s">
        <x:v>53</x:v>
      </x:c>
      <x:c r="I5" s="10"/>
      <x:c r="J5" s="10"/>
      <x:c r="K5" s="10"/>
      <x:c r="L5" s="10"/>
      <x:c r="M5" s="10">
        <x:f t="shared" si="0"/>
        <x:v>1</x:v>
      </x:c>
    </x:row>
    <x:row r="6" ht="27.600000381469727">
      <x:c r="A6" s="10">
        <x:v>5</x:v>
      </x:c>
      <x:c r="B6" s="10" t="s">
        <x:v>26</x:v>
      </x:c>
      <x:c r="C6" s="10" t="s">
        <x:v>26</x:v>
      </x:c>
      <x:c r="D6" s="10" t="s">
        <x:v>50</x:v>
      </x:c>
      <x:c r="E6" s="10" t="s">
        <x:v>57</x:v>
      </x:c>
      <x:c r="F6" s="10" t="s">
        <x:v>9</x:v>
      </x:c>
      <x:c r="G6" s="10" t="s">
        <x:v>52</x:v>
      </x:c>
      <x:c r="H6" s="10" t="s">
        <x:v>53</x:v>
      </x:c>
      <x:c r="I6" s="10"/>
      <x:c r="J6" s="10"/>
      <x:c r="K6" s="10"/>
      <x:c r="L6" s="10"/>
      <x:c r="M6" s="10">
        <x:f t="shared" si="0"/>
        <x:v>1</x:v>
      </x:c>
    </x:row>
    <x:row r="7" ht="27.600000381469727">
      <x:c r="A7" s="10">
        <x:v>6</x:v>
      </x:c>
      <x:c r="B7" s="10" t="s">
        <x:v>26</x:v>
      </x:c>
      <x:c r="C7" s="10" t="s">
        <x:v>26</x:v>
      </x:c>
      <x:c r="D7" s="10" t="s">
        <x:v>50</x:v>
      </x:c>
      <x:c r="E7" s="10" t="s">
        <x:v>58</x:v>
      </x:c>
      <x:c r="F7" s="10" t="s">
        <x:v>9</x:v>
      </x:c>
      <x:c r="G7" s="10" t="s">
        <x:v>52</x:v>
      </x:c>
      <x:c r="H7" s="10" t="s">
        <x:v>53</x:v>
      </x:c>
      <x:c r="I7" s="10"/>
      <x:c r="J7" s="10"/>
      <x:c r="K7" s="10"/>
      <x:c r="L7" s="10"/>
      <x:c r="M7" s="10">
        <x:f t="shared" si="0"/>
        <x:v>1</x:v>
      </x:c>
    </x:row>
    <x:row r="8" ht="27.600000381469727">
      <x:c r="A8" s="10">
        <x:v>7</x:v>
      </x:c>
      <x:c r="B8" s="10" t="s">
        <x:v>26</x:v>
      </x:c>
      <x:c r="C8" s="10" t="s">
        <x:v>26</x:v>
      </x:c>
      <x:c r="D8" s="10" t="s">
        <x:v>50</x:v>
      </x:c>
      <x:c r="E8" s="10" t="s">
        <x:v>59</x:v>
      </x:c>
      <x:c r="F8" s="10" t="s">
        <x:v>9</x:v>
      </x:c>
      <x:c r="G8" s="10" t="s">
        <x:v>52</x:v>
      </x:c>
      <x:c r="H8" s="10" t="s">
        <x:v>53</x:v>
      </x:c>
      <x:c r="I8" s="10"/>
      <x:c r="J8" s="10"/>
      <x:c r="K8" s="10"/>
      <x:c r="L8" s="10"/>
      <x:c r="M8" s="10">
        <x:f t="shared" si="0"/>
        <x:v>1</x:v>
      </x:c>
    </x:row>
    <x:row r="9" ht="27.600000381469727">
      <x:c r="A9" s="10">
        <x:v>8</x:v>
      </x:c>
      <x:c r="B9" s="10" t="s">
        <x:v>26</x:v>
      </x:c>
      <x:c r="C9" s="10" t="s">
        <x:v>26</x:v>
      </x:c>
      <x:c r="D9" s="10" t="s">
        <x:v>50</x:v>
      </x:c>
      <x:c r="E9" s="10" t="s">
        <x:v>60</x:v>
      </x:c>
      <x:c r="F9" s="10" t="s">
        <x:v>9</x:v>
      </x:c>
      <x:c r="G9" s="10" t="s">
        <x:v>52</x:v>
      </x:c>
      <x:c r="H9" s="10" t="s">
        <x:v>53</x:v>
      </x:c>
      <x:c r="I9" s="10"/>
      <x:c r="J9" s="10"/>
      <x:c r="K9" s="10"/>
      <x:c r="L9" s="10"/>
      <x:c r="M9" s="10">
        <x:f t="shared" si="0"/>
        <x:v>1</x:v>
      </x:c>
    </x:row>
    <x:row r="10">
      <x:c r="A10" s="10">
        <x:v>9</x:v>
      </x:c>
      <x:c r="B10" s="10" t="s">
        <x:v>27</x:v>
      </x:c>
      <x:c r="C10" s="10" t="s">
        <x:v>61</x:v>
      </x:c>
      <x:c r="D10" s="10" t="s">
        <x:v>62</x:v>
      </x:c>
      <x:c r="E10" s="10" t="s">
        <x:v>63</x:v>
      </x:c>
      <x:c r="F10" s="10" t="s">
        <x:v>9</x:v>
      </x:c>
      <x:c r="G10" s="10" t="s">
        <x:v>64</x:v>
      </x:c>
      <x:c r="H10" s="10" t="s">
        <x:v>64</x:v>
      </x:c>
      <x:c r="I10" s="10"/>
      <x:c r="J10" s="10"/>
      <x:c r="K10" s="10"/>
      <x:c r="L10" s="10"/>
      <x:c r="M10" s="10">
        <x:f t="shared" si="0"/>
        <x:v>1</x:v>
      </x:c>
    </x:row>
    <x:row r="11" ht="27.600000381469727">
      <x:c r="A11" s="10">
        <x:v>10</x:v>
      </x:c>
      <x:c r="B11" s="10" t="s">
        <x:v>27</x:v>
      </x:c>
      <x:c r="C11" s="10" t="s">
        <x:v>61</x:v>
      </x:c>
      <x:c r="D11" s="10" t="s">
        <x:v>62</x:v>
      </x:c>
      <x:c r="E11" s="10" t="s">
        <x:v>65</x:v>
      </x:c>
      <x:c r="F11" s="10" t="s">
        <x:v>9</x:v>
      </x:c>
      <x:c r="G11" s="10" t="s">
        <x:v>64</x:v>
      </x:c>
      <x:c r="H11" s="10" t="s">
        <x:v>64</x:v>
      </x:c>
      <x:c r="I11" s="10"/>
      <x:c r="J11" s="10"/>
      <x:c r="K11" s="10"/>
      <x:c r="L11" s="10"/>
      <x:c r="M11" s="10">
        <x:f t="shared" si="0"/>
        <x:v>1</x:v>
      </x:c>
    </x:row>
    <x:row r="12" ht="27.600000381469727">
      <x:c r="A12" s="10">
        <x:v>11</x:v>
      </x:c>
      <x:c r="B12" s="10" t="s">
        <x:v>27</x:v>
      </x:c>
      <x:c r="C12" s="10" t="s">
        <x:v>61</x:v>
      </x:c>
      <x:c r="D12" s="10" t="s">
        <x:v>62</x:v>
      </x:c>
      <x:c r="E12" s="10" t="s">
        <x:v>66</x:v>
      </x:c>
      <x:c r="F12" s="10" t="s">
        <x:v>9</x:v>
      </x:c>
      <x:c r="G12" s="10" t="s">
        <x:v>64</x:v>
      </x:c>
      <x:c r="H12" s="10" t="s">
        <x:v>64</x:v>
      </x:c>
      <x:c r="I12" s="10"/>
      <x:c r="J12" s="10"/>
      <x:c r="K12" s="10"/>
      <x:c r="L12" s="10"/>
      <x:c r="M12" s="10">
        <x:f t="shared" si="0"/>
        <x:v>1</x:v>
      </x:c>
    </x:row>
    <x:row r="13" ht="41.400001525878906">
      <x:c r="A13" s="10">
        <x:v>12</x:v>
      </x:c>
      <x:c r="B13" s="10" t="s">
        <x:v>27</x:v>
      </x:c>
      <x:c r="C13" s="10" t="s">
        <x:v>61</x:v>
      </x:c>
      <x:c r="D13" s="10" t="s">
        <x:v>62</x:v>
      </x:c>
      <x:c r="E13" s="10" t="s">
        <x:v>67</x:v>
      </x:c>
      <x:c r="F13" s="10" t="s">
        <x:v>9</x:v>
      </x:c>
      <x:c r="G13" s="10" t="s">
        <x:v>64</x:v>
      </x:c>
      <x:c r="H13" s="10" t="s">
        <x:v>64</x:v>
      </x:c>
      <x:c r="I13" s="10"/>
      <x:c r="J13" s="10"/>
      <x:c r="K13" s="10"/>
      <x:c r="L13" s="10"/>
      <x:c r="M13" s="10">
        <x:f t="shared" si="0"/>
        <x:v>1</x:v>
      </x:c>
    </x:row>
    <x:row r="14" ht="27.600000381469727">
      <x:c r="A14" s="10">
        <x:v>13</x:v>
      </x:c>
      <x:c r="B14" s="10" t="s">
        <x:v>27</x:v>
      </x:c>
      <x:c r="C14" s="10" t="s">
        <x:v>61</x:v>
      </x:c>
      <x:c r="D14" s="10" t="s">
        <x:v>62</x:v>
      </x:c>
      <x:c r="E14" s="10" t="s">
        <x:v>68</x:v>
      </x:c>
      <x:c r="F14" s="10" t="s">
        <x:v>9</x:v>
      </x:c>
      <x:c r="G14" s="10" t="s">
        <x:v>64</x:v>
      </x:c>
      <x:c r="H14" s="10" t="s">
        <x:v>64</x:v>
      </x:c>
      <x:c r="I14" s="10"/>
      <x:c r="J14" s="10"/>
      <x:c r="K14" s="10"/>
      <x:c r="L14" s="10"/>
      <x:c r="M14" s="10">
        <x:f t="shared" si="0"/>
        <x:v>1</x:v>
      </x:c>
    </x:row>
    <x:row r="15">
      <x:c r="A15" s="10">
        <x:v>14</x:v>
      </x:c>
      <x:c r="B15" s="10" t="s">
        <x:v>27</x:v>
      </x:c>
      <x:c r="C15" s="10" t="s">
        <x:v>69</x:v>
      </x:c>
      <x:c r="D15" s="10" t="s">
        <x:v>62</x:v>
      </x:c>
      <x:c r="E15" s="10" t="s">
        <x:v>70</x:v>
      </x:c>
      <x:c r="F15" s="10" t="s">
        <x:v>9</x:v>
      </x:c>
      <x:c r="G15" s="10" t="s">
        <x:v>64</x:v>
      </x:c>
      <x:c r="H15" s="10" t="s">
        <x:v>64</x:v>
      </x:c>
      <x:c r="I15" s="10"/>
      <x:c r="J15" s="10"/>
      <x:c r="K15" s="10"/>
      <x:c r="L15" s="10"/>
      <x:c r="M15" s="10">
        <x:f t="shared" si="0"/>
        <x:v>1</x:v>
      </x:c>
    </x:row>
    <x:row r="16">
      <x:c r="A16" s="10">
        <x:v>15</x:v>
      </x:c>
      <x:c r="B16" s="10" t="s">
        <x:v>27</x:v>
      </x:c>
      <x:c r="C16" s="10" t="s">
        <x:v>69</x:v>
      </x:c>
      <x:c r="D16" s="10" t="s">
        <x:v>62</x:v>
      </x:c>
      <x:c r="E16" s="10" t="s">
        <x:v>71</x:v>
      </x:c>
      <x:c r="F16" s="10" t="s">
        <x:v>9</x:v>
      </x:c>
      <x:c r="G16" s="10" t="s">
        <x:v>64</x:v>
      </x:c>
      <x:c r="H16" s="10" t="s">
        <x:v>64</x:v>
      </x:c>
      <x:c r="I16" s="10"/>
      <x:c r="J16" s="10"/>
      <x:c r="K16" s="10"/>
      <x:c r="L16" s="10"/>
      <x:c r="M16" s="10">
        <x:f t="shared" si="0"/>
        <x:v>1</x:v>
      </x:c>
    </x:row>
    <x:row r="17" ht="27.600000381469727">
      <x:c r="A17" s="10">
        <x:v>16</x:v>
      </x:c>
      <x:c r="B17" s="10" t="s">
        <x:v>27</x:v>
      </x:c>
      <x:c r="C17" s="10" t="s">
        <x:v>69</x:v>
      </x:c>
      <x:c r="D17" s="10" t="s">
        <x:v>62</x:v>
      </x:c>
      <x:c r="E17" s="10" t="s">
        <x:v>72</x:v>
      </x:c>
      <x:c r="F17" s="10" t="s">
        <x:v>3</x:v>
      </x:c>
      <x:c r="G17" s="10" t="s">
        <x:v>64</x:v>
      </x:c>
      <x:c r="H17" s="10" t="s">
        <x:v>64</x:v>
      </x:c>
      <x:c r="I17" s="10"/>
      <x:c r="J17" s="10"/>
      <x:c r="K17" s="10"/>
      <x:c r="L17" s="10"/>
      <x:c r="M17" s="10">
        <x:f t="shared" si="0"/>
        <x:v>0</x:v>
      </x:c>
    </x:row>
    <x:row r="18">
      <x:c r="A18" s="10">
        <x:v>17</x:v>
      </x:c>
      <x:c r="B18" s="10" t="s">
        <x:v>27</x:v>
      </x:c>
      <x:c r="C18" s="10" t="s">
        <x:v>69</x:v>
      </x:c>
      <x:c r="D18" s="10" t="s">
        <x:v>62</x:v>
      </x:c>
      <x:c r="E18" s="10" t="s">
        <x:v>73</x:v>
      </x:c>
      <x:c r="F18" s="10" t="s">
        <x:v>9</x:v>
      </x:c>
      <x:c r="G18" s="10" t="s">
        <x:v>64</x:v>
      </x:c>
      <x:c r="H18" s="10" t="s">
        <x:v>64</x:v>
      </x:c>
      <x:c r="I18" s="10"/>
      <x:c r="J18" s="10"/>
      <x:c r="K18" s="10"/>
      <x:c r="L18" s="10"/>
      <x:c r="M18" s="10">
        <x:f t="shared" si="0"/>
        <x:v>1</x:v>
      </x:c>
    </x:row>
    <x:row r="19">
      <x:c r="A19" s="10">
        <x:v>18</x:v>
      </x:c>
      <x:c r="B19" s="10" t="s">
        <x:v>27</x:v>
      </x:c>
      <x:c r="C19" s="10" t="s">
        <x:v>69</x:v>
      </x:c>
      <x:c r="D19" s="10" t="s">
        <x:v>62</x:v>
      </x:c>
      <x:c r="E19" s="10" t="s">
        <x:v>74</x:v>
      </x:c>
      <x:c r="F19" s="10" t="s">
        <x:v>9</x:v>
      </x:c>
      <x:c r="G19" s="10" t="s">
        <x:v>52</x:v>
      </x:c>
      <x:c r="H19" s="10" t="s">
        <x:v>64</x:v>
      </x:c>
      <x:c r="I19" s="10"/>
      <x:c r="J19" s="10"/>
      <x:c r="K19" s="10"/>
      <x:c r="L19" s="10"/>
      <x:c r="M19" s="10">
        <x:f t="shared" si="0"/>
        <x:v>1</x:v>
      </x:c>
    </x:row>
    <x:row r="20" ht="27.600000381469727">
      <x:c r="A20" s="10">
        <x:v>19</x:v>
      </x:c>
      <x:c r="B20" s="10" t="s">
        <x:v>27</x:v>
      </x:c>
      <x:c r="C20" s="10" t="s">
        <x:v>69</x:v>
      </x:c>
      <x:c r="D20" s="10" t="s">
        <x:v>62</x:v>
      </x:c>
      <x:c r="E20" s="10" t="s">
        <x:v>75</x:v>
      </x:c>
      <x:c r="F20" s="10" t="s">
        <x:v>9</x:v>
      </x:c>
      <x:c r="G20" s="10" t="s">
        <x:v>64</x:v>
      </x:c>
      <x:c r="H20" s="10" t="s">
        <x:v>64</x:v>
      </x:c>
      <x:c r="I20" s="10"/>
      <x:c r="J20" s="10"/>
      <x:c r="K20" s="10"/>
      <x:c r="L20" s="10"/>
      <x:c r="M20" s="10">
        <x:f t="shared" si="0"/>
        <x:v>1</x:v>
      </x:c>
    </x:row>
    <x:row r="21" ht="27.600000381469727">
      <x:c r="A21" s="10">
        <x:v>20</x:v>
      </x:c>
      <x:c r="B21" s="10" t="s">
        <x:v>27</x:v>
      </x:c>
      <x:c r="C21" s="10" t="s">
        <x:v>69</x:v>
      </x:c>
      <x:c r="D21" s="10" t="s">
        <x:v>62</x:v>
      </x:c>
      <x:c r="E21" s="10" t="s">
        <x:v>76</x:v>
      </x:c>
      <x:c r="F21" s="10" t="s">
        <x:v>9</x:v>
      </x:c>
      <x:c r="G21" s="10" t="s">
        <x:v>52</x:v>
      </x:c>
      <x:c r="H21" s="10" t="s">
        <x:v>64</x:v>
      </x:c>
      <x:c r="I21" s="10"/>
      <x:c r="J21" s="10"/>
      <x:c r="K21" s="10"/>
      <x:c r="L21" s="10"/>
      <x:c r="M21" s="10">
        <x:f t="shared" si="0"/>
        <x:v>1</x:v>
      </x:c>
    </x:row>
    <x:row r="22">
      <x:c r="A22" s="10">
        <x:v>21</x:v>
      </x:c>
      <x:c r="B22" s="10" t="s">
        <x:v>27</x:v>
      </x:c>
      <x:c r="C22" s="10" t="s">
        <x:v>69</x:v>
      </x:c>
      <x:c r="D22" s="10" t="s">
        <x:v>62</x:v>
      </x:c>
      <x:c r="E22" s="10" t="s">
        <x:v>77</x:v>
      </x:c>
      <x:c r="F22" s="10" t="s">
        <x:v>9</x:v>
      </x:c>
      <x:c r="G22" s="10" t="s">
        <x:v>52</x:v>
      </x:c>
      <x:c r="H22" s="10" t="s">
        <x:v>64</x:v>
      </x:c>
      <x:c r="I22" s="10"/>
      <x:c r="J22" s="10"/>
      <x:c r="K22" s="10"/>
      <x:c r="L22" s="10"/>
      <x:c r="M22" s="10">
        <x:f t="shared" si="0"/>
        <x:v>1</x:v>
      </x:c>
    </x:row>
    <x:row r="23">
      <x:c r="A23" s="10">
        <x:v>22</x:v>
      </x:c>
      <x:c r="B23" s="10" t="s">
        <x:v>27</x:v>
      </x:c>
      <x:c r="C23" s="10" t="s">
        <x:v>69</x:v>
      </x:c>
      <x:c r="D23" s="10" t="s">
        <x:v>78</x:v>
      </x:c>
      <x:c r="E23" s="10" t="s">
        <x:v>79</x:v>
      </x:c>
      <x:c r="F23" s="10" t="s">
        <x:v>9</x:v>
      </x:c>
      <x:c r="G23" s="10" t="s">
        <x:v>64</x:v>
      </x:c>
      <x:c r="H23" s="10" t="s">
        <x:v>64</x:v>
      </x:c>
      <x:c r="I23" s="10"/>
      <x:c r="J23" s="10"/>
      <x:c r="K23" s="10"/>
      <x:c r="L23" s="10"/>
      <x:c r="M23" s="10">
        <x:f t="shared" si="0"/>
        <x:v>1</x:v>
      </x:c>
    </x:row>
    <x:row r="24">
      <x:c r="A24" s="10">
        <x:v>23</x:v>
      </x:c>
      <x:c r="B24" s="10" t="s">
        <x:v>27</x:v>
      </x:c>
      <x:c r="C24" s="10" t="s">
        <x:v>69</x:v>
      </x:c>
      <x:c r="D24" s="10" t="s">
        <x:v>78</x:v>
      </x:c>
      <x:c r="E24" s="10" t="s">
        <x:v>80</x:v>
      </x:c>
      <x:c r="F24" s="10" t="s">
        <x:v>9</x:v>
      </x:c>
      <x:c r="G24" s="10" t="s">
        <x:v>64</x:v>
      </x:c>
      <x:c r="H24" s="10" t="s">
        <x:v>64</x:v>
      </x:c>
      <x:c r="I24" s="10"/>
      <x:c r="J24" s="10"/>
      <x:c r="K24" s="10"/>
      <x:c r="L24" s="10"/>
      <x:c r="M24" s="10">
        <x:f t="shared" si="0"/>
        <x:v>1</x:v>
      </x:c>
    </x:row>
    <x:row r="25">
      <x:c r="A25" s="10">
        <x:v>24</x:v>
      </x:c>
      <x:c r="B25" s="10" t="s">
        <x:v>27</x:v>
      </x:c>
      <x:c r="C25" s="10" t="s">
        <x:v>69</x:v>
      </x:c>
      <x:c r="D25" s="10" t="s">
        <x:v>78</x:v>
      </x:c>
      <x:c r="E25" s="10" t="s">
        <x:v>81</x:v>
      </x:c>
      <x:c r="F25" s="10" t="s">
        <x:v>9</x:v>
      </x:c>
      <x:c r="G25" s="10" t="s">
        <x:v>64</x:v>
      </x:c>
      <x:c r="H25" s="10" t="s">
        <x:v>64</x:v>
      </x:c>
      <x:c r="I25" s="10"/>
      <x:c r="J25" s="10"/>
      <x:c r="K25" s="10"/>
      <x:c r="L25" s="10"/>
      <x:c r="M25" s="10">
        <x:f t="shared" si="0"/>
        <x:v>1</x:v>
      </x:c>
    </x:row>
    <x:row r="26">
      <x:c r="A26" s="10">
        <x:v>25</x:v>
      </x:c>
      <x:c r="B26" s="10" t="s">
        <x:v>27</x:v>
      </x:c>
      <x:c r="C26" s="10" t="s">
        <x:v>69</x:v>
      </x:c>
      <x:c r="D26" s="10" t="s">
        <x:v>78</x:v>
      </x:c>
      <x:c r="E26" s="10" t="s">
        <x:v>82</x:v>
      </x:c>
      <x:c r="F26" s="10" t="s">
        <x:v>9</x:v>
      </x:c>
      <x:c r="G26" s="10" t="s">
        <x:v>64</x:v>
      </x:c>
      <x:c r="H26" s="10" t="s">
        <x:v>64</x:v>
      </x:c>
      <x:c r="I26" s="10"/>
      <x:c r="J26" s="10"/>
      <x:c r="K26" s="10"/>
      <x:c r="L26" s="10"/>
      <x:c r="M26" s="10">
        <x:f t="shared" si="0"/>
        <x:v>1</x:v>
      </x:c>
    </x:row>
    <x:row r="27">
      <x:c r="A27" s="10">
        <x:v>26</x:v>
      </x:c>
      <x:c r="B27" s="10" t="s">
        <x:v>27</x:v>
      </x:c>
      <x:c r="C27" s="10" t="s">
        <x:v>69</x:v>
      </x:c>
      <x:c r="D27" s="10" t="s">
        <x:v>78</x:v>
      </x:c>
      <x:c r="E27" s="10" t="s">
        <x:v>83</x:v>
      </x:c>
      <x:c r="F27" s="10" t="s">
        <x:v>9</x:v>
      </x:c>
      <x:c r="G27" s="10" t="s">
        <x:v>64</x:v>
      </x:c>
      <x:c r="H27" s="10" t="s">
        <x:v>64</x:v>
      </x:c>
      <x:c r="I27" s="10"/>
      <x:c r="J27" s="10"/>
      <x:c r="K27" s="10"/>
      <x:c r="L27" s="10"/>
      <x:c r="M27" s="10">
        <x:f t="shared" si="0"/>
        <x:v>1</x:v>
      </x:c>
    </x:row>
    <x:row r="28">
      <x:c r="A28" s="10">
        <x:v>27</x:v>
      </x:c>
      <x:c r="B28" s="10" t="s">
        <x:v>27</x:v>
      </x:c>
      <x:c r="C28" s="10" t="s">
        <x:v>69</x:v>
      </x:c>
      <x:c r="D28" s="10" t="s">
        <x:v>84</x:v>
      </x:c>
      <x:c r="E28" s="10" t="s">
        <x:v>85</x:v>
      </x:c>
      <x:c r="F28" s="10" t="s">
        <x:v>3</x:v>
      </x:c>
      <x:c r="G28" s="10" t="s">
        <x:v>52</x:v>
      </x:c>
      <x:c r="H28" s="10" t="s">
        <x:v>64</x:v>
      </x:c>
      <x:c r="I28" s="10"/>
      <x:c r="J28" s="10"/>
      <x:c r="K28" s="10"/>
      <x:c r="L28" s="10"/>
      <x:c r="M28" s="10">
        <x:f t="shared" si="0"/>
        <x:v>0</x:v>
      </x:c>
    </x:row>
    <x:row r="29">
      <x:c r="A29" s="10">
        <x:v>28</x:v>
      </x:c>
      <x:c r="B29" s="10" t="s">
        <x:v>27</x:v>
      </x:c>
      <x:c r="C29" s="10" t="s">
        <x:v>69</x:v>
      </x:c>
      <x:c r="D29" s="10" t="s">
        <x:v>84</x:v>
      </x:c>
      <x:c r="E29" s="10" t="s">
        <x:v>86</x:v>
      </x:c>
      <x:c r="F29" s="10" t="s">
        <x:v>12</x:v>
      </x:c>
      <x:c r="G29" s="10" t="s">
        <x:v>52</x:v>
      </x:c>
      <x:c r="H29" s="10" t="s">
        <x:v>64</x:v>
      </x:c>
      <x:c r="I29" s="10"/>
      <x:c r="J29" s="10"/>
      <x:c r="K29" s="10"/>
      <x:c r="L29" s="10"/>
      <x:c r="M29" s="10">
        <x:f t="shared" si="0"/>
        <x:v>0</x:v>
      </x:c>
    </x:row>
    <x:row r="30">
      <x:c r="A30" s="10">
        <x:v>29</x:v>
      </x:c>
      <x:c r="B30" s="10" t="s">
        <x:v>27</x:v>
      </x:c>
      <x:c r="C30" s="10" t="s">
        <x:v>69</x:v>
      </x:c>
      <x:c r="D30" s="10" t="s">
        <x:v>84</x:v>
      </x:c>
      <x:c r="E30" s="10" t="s">
        <x:v>87</x:v>
      </x:c>
      <x:c r="F30" s="10" t="s">
        <x:v>12</x:v>
      </x:c>
      <x:c r="G30" s="10" t="s">
        <x:v>52</x:v>
      </x:c>
      <x:c r="H30" s="10" t="s">
        <x:v>64</x:v>
      </x:c>
      <x:c r="I30" s="10"/>
      <x:c r="J30" s="10"/>
      <x:c r="K30" s="10"/>
      <x:c r="L30" s="10"/>
      <x:c r="M30" s="10">
        <x:f t="shared" si="0"/>
        <x:v>0</x:v>
      </x:c>
    </x:row>
    <x:row r="31">
      <x:c r="A31" s="10">
        <x:v>30</x:v>
      </x:c>
      <x:c r="B31" s="10" t="s">
        <x:v>27</x:v>
      </x:c>
      <x:c r="C31" s="10" t="s">
        <x:v>69</x:v>
      </x:c>
      <x:c r="D31" s="10" t="s">
        <x:v>84</x:v>
      </x:c>
      <x:c r="E31" s="10" t="s">
        <x:v>88</x:v>
      </x:c>
      <x:c r="F31" s="10" t="s">
        <x:v>9</x:v>
      </x:c>
      <x:c r="G31" s="10" t="s">
        <x:v>52</x:v>
      </x:c>
      <x:c r="H31" s="10" t="s">
        <x:v>64</x:v>
      </x:c>
      <x:c r="I31" s="10"/>
      <x:c r="J31" s="10"/>
      <x:c r="K31" s="10"/>
      <x:c r="L31" s="10"/>
      <x:c r="M31" s="10">
        <x:f t="shared" si="0"/>
        <x:v>1</x:v>
      </x:c>
    </x:row>
    <x:row r="32">
      <x:c r="A32" s="10">
        <x:v>31</x:v>
      </x:c>
      <x:c r="B32" s="10" t="s">
        <x:v>27</x:v>
      </x:c>
      <x:c r="C32" s="10" t="s">
        <x:v>69</x:v>
      </x:c>
      <x:c r="D32" s="10" t="s">
        <x:v>84</x:v>
      </x:c>
      <x:c r="E32" s="10" t="s">
        <x:v>89</x:v>
      </x:c>
      <x:c r="F32" s="10" t="s">
        <x:v>9</x:v>
      </x:c>
      <x:c r="G32" s="10" t="s">
        <x:v>52</x:v>
      </x:c>
      <x:c r="H32" s="10" t="s">
        <x:v>64</x:v>
      </x:c>
      <x:c r="I32" s="10"/>
      <x:c r="J32" s="10"/>
      <x:c r="K32" s="10"/>
      <x:c r="L32" s="10"/>
      <x:c r="M32" s="10">
        <x:f t="shared" si="0"/>
        <x:v>1</x:v>
      </x:c>
    </x:row>
    <x:row r="33" ht="27.600000381469727">
      <x:c r="A33" s="10">
        <x:v>32</x:v>
      </x:c>
      <x:c r="B33" s="10" t="s">
        <x:v>28</x:v>
      </x:c>
      <x:c r="C33" s="10" t="s">
        <x:v>90</x:v>
      </x:c>
      <x:c r="D33" s="10" t="s">
        <x:v>62</x:v>
      </x:c>
      <x:c r="E33" s="10" t="s">
        <x:v>91</x:v>
      </x:c>
      <x:c r="F33" s="10" t="s">
        <x:v>9</x:v>
      </x:c>
      <x:c r="G33" s="10" t="s">
        <x:v>64</x:v>
      </x:c>
      <x:c r="H33" s="10" t="s">
        <x:v>64</x:v>
      </x:c>
      <x:c r="I33" s="10"/>
      <x:c r="J33" s="10"/>
      <x:c r="K33" s="10"/>
      <x:c r="L33" s="10"/>
      <x:c r="M33" s="10">
        <x:f t="shared" si="0"/>
        <x:v>1</x:v>
      </x:c>
    </x:row>
    <x:row r="34" ht="27.600000381469727">
      <x:c r="A34" s="10">
        <x:v>33</x:v>
      </x:c>
      <x:c r="B34" s="10" t="s">
        <x:v>28</x:v>
      </x:c>
      <x:c r="C34" s="10" t="s">
        <x:v>90</x:v>
      </x:c>
      <x:c r="D34" s="10" t="s">
        <x:v>62</x:v>
      </x:c>
      <x:c r="E34" s="10" t="s">
        <x:v>92</x:v>
      </x:c>
      <x:c r="F34" s="10" t="s">
        <x:v>9</x:v>
      </x:c>
      <x:c r="G34" s="10" t="s">
        <x:v>64</x:v>
      </x:c>
      <x:c r="H34" s="10" t="s">
        <x:v>64</x:v>
      </x:c>
      <x:c r="I34" s="10"/>
      <x:c r="J34" s="10"/>
      <x:c r="K34" s="10"/>
      <x:c r="L34" s="10"/>
      <x:c r="M34" s="10">
        <x:f t="shared" si="0"/>
        <x:v>1</x:v>
      </x:c>
    </x:row>
    <x:row r="35" ht="27.600000381469727">
      <x:c r="A35" s="10">
        <x:v>34</x:v>
      </x:c>
      <x:c r="B35" s="10" t="s">
        <x:v>28</x:v>
      </x:c>
      <x:c r="C35" s="10" t="s">
        <x:v>90</x:v>
      </x:c>
      <x:c r="D35" s="10" t="s">
        <x:v>62</x:v>
      </x:c>
      <x:c r="E35" s="10" t="s">
        <x:v>93</x:v>
      </x:c>
      <x:c r="F35" s="10" t="s">
        <x:v>9</x:v>
      </x:c>
      <x:c r="G35" s="10" t="s">
        <x:v>64</x:v>
      </x:c>
      <x:c r="H35" s="10" t="s">
        <x:v>64</x:v>
      </x:c>
      <x:c r="I35" s="10"/>
      <x:c r="J35" s="10"/>
      <x:c r="K35" s="10"/>
      <x:c r="L35" s="10"/>
      <x:c r="M35" s="10">
        <x:f t="shared" si="0"/>
        <x:v>1</x:v>
      </x:c>
    </x:row>
    <x:row r="36" ht="27.600000381469727">
      <x:c r="A36" s="10">
        <x:v>35</x:v>
      </x:c>
      <x:c r="B36" s="10" t="s">
        <x:v>28</x:v>
      </x:c>
      <x:c r="C36" s="10" t="s">
        <x:v>90</x:v>
      </x:c>
      <x:c r="D36" s="10" t="s">
        <x:v>62</x:v>
      </x:c>
      <x:c r="E36" s="10" t="s">
        <x:v>94</x:v>
      </x:c>
      <x:c r="F36" s="10" t="s">
        <x:v>9</x:v>
      </x:c>
      <x:c r="G36" s="10" t="s">
        <x:v>64</x:v>
      </x:c>
      <x:c r="H36" s="10" t="s">
        <x:v>64</x:v>
      </x:c>
      <x:c r="I36" s="10"/>
      <x:c r="J36" s="10"/>
      <x:c r="K36" s="10"/>
      <x:c r="L36" s="10"/>
      <x:c r="M36" s="10">
        <x:f t="shared" si="0"/>
        <x:v>1</x:v>
      </x:c>
    </x:row>
    <x:row r="37" ht="27.600000381469727">
      <x:c r="A37" s="10">
        <x:v>36</x:v>
      </x:c>
      <x:c r="B37" s="10" t="s">
        <x:v>28</x:v>
      </x:c>
      <x:c r="C37" s="10" t="s">
        <x:v>90</x:v>
      </x:c>
      <x:c r="D37" s="10" t="s">
        <x:v>62</x:v>
      </x:c>
      <x:c r="E37" s="10" t="s">
        <x:v>95</x:v>
      </x:c>
      <x:c r="F37" s="10" t="s">
        <x:v>9</x:v>
      </x:c>
      <x:c r="G37" s="10" t="s">
        <x:v>64</x:v>
      </x:c>
      <x:c r="H37" s="10" t="s">
        <x:v>64</x:v>
      </x:c>
      <x:c r="I37" s="10"/>
      <x:c r="J37" s="10"/>
      <x:c r="K37" s="10"/>
      <x:c r="L37" s="10"/>
      <x:c r="M37" s="10">
        <x:f t="shared" si="0"/>
        <x:v>1</x:v>
      </x:c>
    </x:row>
    <x:row r="38" ht="27.600000381469727">
      <x:c r="A38" s="10">
        <x:v>37</x:v>
      </x:c>
      <x:c r="B38" s="10" t="s">
        <x:v>28</x:v>
      </x:c>
      <x:c r="C38" s="10" t="s">
        <x:v>90</x:v>
      </x:c>
      <x:c r="D38" s="10" t="s">
        <x:v>62</x:v>
      </x:c>
      <x:c r="E38" s="10" t="s">
        <x:v>96</x:v>
      </x:c>
      <x:c r="F38" s="10" t="s">
        <x:v>9</x:v>
      </x:c>
      <x:c r="G38" s="10" t="s">
        <x:v>64</x:v>
      </x:c>
      <x:c r="H38" s="10" t="s">
        <x:v>64</x:v>
      </x:c>
      <x:c r="I38" s="10"/>
      <x:c r="J38" s="10"/>
      <x:c r="K38" s="10"/>
      <x:c r="L38" s="10"/>
      <x:c r="M38" s="10">
        <x:f t="shared" si="0"/>
        <x:v>1</x:v>
      </x:c>
    </x:row>
    <x:row r="39" ht="27.600000381469727">
      <x:c r="A39" s="10">
        <x:v>38</x:v>
      </x:c>
      <x:c r="B39" s="10" t="s">
        <x:v>28</x:v>
      </x:c>
      <x:c r="C39" s="10" t="s">
        <x:v>90</x:v>
      </x:c>
      <x:c r="D39" s="10" t="s">
        <x:v>62</x:v>
      </x:c>
      <x:c r="E39" s="10" t="s">
        <x:v>97</x:v>
      </x:c>
      <x:c r="F39" s="10" t="s">
        <x:v>9</x:v>
      </x:c>
      <x:c r="G39" s="10" t="s">
        <x:v>64</x:v>
      </x:c>
      <x:c r="H39" s="10" t="s">
        <x:v>64</x:v>
      </x:c>
      <x:c r="I39" s="10"/>
      <x:c r="J39" s="10"/>
      <x:c r="K39" s="10"/>
      <x:c r="L39" s="10"/>
      <x:c r="M39" s="10">
        <x:f t="shared" si="0"/>
        <x:v>1</x:v>
      </x:c>
    </x:row>
    <x:row r="40" ht="27.600000381469727">
      <x:c r="A40" s="10">
        <x:v>39</x:v>
      </x:c>
      <x:c r="B40" s="10" t="s">
        <x:v>28</x:v>
      </x:c>
      <x:c r="C40" s="10" t="s">
        <x:v>90</x:v>
      </x:c>
      <x:c r="D40" s="10" t="s">
        <x:v>62</x:v>
      </x:c>
      <x:c r="E40" s="10" t="s">
        <x:v>98</x:v>
      </x:c>
      <x:c r="F40" s="10" t="s">
        <x:v>9</x:v>
      </x:c>
      <x:c r="G40" s="10" t="s">
        <x:v>64</x:v>
      </x:c>
      <x:c r="H40" s="10" t="s">
        <x:v>64</x:v>
      </x:c>
      <x:c r="I40" s="10"/>
      <x:c r="J40" s="10"/>
      <x:c r="K40" s="10"/>
      <x:c r="L40" s="10"/>
      <x:c r="M40" s="10">
        <x:f t="shared" si="0"/>
        <x:v>1</x:v>
      </x:c>
    </x:row>
    <x:row r="41" ht="27.600000381469727">
      <x:c r="A41" s="10">
        <x:v>40</x:v>
      </x:c>
      <x:c r="B41" s="10" t="s">
        <x:v>28</x:v>
      </x:c>
      <x:c r="C41" s="10" t="s">
        <x:v>90</x:v>
      </x:c>
      <x:c r="D41" s="10" t="s">
        <x:v>62</x:v>
      </x:c>
      <x:c r="E41" s="10" t="s">
        <x:v>99</x:v>
      </x:c>
      <x:c r="F41" s="10" t="s">
        <x:v>9</x:v>
      </x:c>
      <x:c r="G41" s="10" t="s">
        <x:v>64</x:v>
      </x:c>
      <x:c r="H41" s="10" t="s">
        <x:v>64</x:v>
      </x:c>
      <x:c r="I41" s="10"/>
      <x:c r="J41" s="10"/>
      <x:c r="K41" s="10"/>
      <x:c r="L41" s="10"/>
      <x:c r="M41" s="10">
        <x:f t="shared" si="0"/>
        <x:v>1</x:v>
      </x:c>
    </x:row>
    <x:row r="42" ht="27.600000381469727">
      <x:c r="A42" s="10">
        <x:v>41</x:v>
      </x:c>
      <x:c r="B42" s="10" t="s">
        <x:v>28</x:v>
      </x:c>
      <x:c r="C42" s="10" t="s">
        <x:v>90</x:v>
      </x:c>
      <x:c r="D42" s="10" t="s">
        <x:v>62</x:v>
      </x:c>
      <x:c r="E42" s="10" t="s">
        <x:v>100</x:v>
      </x:c>
      <x:c r="F42" s="10" t="s">
        <x:v>9</x:v>
      </x:c>
      <x:c r="G42" s="10" t="s">
        <x:v>64</x:v>
      </x:c>
      <x:c r="H42" s="10" t="s">
        <x:v>64</x:v>
      </x:c>
      <x:c r="I42" s="10"/>
      <x:c r="J42" s="10"/>
      <x:c r="K42" s="10"/>
      <x:c r="L42" s="10"/>
      <x:c r="M42" s="10">
        <x:f t="shared" si="0"/>
        <x:v>1</x:v>
      </x:c>
    </x:row>
    <x:row r="43" ht="27.600000381469727">
      <x:c r="A43" s="10">
        <x:v>42</x:v>
      </x:c>
      <x:c r="B43" s="10" t="s">
        <x:v>28</x:v>
      </x:c>
      <x:c r="C43" s="10" t="s">
        <x:v>90</x:v>
      </x:c>
      <x:c r="D43" s="10" t="s">
        <x:v>62</x:v>
      </x:c>
      <x:c r="E43" s="10" t="s">
        <x:v>101</x:v>
      </x:c>
      <x:c r="F43" s="10" t="s">
        <x:v>9</x:v>
      </x:c>
      <x:c r="G43" s="10" t="s">
        <x:v>64</x:v>
      </x:c>
      <x:c r="H43" s="10" t="s">
        <x:v>64</x:v>
      </x:c>
      <x:c r="I43" s="10"/>
      <x:c r="J43" s="10"/>
      <x:c r="K43" s="10"/>
      <x:c r="L43" s="10"/>
      <x:c r="M43" s="10">
        <x:f t="shared" si="0"/>
        <x:v>1</x:v>
      </x:c>
    </x:row>
    <x:row r="44" ht="27.600000381469727">
      <x:c r="A44" s="10">
        <x:v>43</x:v>
      </x:c>
      <x:c r="B44" s="10" t="s">
        <x:v>28</x:v>
      </x:c>
      <x:c r="C44" s="10" t="s">
        <x:v>90</x:v>
      </x:c>
      <x:c r="D44" s="10" t="s">
        <x:v>78</x:v>
      </x:c>
      <x:c r="E44" s="10" t="s">
        <x:v>102</x:v>
      </x:c>
      <x:c r="F44" s="10" t="s">
        <x:v>9</x:v>
      </x:c>
      <x:c r="G44" s="10" t="s">
        <x:v>64</x:v>
      </x:c>
      <x:c r="H44" s="10" t="s">
        <x:v>64</x:v>
      </x:c>
      <x:c r="I44" s="10"/>
      <x:c r="J44" s="10"/>
      <x:c r="K44" s="10"/>
      <x:c r="L44" s="10"/>
      <x:c r="M44" s="10">
        <x:f t="shared" si="0"/>
        <x:v>1</x:v>
      </x:c>
    </x:row>
    <x:row r="45" ht="27.600000381469727">
      <x:c r="A45" s="10">
        <x:v>44</x:v>
      </x:c>
      <x:c r="B45" s="10" t="s">
        <x:v>28</x:v>
      </x:c>
      <x:c r="C45" s="10" t="s">
        <x:v>90</x:v>
      </x:c>
      <x:c r="D45" s="10" t="s">
        <x:v>78</x:v>
      </x:c>
      <x:c r="E45" s="10" t="s">
        <x:v>103</x:v>
      </x:c>
      <x:c r="F45" s="10" t="s">
        <x:v>9</x:v>
      </x:c>
      <x:c r="G45" s="10" t="s">
        <x:v>64</x:v>
      </x:c>
      <x:c r="H45" s="10" t="s">
        <x:v>64</x:v>
      </x:c>
      <x:c r="I45" s="10"/>
      <x:c r="J45" s="10"/>
      <x:c r="K45" s="10"/>
      <x:c r="L45" s="10"/>
      <x:c r="M45" s="10">
        <x:f t="shared" si="0"/>
        <x:v>1</x:v>
      </x:c>
    </x:row>
    <x:row r="46" ht="27.600000381469727">
      <x:c r="A46" s="10">
        <x:v>45</x:v>
      </x:c>
      <x:c r="B46" s="10" t="s">
        <x:v>28</x:v>
      </x:c>
      <x:c r="C46" s="10" t="s">
        <x:v>90</x:v>
      </x:c>
      <x:c r="D46" s="10" t="s">
        <x:v>84</x:v>
      </x:c>
      <x:c r="E46" s="10" t="s">
        <x:v>104</x:v>
      </x:c>
      <x:c r="F46" s="10" t="s">
        <x:v>9</x:v>
      </x:c>
      <x:c r="G46" s="10" t="s">
        <x:v>52</x:v>
      </x:c>
      <x:c r="H46" s="10" t="s">
        <x:v>64</x:v>
      </x:c>
      <x:c r="I46" s="10"/>
      <x:c r="J46" s="10"/>
      <x:c r="K46" s="10"/>
      <x:c r="L46" s="10"/>
      <x:c r="M46" s="10">
        <x:f t="shared" si="0"/>
        <x:v>1</x:v>
      </x:c>
    </x:row>
    <x:row r="47" ht="27.600000381469727">
      <x:c r="A47" s="10">
        <x:v>46</x:v>
      </x:c>
      <x:c r="B47" s="10" t="s">
        <x:v>28</x:v>
      </x:c>
      <x:c r="C47" s="10" t="s">
        <x:v>90</x:v>
      </x:c>
      <x:c r="D47" s="10" t="s">
        <x:v>84</x:v>
      </x:c>
      <x:c r="E47" s="10" t="s">
        <x:v>105</x:v>
      </x:c>
      <x:c r="F47" s="10" t="s">
        <x:v>9</x:v>
      </x:c>
      <x:c r="G47" s="10" t="s">
        <x:v>52</x:v>
      </x:c>
      <x:c r="H47" s="10" t="s">
        <x:v>64</x:v>
      </x:c>
      <x:c r="I47" s="10"/>
      <x:c r="J47" s="10"/>
      <x:c r="K47" s="10"/>
      <x:c r="L47" s="10"/>
      <x:c r="M47" s="10">
        <x:f t="shared" si="0"/>
        <x:v>1</x:v>
      </x:c>
    </x:row>
    <x:row r="48" ht="27.600000381469727">
      <x:c r="A48" s="10">
        <x:v>47</x:v>
      </x:c>
      <x:c r="B48" s="10" t="s">
        <x:v>28</x:v>
      </x:c>
      <x:c r="C48" s="10" t="s">
        <x:v>106</x:v>
      </x:c>
      <x:c r="D48" s="10" t="s">
        <x:v>62</x:v>
      </x:c>
      <x:c r="E48" s="10" t="s">
        <x:v>107</x:v>
      </x:c>
      <x:c r="F48" s="10" t="s">
        <x:v>9</x:v>
      </x:c>
      <x:c r="G48" s="10" t="s">
        <x:v>64</x:v>
      </x:c>
      <x:c r="H48" s="10" t="s">
        <x:v>64</x:v>
      </x:c>
      <x:c r="I48" s="10"/>
      <x:c r="J48" s="10"/>
      <x:c r="K48" s="10"/>
      <x:c r="L48" s="10"/>
      <x:c r="M48" s="10">
        <x:f t="shared" si="0"/>
        <x:v>1</x:v>
      </x:c>
    </x:row>
    <x:row r="49" ht="27.600000381469727">
      <x:c r="A49" s="10">
        <x:v>48</x:v>
      </x:c>
      <x:c r="B49" s="10" t="s">
        <x:v>28</x:v>
      </x:c>
      <x:c r="C49" s="10" t="s">
        <x:v>106</x:v>
      </x:c>
      <x:c r="D49" s="10" t="s">
        <x:v>62</x:v>
      </x:c>
      <x:c r="E49" s="10" t="s">
        <x:v>108</x:v>
      </x:c>
      <x:c r="F49" s="10" t="s">
        <x:v>9</x:v>
      </x:c>
      <x:c r="G49" s="10" t="s">
        <x:v>64</x:v>
      </x:c>
      <x:c r="H49" s="10" t="s">
        <x:v>64</x:v>
      </x:c>
      <x:c r="I49" s="10"/>
      <x:c r="J49" s="10"/>
      <x:c r="K49" s="10"/>
      <x:c r="L49" s="10"/>
      <x:c r="M49" s="10">
        <x:f t="shared" si="0"/>
        <x:v>1</x:v>
      </x:c>
    </x:row>
    <x:row r="50" ht="27.600000381469727">
      <x:c r="A50" s="10">
        <x:v>49</x:v>
      </x:c>
      <x:c r="B50" s="10" t="s">
        <x:v>28</x:v>
      </x:c>
      <x:c r="C50" s="10" t="s">
        <x:v>106</x:v>
      </x:c>
      <x:c r="D50" s="10" t="s">
        <x:v>62</x:v>
      </x:c>
      <x:c r="E50" s="10" t="s">
        <x:v>109</x:v>
      </x:c>
      <x:c r="F50" s="10" t="s">
        <x:v>9</x:v>
      </x:c>
      <x:c r="G50" s="10" t="s">
        <x:v>64</x:v>
      </x:c>
      <x:c r="H50" s="10" t="s">
        <x:v>64</x:v>
      </x:c>
      <x:c r="I50" s="10"/>
      <x:c r="J50" s="10"/>
      <x:c r="K50" s="10"/>
      <x:c r="L50" s="10"/>
      <x:c r="M50" s="10">
        <x:f t="shared" si="0"/>
        <x:v>1</x:v>
      </x:c>
    </x:row>
    <x:row r="51" ht="27.600000381469727">
      <x:c r="A51" s="10">
        <x:v>50</x:v>
      </x:c>
      <x:c r="B51" s="10" t="s">
        <x:v>28</x:v>
      </x:c>
      <x:c r="C51" s="10" t="s">
        <x:v>106</x:v>
      </x:c>
      <x:c r="D51" s="10" t="s">
        <x:v>62</x:v>
      </x:c>
      <x:c r="E51" s="10" t="s">
        <x:v>110</x:v>
      </x:c>
      <x:c r="F51" s="10" t="s">
        <x:v>9</x:v>
      </x:c>
      <x:c r="G51" s="10" t="s">
        <x:v>64</x:v>
      </x:c>
      <x:c r="H51" s="10" t="s">
        <x:v>64</x:v>
      </x:c>
      <x:c r="I51" s="10"/>
      <x:c r="J51" s="10"/>
      <x:c r="K51" s="10"/>
      <x:c r="L51" s="10"/>
      <x:c r="M51" s="10">
        <x:f t="shared" si="0"/>
        <x:v>1</x:v>
      </x:c>
    </x:row>
    <x:row r="52" ht="27.600000381469727">
      <x:c r="A52" s="10">
        <x:v>51</x:v>
      </x:c>
      <x:c r="B52" s="10" t="s">
        <x:v>28</x:v>
      </x:c>
      <x:c r="C52" s="10" t="s">
        <x:v>106</x:v>
      </x:c>
      <x:c r="D52" s="10" t="s">
        <x:v>62</x:v>
      </x:c>
      <x:c r="E52" s="10" t="s">
        <x:v>111</x:v>
      </x:c>
      <x:c r="F52" s="10" t="s">
        <x:v>9</x:v>
      </x:c>
      <x:c r="G52" s="10" t="s">
        <x:v>64</x:v>
      </x:c>
      <x:c r="H52" s="10" t="s">
        <x:v>64</x:v>
      </x:c>
      <x:c r="I52" s="10"/>
      <x:c r="J52" s="10"/>
      <x:c r="K52" s="10"/>
      <x:c r="L52" s="10"/>
      <x:c r="M52" s="10">
        <x:f t="shared" si="0"/>
        <x:v>1</x:v>
      </x:c>
    </x:row>
    <x:row r="53" ht="27.600000381469727">
      <x:c r="A53" s="10">
        <x:v>52</x:v>
      </x:c>
      <x:c r="B53" s="10" t="s">
        <x:v>28</x:v>
      </x:c>
      <x:c r="C53" s="10" t="s">
        <x:v>106</x:v>
      </x:c>
      <x:c r="D53" s="10" t="s">
        <x:v>62</x:v>
      </x:c>
      <x:c r="E53" s="10" t="s">
        <x:v>112</x:v>
      </x:c>
      <x:c r="F53" s="10" t="s">
        <x:v>9</x:v>
      </x:c>
      <x:c r="G53" s="10" t="s">
        <x:v>64</x:v>
      </x:c>
      <x:c r="H53" s="10" t="s">
        <x:v>64</x:v>
      </x:c>
      <x:c r="I53" s="10"/>
      <x:c r="J53" s="10"/>
      <x:c r="K53" s="10"/>
      <x:c r="L53" s="10"/>
      <x:c r="M53" s="10">
        <x:f t="shared" si="0"/>
        <x:v>1</x:v>
      </x:c>
    </x:row>
    <x:row r="54" ht="27.600000381469727">
      <x:c r="A54" s="10">
        <x:v>53</x:v>
      </x:c>
      <x:c r="B54" s="10" t="s">
        <x:v>28</x:v>
      </x:c>
      <x:c r="C54" s="10" t="s">
        <x:v>106</x:v>
      </x:c>
      <x:c r="D54" s="10" t="s">
        <x:v>62</x:v>
      </x:c>
      <x:c r="E54" s="10" t="s">
        <x:v>113</x:v>
      </x:c>
      <x:c r="F54" s="10" t="s">
        <x:v>9</x:v>
      </x:c>
      <x:c r="G54" s="10" t="s">
        <x:v>64</x:v>
      </x:c>
      <x:c r="H54" s="10" t="s">
        <x:v>64</x:v>
      </x:c>
      <x:c r="I54" s="10"/>
      <x:c r="J54" s="10"/>
      <x:c r="K54" s="10"/>
      <x:c r="L54" s="10"/>
      <x:c r="M54" s="10">
        <x:f t="shared" si="0"/>
        <x:v>1</x:v>
      </x:c>
    </x:row>
    <x:row r="55" ht="27.600000381469727">
      <x:c r="A55" s="10">
        <x:v>54</x:v>
      </x:c>
      <x:c r="B55" s="10" t="s">
        <x:v>28</x:v>
      </x:c>
      <x:c r="C55" s="10" t="s">
        <x:v>106</x:v>
      </x:c>
      <x:c r="D55" s="10" t="s">
        <x:v>78</x:v>
      </x:c>
      <x:c r="E55" s="10" t="s">
        <x:v>114</x:v>
      </x:c>
      <x:c r="F55" s="10" t="s">
        <x:v>9</x:v>
      </x:c>
      <x:c r="G55" s="10" t="s">
        <x:v>64</x:v>
      </x:c>
      <x:c r="H55" s="10" t="s">
        <x:v>64</x:v>
      </x:c>
      <x:c r="I55" s="10"/>
      <x:c r="J55" s="10"/>
      <x:c r="K55" s="10"/>
      <x:c r="L55" s="10"/>
      <x:c r="M55" s="10">
        <x:f t="shared" si="0"/>
        <x:v>1</x:v>
      </x:c>
    </x:row>
    <x:row r="56" ht="27.600000381469727">
      <x:c r="A56" s="10">
        <x:v>55</x:v>
      </x:c>
      <x:c r="B56" s="10" t="s">
        <x:v>28</x:v>
      </x:c>
      <x:c r="C56" s="10" t="s">
        <x:v>106</x:v>
      </x:c>
      <x:c r="D56" s="10" t="s">
        <x:v>78</x:v>
      </x:c>
      <x:c r="E56" s="10" t="s">
        <x:v>115</x:v>
      </x:c>
      <x:c r="F56" s="10" t="s">
        <x:v>9</x:v>
      </x:c>
      <x:c r="G56" s="10" t="s">
        <x:v>64</x:v>
      </x:c>
      <x:c r="H56" s="10" t="s">
        <x:v>64</x:v>
      </x:c>
      <x:c r="I56" s="10"/>
      <x:c r="J56" s="10"/>
      <x:c r="K56" s="10"/>
      <x:c r="L56" s="10"/>
      <x:c r="M56" s="10">
        <x:f t="shared" si="0"/>
        <x:v>1</x:v>
      </x:c>
    </x:row>
    <x:row r="57" ht="27.600000381469727">
      <x:c r="A57" s="10">
        <x:v>56</x:v>
      </x:c>
      <x:c r="B57" s="10" t="s">
        <x:v>28</x:v>
      </x:c>
      <x:c r="C57" s="10" t="s">
        <x:v>106</x:v>
      </x:c>
      <x:c r="D57" s="10" t="s">
        <x:v>78</x:v>
      </x:c>
      <x:c r="E57" s="10" t="s">
        <x:v>116</x:v>
      </x:c>
      <x:c r="F57" s="10" t="s">
        <x:v>9</x:v>
      </x:c>
      <x:c r="G57" s="10" t="s">
        <x:v>64</x:v>
      </x:c>
      <x:c r="H57" s="10" t="s">
        <x:v>64</x:v>
      </x:c>
      <x:c r="I57" s="10"/>
      <x:c r="J57" s="10"/>
      <x:c r="K57" s="10"/>
      <x:c r="L57" s="10"/>
      <x:c r="M57" s="10">
        <x:f t="shared" si="0"/>
        <x:v>1</x:v>
      </x:c>
    </x:row>
    <x:row r="58" ht="27.600000381469727">
      <x:c r="A58" s="10">
        <x:v>57</x:v>
      </x:c>
      <x:c r="B58" s="10" t="s">
        <x:v>28</x:v>
      </x:c>
      <x:c r="C58" s="10" t="s">
        <x:v>106</x:v>
      </x:c>
      <x:c r="D58" s="10" t="s">
        <x:v>84</x:v>
      </x:c>
      <x:c r="E58" s="10" t="s">
        <x:v>117</x:v>
      </x:c>
      <x:c r="F58" s="10" t="s">
        <x:v>9</x:v>
      </x:c>
      <x:c r="G58" s="10" t="s">
        <x:v>52</x:v>
      </x:c>
      <x:c r="H58" s="10" t="s">
        <x:v>64</x:v>
      </x:c>
      <x:c r="I58" s="10"/>
      <x:c r="J58" s="10"/>
      <x:c r="K58" s="10"/>
      <x:c r="L58" s="10"/>
      <x:c r="M58" s="10">
        <x:f t="shared" si="0"/>
        <x:v>1</x:v>
      </x:c>
    </x:row>
    <x:row r="59" ht="27.600000381469727">
      <x:c r="A59" s="10">
        <x:v>58</x:v>
      </x:c>
      <x:c r="B59" s="10" t="s">
        <x:v>28</x:v>
      </x:c>
      <x:c r="C59" s="10" t="s">
        <x:v>106</x:v>
      </x:c>
      <x:c r="D59" s="10" t="s">
        <x:v>84</x:v>
      </x:c>
      <x:c r="E59" s="10" t="s">
        <x:v>118</x:v>
      </x:c>
      <x:c r="F59" s="10" t="s">
        <x:v>9</x:v>
      </x:c>
      <x:c r="G59" s="10" t="s">
        <x:v>52</x:v>
      </x:c>
      <x:c r="H59" s="10" t="s">
        <x:v>64</x:v>
      </x:c>
      <x:c r="I59" s="10"/>
      <x:c r="J59" s="10"/>
      <x:c r="K59" s="10"/>
      <x:c r="L59" s="10"/>
      <x:c r="M59" s="10">
        <x:f t="shared" si="0"/>
        <x:v>1</x:v>
      </x:c>
    </x:row>
    <x:row r="60" ht="27.600000381469727">
      <x:c r="A60" s="10">
        <x:v>59</x:v>
      </x:c>
      <x:c r="B60" s="10" t="s">
        <x:v>28</x:v>
      </x:c>
      <x:c r="C60" s="10" t="s">
        <x:v>106</x:v>
      </x:c>
      <x:c r="D60" s="10" t="s">
        <x:v>84</x:v>
      </x:c>
      <x:c r="E60" s="10" t="s">
        <x:v>119</x:v>
      </x:c>
      <x:c r="F60" s="10" t="s">
        <x:v>9</x:v>
      </x:c>
      <x:c r="G60" s="10" t="s">
        <x:v>52</x:v>
      </x:c>
      <x:c r="H60" s="10" t="s">
        <x:v>64</x:v>
      </x:c>
      <x:c r="I60" s="10"/>
      <x:c r="J60" s="10"/>
      <x:c r="K60" s="10"/>
      <x:c r="L60" s="10"/>
      <x:c r="M60" s="10">
        <x:f t="shared" si="0"/>
        <x:v>1</x:v>
      </x:c>
    </x:row>
    <x:row r="61" ht="27.600000381469727">
      <x:c r="A61" s="10">
        <x:v>60</x:v>
      </x:c>
      <x:c r="B61" s="10" t="s">
        <x:v>28</x:v>
      </x:c>
      <x:c r="C61" s="10" t="s">
        <x:v>120</x:v>
      </x:c>
      <x:c r="D61" s="10" t="s">
        <x:v>62</x:v>
      </x:c>
      <x:c r="E61" s="10" t="s">
        <x:v>121</x:v>
      </x:c>
      <x:c r="F61" s="10" t="s">
        <x:v>9</x:v>
      </x:c>
      <x:c r="G61" s="10" t="s">
        <x:v>52</x:v>
      </x:c>
      <x:c r="H61" s="10" t="s">
        <x:v>64</x:v>
      </x:c>
      <x:c r="I61" s="10"/>
      <x:c r="J61" s="10"/>
      <x:c r="K61" s="10"/>
      <x:c r="L61" s="10"/>
      <x:c r="M61" s="10">
        <x:f t="shared" si="0"/>
        <x:v>1</x:v>
      </x:c>
    </x:row>
    <x:row r="62" ht="27.600000381469727">
      <x:c r="A62" s="10">
        <x:v>61</x:v>
      </x:c>
      <x:c r="B62" s="10" t="s">
        <x:v>28</x:v>
      </x:c>
      <x:c r="C62" s="10" t="s">
        <x:v>120</x:v>
      </x:c>
      <x:c r="D62" s="10" t="s">
        <x:v>62</x:v>
      </x:c>
      <x:c r="E62" s="10" t="s">
        <x:v>122</x:v>
      </x:c>
      <x:c r="F62" s="10" t="s">
        <x:v>9</x:v>
      </x:c>
      <x:c r="G62" s="10" t="s">
        <x:v>52</x:v>
      </x:c>
      <x:c r="H62" s="10" t="s">
        <x:v>64</x:v>
      </x:c>
      <x:c r="I62" s="10"/>
      <x:c r="J62" s="10"/>
      <x:c r="K62" s="10"/>
      <x:c r="L62" s="10"/>
      <x:c r="M62" s="10">
        <x:f t="shared" si="0"/>
        <x:v>1</x:v>
      </x:c>
    </x:row>
    <x:row r="63" ht="27.600000381469727">
      <x:c r="A63" s="10">
        <x:v>62</x:v>
      </x:c>
      <x:c r="B63" s="10" t="s">
        <x:v>28</x:v>
      </x:c>
      <x:c r="C63" s="10" t="s">
        <x:v>120</x:v>
      </x:c>
      <x:c r="D63" s="10" t="s">
        <x:v>62</x:v>
      </x:c>
      <x:c r="E63" s="10" t="s">
        <x:v>123</x:v>
      </x:c>
      <x:c r="F63" s="10" t="s">
        <x:v>9</x:v>
      </x:c>
      <x:c r="G63" s="10" t="s">
        <x:v>52</x:v>
      </x:c>
      <x:c r="H63" s="10" t="s">
        <x:v>64</x:v>
      </x:c>
      <x:c r="I63" s="10"/>
      <x:c r="J63" s="10"/>
      <x:c r="K63" s="10"/>
      <x:c r="L63" s="10"/>
      <x:c r="M63" s="10">
        <x:f t="shared" si="0"/>
        <x:v>1</x:v>
      </x:c>
    </x:row>
    <x:row r="64" ht="27.600000381469727">
      <x:c r="A64" s="10">
        <x:v>63</x:v>
      </x:c>
      <x:c r="B64" s="10" t="s">
        <x:v>28</x:v>
      </x:c>
      <x:c r="C64" s="10" t="s">
        <x:v>120</x:v>
      </x:c>
      <x:c r="D64" s="10" t="s">
        <x:v>62</x:v>
      </x:c>
      <x:c r="E64" s="10" t="s">
        <x:v>124</x:v>
      </x:c>
      <x:c r="F64" s="10" t="s">
        <x:v>9</x:v>
      </x:c>
      <x:c r="G64" s="10" t="s">
        <x:v>52</x:v>
      </x:c>
      <x:c r="H64" s="10" t="s">
        <x:v>64</x:v>
      </x:c>
      <x:c r="I64" s="10"/>
      <x:c r="J64" s="10"/>
      <x:c r="K64" s="10"/>
      <x:c r="L64" s="10"/>
      <x:c r="M64" s="10">
        <x:f t="shared" si="0"/>
        <x:v>1</x:v>
      </x:c>
    </x:row>
    <x:row r="65" ht="27.600000381469727">
      <x:c r="A65" s="10">
        <x:v>64</x:v>
      </x:c>
      <x:c r="B65" s="10" t="s">
        <x:v>28</x:v>
      </x:c>
      <x:c r="C65" s="10" t="s">
        <x:v>120</x:v>
      </x:c>
      <x:c r="D65" s="10" t="s">
        <x:v>62</x:v>
      </x:c>
      <x:c r="E65" s="10" t="s">
        <x:v>125</x:v>
      </x:c>
      <x:c r="F65" s="10" t="s">
        <x:v>9</x:v>
      </x:c>
      <x:c r="G65" s="10" t="s">
        <x:v>52</x:v>
      </x:c>
      <x:c r="H65" s="10" t="s">
        <x:v>64</x:v>
      </x:c>
      <x:c r="I65" s="10"/>
      <x:c r="J65" s="10"/>
      <x:c r="K65" s="10"/>
      <x:c r="L65" s="10"/>
      <x:c r="M65" s="10">
        <x:f t="shared" si="0"/>
        <x:v>1</x:v>
      </x:c>
    </x:row>
    <x:row r="66" ht="27.600000381469727">
      <x:c r="A66" s="10">
        <x:v>65</x:v>
      </x:c>
      <x:c r="B66" s="10" t="s">
        <x:v>28</x:v>
      </x:c>
      <x:c r="C66" s="10" t="s">
        <x:v>120</x:v>
      </x:c>
      <x:c r="D66" s="10" t="s">
        <x:v>78</x:v>
      </x:c>
      <x:c r="E66" s="10" t="s">
        <x:v>126</x:v>
      </x:c>
      <x:c r="F66" s="10" t="s">
        <x:v>9</x:v>
      </x:c>
      <x:c r="G66" s="10" t="s">
        <x:v>64</x:v>
      </x:c>
      <x:c r="H66" s="10" t="s">
        <x:v>64</x:v>
      </x:c>
      <x:c r="I66" s="10"/>
      <x:c r="J66" s="10"/>
      <x:c r="K66" s="10"/>
      <x:c r="L66" s="10"/>
      <x:c r="M66" s="10" t="n">
        <x:f t="shared" ref="M66:M129" si="1">IF(F66="Hoàn thành",1,0)</x:f>
        <x:v>1</x:v>
      </x:c>
    </x:row>
    <x:row r="67" ht="27.600000381469727">
      <x:c r="A67" s="10">
        <x:v>66</x:v>
      </x:c>
      <x:c r="B67" s="10" t="s">
        <x:v>28</x:v>
      </x:c>
      <x:c r="C67" s="10" t="s">
        <x:v>120</x:v>
      </x:c>
      <x:c r="D67" s="10" t="s">
        <x:v>78</x:v>
      </x:c>
      <x:c r="E67" s="10" t="s">
        <x:v>127</x:v>
      </x:c>
      <x:c r="F67" s="10" t="s">
        <x:v>9</x:v>
      </x:c>
      <x:c r="G67" s="10" t="s">
        <x:v>64</x:v>
      </x:c>
      <x:c r="H67" s="10" t="s">
        <x:v>64</x:v>
      </x:c>
      <x:c r="I67" s="10"/>
      <x:c r="J67" s="10"/>
      <x:c r="K67" s="10"/>
      <x:c r="L67" s="10"/>
      <x:c r="M67" s="10">
        <x:f t="shared" si="1"/>
        <x:v>1</x:v>
      </x:c>
    </x:row>
    <x:row r="68" ht="27.600000381469727">
      <x:c r="A68" s="10">
        <x:v>67</x:v>
      </x:c>
      <x:c r="B68" s="10" t="s">
        <x:v>28</x:v>
      </x:c>
      <x:c r="C68" s="10" t="s">
        <x:v>120</x:v>
      </x:c>
      <x:c r="D68" s="10" t="s">
        <x:v>84</x:v>
      </x:c>
      <x:c r="E68" s="10" t="s">
        <x:v>128</x:v>
      </x:c>
      <x:c r="F68" s="10" t="s">
        <x:v>9</x:v>
      </x:c>
      <x:c r="G68" s="10" t="s">
        <x:v>52</x:v>
      </x:c>
      <x:c r="H68" s="10" t="s">
        <x:v>64</x:v>
      </x:c>
      <x:c r="I68" s="10"/>
      <x:c r="J68" s="10"/>
      <x:c r="K68" s="10"/>
      <x:c r="L68" s="10"/>
      <x:c r="M68" s="10">
        <x:f t="shared" si="1"/>
        <x:v>1</x:v>
      </x:c>
    </x:row>
    <x:row r="69" ht="27.600000381469727">
      <x:c r="A69" s="10">
        <x:v>68</x:v>
      </x:c>
      <x:c r="B69" s="10" t="s">
        <x:v>28</x:v>
      </x:c>
      <x:c r="C69" s="10" t="s">
        <x:v>120</x:v>
      </x:c>
      <x:c r="D69" s="10" t="s">
        <x:v>84</x:v>
      </x:c>
      <x:c r="E69" s="10" t="s">
        <x:v>129</x:v>
      </x:c>
      <x:c r="F69" s="10" t="s">
        <x:v>9</x:v>
      </x:c>
      <x:c r="G69" s="10" t="s">
        <x:v>52</x:v>
      </x:c>
      <x:c r="H69" s="10" t="s">
        <x:v>64</x:v>
      </x:c>
      <x:c r="I69" s="10"/>
      <x:c r="J69" s="10"/>
      <x:c r="K69" s="10"/>
      <x:c r="L69" s="10"/>
      <x:c r="M69" s="10">
        <x:f t="shared" si="1"/>
        <x:v>1</x:v>
      </x:c>
    </x:row>
    <x:row r="70" ht="27.600000381469727">
      <x:c r="A70" s="10">
        <x:v>69</x:v>
      </x:c>
      <x:c r="B70" s="10" t="s">
        <x:v>28</x:v>
      </x:c>
      <x:c r="C70" s="10" t="s">
        <x:v>120</x:v>
      </x:c>
      <x:c r="D70" s="10" t="s">
        <x:v>84</x:v>
      </x:c>
      <x:c r="E70" s="10" t="s">
        <x:v>130</x:v>
      </x:c>
      <x:c r="F70" s="10" t="s">
        <x:v>9</x:v>
      </x:c>
      <x:c r="G70" s="10" t="s">
        <x:v>52</x:v>
      </x:c>
      <x:c r="H70" s="10" t="s">
        <x:v>64</x:v>
      </x:c>
      <x:c r="I70" s="10"/>
      <x:c r="J70" s="10"/>
      <x:c r="K70" s="10"/>
      <x:c r="L70" s="10"/>
      <x:c r="M70" s="10">
        <x:f t="shared" si="1"/>
        <x:v>1</x:v>
      </x:c>
    </x:row>
    <x:row r="71" ht="27.600000381469727">
      <x:c r="A71" s="10">
        <x:v>70</x:v>
      </x:c>
      <x:c r="B71" s="10" t="s">
        <x:v>28</x:v>
      </x:c>
      <x:c r="C71" s="10" t="s">
        <x:v>131</x:v>
      </x:c>
      <x:c r="D71" s="10" t="s">
        <x:v>62</x:v>
      </x:c>
      <x:c r="E71" s="10" t="s">
        <x:v>132</x:v>
      </x:c>
      <x:c r="F71" s="10" t="s">
        <x:v>9</x:v>
      </x:c>
      <x:c r="G71" s="10" t="s">
        <x:v>64</x:v>
      </x:c>
      <x:c r="H71" s="10" t="s">
        <x:v>64</x:v>
      </x:c>
      <x:c r="I71" s="10"/>
      <x:c r="J71" s="10"/>
      <x:c r="K71" s="10"/>
      <x:c r="L71" s="10"/>
      <x:c r="M71" s="10">
        <x:f t="shared" si="1"/>
        <x:v>1</x:v>
      </x:c>
    </x:row>
    <x:row r="72" ht="27.600000381469727">
      <x:c r="A72" s="10">
        <x:v>71</x:v>
      </x:c>
      <x:c r="B72" s="10" t="s">
        <x:v>28</x:v>
      </x:c>
      <x:c r="C72" s="10" t="s">
        <x:v>131</x:v>
      </x:c>
      <x:c r="D72" s="10" t="s">
        <x:v>62</x:v>
      </x:c>
      <x:c r="E72" s="10" t="s">
        <x:v>133</x:v>
      </x:c>
      <x:c r="F72" s="10" t="s">
        <x:v>9</x:v>
      </x:c>
      <x:c r="G72" s="10" t="s">
        <x:v>64</x:v>
      </x:c>
      <x:c r="H72" s="10" t="s">
        <x:v>64</x:v>
      </x:c>
      <x:c r="I72" s="10"/>
      <x:c r="J72" s="10"/>
      <x:c r="K72" s="10"/>
      <x:c r="L72" s="10"/>
      <x:c r="M72" s="10">
        <x:f t="shared" si="1"/>
        <x:v>1</x:v>
      </x:c>
    </x:row>
    <x:row r="73" ht="27.600000381469727">
      <x:c r="A73" s="10">
        <x:v>72</x:v>
      </x:c>
      <x:c r="B73" s="10" t="s">
        <x:v>28</x:v>
      </x:c>
      <x:c r="C73" s="10" t="s">
        <x:v>131</x:v>
      </x:c>
      <x:c r="D73" s="10" t="s">
        <x:v>62</x:v>
      </x:c>
      <x:c r="E73" s="10" t="s">
        <x:v>134</x:v>
      </x:c>
      <x:c r="F73" s="10" t="s">
        <x:v>9</x:v>
      </x:c>
      <x:c r="G73" s="10" t="s">
        <x:v>64</x:v>
      </x:c>
      <x:c r="H73" s="10" t="s">
        <x:v>64</x:v>
      </x:c>
      <x:c r="I73" s="10"/>
      <x:c r="J73" s="10"/>
      <x:c r="K73" s="10"/>
      <x:c r="L73" s="10"/>
      <x:c r="M73" s="10">
        <x:f t="shared" si="1"/>
        <x:v>1</x:v>
      </x:c>
    </x:row>
    <x:row r="74" ht="27.600000381469727">
      <x:c r="A74" s="10">
        <x:v>73</x:v>
      </x:c>
      <x:c r="B74" s="10" t="s">
        <x:v>28</x:v>
      </x:c>
      <x:c r="C74" s="10" t="s">
        <x:v>131</x:v>
      </x:c>
      <x:c r="D74" s="10" t="s">
        <x:v>62</x:v>
      </x:c>
      <x:c r="E74" s="10" t="s">
        <x:v>135</x:v>
      </x:c>
      <x:c r="F74" s="10" t="s">
        <x:v>9</x:v>
      </x:c>
      <x:c r="G74" s="10" t="s">
        <x:v>64</x:v>
      </x:c>
      <x:c r="H74" s="10" t="s">
        <x:v>64</x:v>
      </x:c>
      <x:c r="I74" s="10"/>
      <x:c r="J74" s="10"/>
      <x:c r="K74" s="10"/>
      <x:c r="L74" s="10"/>
      <x:c r="M74" s="10">
        <x:f t="shared" si="1"/>
        <x:v>1</x:v>
      </x:c>
    </x:row>
    <x:row r="75" ht="27.600000381469727">
      <x:c r="A75" s="10">
        <x:v>74</x:v>
      </x:c>
      <x:c r="B75" s="10" t="s">
        <x:v>28</x:v>
      </x:c>
      <x:c r="C75" s="10" t="s">
        <x:v>131</x:v>
      </x:c>
      <x:c r="D75" s="10" t="s">
        <x:v>62</x:v>
      </x:c>
      <x:c r="E75" s="10" t="s">
        <x:v>136</x:v>
      </x:c>
      <x:c r="F75" s="10" t="s">
        <x:v>9</x:v>
      </x:c>
      <x:c r="G75" s="10" t="s">
        <x:v>64</x:v>
      </x:c>
      <x:c r="H75" s="10" t="s">
        <x:v>64</x:v>
      </x:c>
      <x:c r="I75" s="10"/>
      <x:c r="J75" s="10"/>
      <x:c r="K75" s="10"/>
      <x:c r="L75" s="10"/>
      <x:c r="M75" s="10">
        <x:f t="shared" si="1"/>
        <x:v>1</x:v>
      </x:c>
    </x:row>
    <x:row r="76" ht="27.600000381469727">
      <x:c r="A76" s="10">
        <x:v>75</x:v>
      </x:c>
      <x:c r="B76" s="10" t="s">
        <x:v>28</x:v>
      </x:c>
      <x:c r="C76" s="10" t="s">
        <x:v>131</x:v>
      </x:c>
      <x:c r="D76" s="10" t="s">
        <x:v>62</x:v>
      </x:c>
      <x:c r="E76" s="10" t="s">
        <x:v>137</x:v>
      </x:c>
      <x:c r="F76" s="10" t="s">
        <x:v>9</x:v>
      </x:c>
      <x:c r="G76" s="10" t="s">
        <x:v>52</x:v>
      </x:c>
      <x:c r="H76" s="10" t="s">
        <x:v>64</x:v>
      </x:c>
      <x:c r="I76" s="10"/>
      <x:c r="J76" s="10"/>
      <x:c r="K76" s="10"/>
      <x:c r="L76" s="10"/>
      <x:c r="M76" s="10">
        <x:f t="shared" si="1"/>
        <x:v>1</x:v>
      </x:c>
    </x:row>
    <x:row r="77" ht="27.600000381469727">
      <x:c r="A77" s="10">
        <x:v>76</x:v>
      </x:c>
      <x:c r="B77" s="10" t="s">
        <x:v>28</x:v>
      </x:c>
      <x:c r="C77" s="10" t="s">
        <x:v>131</x:v>
      </x:c>
      <x:c r="D77" s="10" t="s">
        <x:v>78</x:v>
      </x:c>
      <x:c r="E77" s="10" t="s">
        <x:v>138</x:v>
      </x:c>
      <x:c r="F77" s="10" t="s">
        <x:v>9</x:v>
      </x:c>
      <x:c r="G77" s="10" t="s">
        <x:v>64</x:v>
      </x:c>
      <x:c r="H77" s="10" t="s">
        <x:v>64</x:v>
      </x:c>
      <x:c r="I77" s="10"/>
      <x:c r="J77" s="10"/>
      <x:c r="K77" s="10"/>
      <x:c r="L77" s="10"/>
      <x:c r="M77" s="10">
        <x:f t="shared" si="1"/>
        <x:v>1</x:v>
      </x:c>
    </x:row>
    <x:row r="78" ht="27.600000381469727">
      <x:c r="A78" s="10">
        <x:v>77</x:v>
      </x:c>
      <x:c r="B78" s="10" t="s">
        <x:v>28</x:v>
      </x:c>
      <x:c r="C78" s="10" t="s">
        <x:v>131</x:v>
      </x:c>
      <x:c r="D78" s="10" t="s">
        <x:v>78</x:v>
      </x:c>
      <x:c r="E78" s="10" t="s">
        <x:v>139</x:v>
      </x:c>
      <x:c r="F78" s="10" t="s">
        <x:v>9</x:v>
      </x:c>
      <x:c r="G78" s="10" t="s">
        <x:v>64</x:v>
      </x:c>
      <x:c r="H78" s="10" t="s">
        <x:v>64</x:v>
      </x:c>
      <x:c r="I78" s="10"/>
      <x:c r="J78" s="10"/>
      <x:c r="K78" s="10"/>
      <x:c r="L78" s="10"/>
      <x:c r="M78" s="10">
        <x:f t="shared" si="1"/>
        <x:v>1</x:v>
      </x:c>
    </x:row>
    <x:row r="79" ht="27.600000381469727">
      <x:c r="A79" s="10">
        <x:v>78</x:v>
      </x:c>
      <x:c r="B79" s="10" t="s">
        <x:v>28</x:v>
      </x:c>
      <x:c r="C79" s="10" t="s">
        <x:v>131</x:v>
      </x:c>
      <x:c r="D79" s="10" t="s">
        <x:v>78</x:v>
      </x:c>
      <x:c r="E79" s="10" t="s">
        <x:v>140</x:v>
      </x:c>
      <x:c r="F79" s="10" t="s">
        <x:v>9</x:v>
      </x:c>
      <x:c r="G79" s="10" t="s">
        <x:v>64</x:v>
      </x:c>
      <x:c r="H79" s="10" t="s">
        <x:v>64</x:v>
      </x:c>
      <x:c r="I79" s="10"/>
      <x:c r="J79" s="10"/>
      <x:c r="K79" s="10"/>
      <x:c r="L79" s="10"/>
      <x:c r="M79" s="10">
        <x:f t="shared" si="1"/>
        <x:v>1</x:v>
      </x:c>
    </x:row>
    <x:row r="80" ht="27.600000381469727">
      <x:c r="A80" s="10">
        <x:v>79</x:v>
      </x:c>
      <x:c r="B80" s="10" t="s">
        <x:v>28</x:v>
      </x:c>
      <x:c r="C80" s="10" t="s">
        <x:v>131</x:v>
      </x:c>
      <x:c r="D80" s="10" t="s">
        <x:v>78</x:v>
      </x:c>
      <x:c r="E80" s="10" t="s">
        <x:v>141</x:v>
      </x:c>
      <x:c r="F80" s="10" t="s">
        <x:v>9</x:v>
      </x:c>
      <x:c r="G80" s="10" t="s">
        <x:v>64</x:v>
      </x:c>
      <x:c r="H80" s="10" t="s">
        <x:v>64</x:v>
      </x:c>
      <x:c r="I80" s="10"/>
      <x:c r="J80" s="10"/>
      <x:c r="K80" s="10"/>
      <x:c r="L80" s="10"/>
      <x:c r="M80" s="10">
        <x:f t="shared" si="1"/>
        <x:v>1</x:v>
      </x:c>
    </x:row>
    <x:row r="81" ht="27.600000381469727">
      <x:c r="A81" s="10">
        <x:v>80</x:v>
      </x:c>
      <x:c r="B81" s="10" t="s">
        <x:v>28</x:v>
      </x:c>
      <x:c r="C81" s="10" t="s">
        <x:v>131</x:v>
      </x:c>
      <x:c r="D81" s="10" t="s">
        <x:v>84</x:v>
      </x:c>
      <x:c r="E81" s="10" t="s">
        <x:v>142</x:v>
      </x:c>
      <x:c r="F81" s="10" t="s">
        <x:v>9</x:v>
      </x:c>
      <x:c r="G81" s="10" t="s">
        <x:v>52</x:v>
      </x:c>
      <x:c r="H81" s="10" t="s">
        <x:v>64</x:v>
      </x:c>
      <x:c r="I81" s="10"/>
      <x:c r="J81" s="10"/>
      <x:c r="K81" s="10"/>
      <x:c r="L81" s="10"/>
      <x:c r="M81" s="10">
        <x:f t="shared" si="1"/>
        <x:v>1</x:v>
      </x:c>
    </x:row>
    <x:row r="82" ht="27.600000381469727">
      <x:c r="A82" s="10">
        <x:v>81</x:v>
      </x:c>
      <x:c r="B82" s="10" t="s">
        <x:v>28</x:v>
      </x:c>
      <x:c r="C82" s="10" t="s">
        <x:v>131</x:v>
      </x:c>
      <x:c r="D82" s="10" t="s">
        <x:v>84</x:v>
      </x:c>
      <x:c r="E82" s="10" t="s">
        <x:v>143</x:v>
      </x:c>
      <x:c r="F82" s="10" t="s">
        <x:v>9</x:v>
      </x:c>
      <x:c r="G82" s="10" t="s">
        <x:v>52</x:v>
      </x:c>
      <x:c r="H82" s="10" t="s">
        <x:v>64</x:v>
      </x:c>
      <x:c r="I82" s="10"/>
      <x:c r="J82" s="10"/>
      <x:c r="K82" s="10"/>
      <x:c r="L82" s="10"/>
      <x:c r="M82" s="10">
        <x:f t="shared" si="1"/>
        <x:v>1</x:v>
      </x:c>
    </x:row>
    <x:row r="83" ht="27.600000381469727">
      <x:c r="A83" s="10">
        <x:v>82</x:v>
      </x:c>
      <x:c r="B83" s="10" t="s">
        <x:v>28</x:v>
      </x:c>
      <x:c r="C83" s="10" t="s">
        <x:v>131</x:v>
      </x:c>
      <x:c r="D83" s="10" t="s">
        <x:v>84</x:v>
      </x:c>
      <x:c r="E83" s="10" t="s">
        <x:v>144</x:v>
      </x:c>
      <x:c r="F83" s="10" t="s">
        <x:v>9</x:v>
      </x:c>
      <x:c r="G83" s="10" t="s">
        <x:v>52</x:v>
      </x:c>
      <x:c r="H83" s="10" t="s">
        <x:v>64</x:v>
      </x:c>
      <x:c r="I83" s="10"/>
      <x:c r="J83" s="10"/>
      <x:c r="K83" s="10"/>
      <x:c r="L83" s="10"/>
      <x:c r="M83" s="10">
        <x:f t="shared" si="1"/>
        <x:v>1</x:v>
      </x:c>
    </x:row>
    <x:row r="84" ht="27.600000381469727">
      <x:c r="A84" s="10">
        <x:v>83</x:v>
      </x:c>
      <x:c r="B84" s="10" t="s">
        <x:v>29</x:v>
      </x:c>
      <x:c r="C84" s="10" t="s">
        <x:v>145</x:v>
      </x:c>
      <x:c r="D84" s="10" t="s">
        <x:v>62</x:v>
      </x:c>
      <x:c r="E84" s="10" t="s">
        <x:v>146</x:v>
      </x:c>
      <x:c r="F84" s="10" t="s">
        <x:v>9</x:v>
      </x:c>
      <x:c r="G84" s="10" t="s">
        <x:v>64</x:v>
      </x:c>
      <x:c r="H84" s="10" t="s">
        <x:v>64</x:v>
      </x:c>
      <x:c r="I84" s="10"/>
      <x:c r="J84" s="10"/>
      <x:c r="K84" s="10"/>
      <x:c r="L84" s="10"/>
      <x:c r="M84" s="10">
        <x:f t="shared" si="1"/>
        <x:v>1</x:v>
      </x:c>
    </x:row>
    <x:row r="85" ht="27.600000381469727">
      <x:c r="A85" s="10">
        <x:v>84</x:v>
      </x:c>
      <x:c r="B85" s="10" t="s">
        <x:v>29</x:v>
      </x:c>
      <x:c r="C85" s="10" t="s">
        <x:v>145</x:v>
      </x:c>
      <x:c r="D85" s="10" t="s">
        <x:v>62</x:v>
      </x:c>
      <x:c r="E85" s="10" t="s">
        <x:v>147</x:v>
      </x:c>
      <x:c r="F85" s="10" t="s">
        <x:v>9</x:v>
      </x:c>
      <x:c r="G85" s="10" t="s">
        <x:v>64</x:v>
      </x:c>
      <x:c r="H85" s="10" t="s">
        <x:v>64</x:v>
      </x:c>
      <x:c r="I85" s="10"/>
      <x:c r="J85" s="10"/>
      <x:c r="K85" s="10"/>
      <x:c r="L85" s="10"/>
      <x:c r="M85" s="10">
        <x:f t="shared" si="1"/>
        <x:v>1</x:v>
      </x:c>
    </x:row>
    <x:row r="86" ht="27.600000381469727">
      <x:c r="A86" s="10">
        <x:v>85</x:v>
      </x:c>
      <x:c r="B86" s="10" t="s">
        <x:v>29</x:v>
      </x:c>
      <x:c r="C86" s="10" t="s">
        <x:v>145</x:v>
      </x:c>
      <x:c r="D86" s="10" t="s">
        <x:v>62</x:v>
      </x:c>
      <x:c r="E86" s="10" t="s">
        <x:v>148</x:v>
      </x:c>
      <x:c r="F86" s="10" t="s">
        <x:v>9</x:v>
      </x:c>
      <x:c r="G86" s="10" t="s">
        <x:v>64</x:v>
      </x:c>
      <x:c r="H86" s="10" t="s">
        <x:v>64</x:v>
      </x:c>
      <x:c r="I86" s="10"/>
      <x:c r="J86" s="10"/>
      <x:c r="K86" s="10"/>
      <x:c r="L86" s="10"/>
      <x:c r="M86" s="10">
        <x:f t="shared" si="1"/>
        <x:v>1</x:v>
      </x:c>
    </x:row>
    <x:row r="87" ht="27.600000381469727">
      <x:c r="A87" s="10">
        <x:v>86</x:v>
      </x:c>
      <x:c r="B87" s="10" t="s">
        <x:v>29</x:v>
      </x:c>
      <x:c r="C87" s="10" t="s">
        <x:v>145</x:v>
      </x:c>
      <x:c r="D87" s="10" t="s">
        <x:v>62</x:v>
      </x:c>
      <x:c r="E87" s="10" t="s">
        <x:v>149</x:v>
      </x:c>
      <x:c r="F87" s="10" t="s">
        <x:v>9</x:v>
      </x:c>
      <x:c r="G87" s="10" t="s">
        <x:v>64</x:v>
      </x:c>
      <x:c r="H87" s="10" t="s">
        <x:v>64</x:v>
      </x:c>
      <x:c r="I87" s="10"/>
      <x:c r="J87" s="10"/>
      <x:c r="K87" s="10"/>
      <x:c r="L87" s="10"/>
      <x:c r="M87" s="10">
        <x:f t="shared" si="1"/>
        <x:v>1</x:v>
      </x:c>
    </x:row>
    <x:row r="88" ht="27.600000381469727">
      <x:c r="A88" s="10">
        <x:v>87</x:v>
      </x:c>
      <x:c r="B88" s="10" t="s">
        <x:v>29</x:v>
      </x:c>
      <x:c r="C88" s="10" t="s">
        <x:v>145</x:v>
      </x:c>
      <x:c r="D88" s="10" t="s">
        <x:v>62</x:v>
      </x:c>
      <x:c r="E88" s="10" t="s">
        <x:v>150</x:v>
      </x:c>
      <x:c r="F88" s="10" t="s">
        <x:v>9</x:v>
      </x:c>
      <x:c r="G88" s="10" t="s">
        <x:v>64</x:v>
      </x:c>
      <x:c r="H88" s="10" t="s">
        <x:v>64</x:v>
      </x:c>
      <x:c r="I88" s="10"/>
      <x:c r="J88" s="10"/>
      <x:c r="K88" s="10"/>
      <x:c r="L88" s="10"/>
      <x:c r="M88" s="10">
        <x:f t="shared" si="1"/>
        <x:v>1</x:v>
      </x:c>
    </x:row>
    <x:row r="89" ht="27.600000381469727">
      <x:c r="A89" s="10">
        <x:v>88</x:v>
      </x:c>
      <x:c r="B89" s="10" t="s">
        <x:v>29</x:v>
      </x:c>
      <x:c r="C89" s="10" t="s">
        <x:v>145</x:v>
      </x:c>
      <x:c r="D89" s="10" t="s">
        <x:v>62</x:v>
      </x:c>
      <x:c r="E89" s="10" t="s">
        <x:v>151</x:v>
      </x:c>
      <x:c r="F89" s="10" t="s">
        <x:v>9</x:v>
      </x:c>
      <x:c r="G89" s="10" t="s">
        <x:v>64</x:v>
      </x:c>
      <x:c r="H89" s="10" t="s">
        <x:v>64</x:v>
      </x:c>
      <x:c r="I89" s="10"/>
      <x:c r="J89" s="10"/>
      <x:c r="K89" s="10"/>
      <x:c r="L89" s="10"/>
      <x:c r="M89" s="10">
        <x:f t="shared" si="1"/>
        <x:v>1</x:v>
      </x:c>
    </x:row>
    <x:row r="90" ht="27.600000381469727">
      <x:c r="A90" s="10">
        <x:v>89</x:v>
      </x:c>
      <x:c r="B90" s="10" t="s">
        <x:v>29</x:v>
      </x:c>
      <x:c r="C90" s="10" t="s">
        <x:v>145</x:v>
      </x:c>
      <x:c r="D90" s="10" t="s">
        <x:v>62</x:v>
      </x:c>
      <x:c r="E90" s="10" t="s">
        <x:v>152</x:v>
      </x:c>
      <x:c r="F90" s="10" t="s">
        <x:v>9</x:v>
      </x:c>
      <x:c r="G90" s="10" t="s">
        <x:v>52</x:v>
      </x:c>
      <x:c r="H90" s="10" t="s">
        <x:v>64</x:v>
      </x:c>
      <x:c r="I90" s="10"/>
      <x:c r="J90" s="10"/>
      <x:c r="K90" s="10"/>
      <x:c r="L90" s="10"/>
      <x:c r="M90" s="10">
        <x:f t="shared" si="1"/>
        <x:v>1</x:v>
      </x:c>
    </x:row>
    <x:row r="91" ht="27.600000381469727">
      <x:c r="A91" s="10">
        <x:v>90</x:v>
      </x:c>
      <x:c r="B91" s="10" t="s">
        <x:v>29</x:v>
      </x:c>
      <x:c r="C91" s="10" t="s">
        <x:v>145</x:v>
      </x:c>
      <x:c r="D91" s="10" t="s">
        <x:v>62</x:v>
      </x:c>
      <x:c r="E91" s="10" t="s">
        <x:v>153</x:v>
      </x:c>
      <x:c r="F91" s="10" t="s">
        <x:v>9</x:v>
      </x:c>
      <x:c r="G91" s="10" t="s">
        <x:v>52</x:v>
      </x:c>
      <x:c r="H91" s="10" t="s">
        <x:v>64</x:v>
      </x:c>
      <x:c r="I91" s="10"/>
      <x:c r="J91" s="10"/>
      <x:c r="K91" s="10"/>
      <x:c r="L91" s="10"/>
      <x:c r="M91" s="10">
        <x:f t="shared" si="1"/>
        <x:v>1</x:v>
      </x:c>
    </x:row>
    <x:row r="92" ht="27.600000381469727">
      <x:c r="A92" s="10">
        <x:v>91</x:v>
      </x:c>
      <x:c r="B92" s="10" t="s">
        <x:v>29</x:v>
      </x:c>
      <x:c r="C92" s="10" t="s">
        <x:v>145</x:v>
      </x:c>
      <x:c r="D92" s="10" t="s">
        <x:v>78</x:v>
      </x:c>
      <x:c r="E92" s="10" t="s">
        <x:v>154</x:v>
      </x:c>
      <x:c r="F92" s="10" t="s">
        <x:v>9</x:v>
      </x:c>
      <x:c r="G92" s="10" t="s">
        <x:v>64</x:v>
      </x:c>
      <x:c r="H92" s="10" t="s">
        <x:v>64</x:v>
      </x:c>
      <x:c r="I92" s="10"/>
      <x:c r="J92" s="10"/>
      <x:c r="K92" s="10"/>
      <x:c r="L92" s="10"/>
      <x:c r="M92" s="10">
        <x:f t="shared" si="1"/>
        <x:v>1</x:v>
      </x:c>
    </x:row>
    <x:row r="93" ht="27.600000381469727">
      <x:c r="A93" s="10">
        <x:v>92</x:v>
      </x:c>
      <x:c r="B93" s="10" t="s">
        <x:v>29</x:v>
      </x:c>
      <x:c r="C93" s="10" t="s">
        <x:v>145</x:v>
      </x:c>
      <x:c r="D93" s="10" t="s">
        <x:v>78</x:v>
      </x:c>
      <x:c r="E93" s="10" t="s">
        <x:v>155</x:v>
      </x:c>
      <x:c r="F93" s="10" t="s">
        <x:v>9</x:v>
      </x:c>
      <x:c r="G93" s="10" t="s">
        <x:v>64</x:v>
      </x:c>
      <x:c r="H93" s="10" t="s">
        <x:v>64</x:v>
      </x:c>
      <x:c r="I93" s="10"/>
      <x:c r="J93" s="10"/>
      <x:c r="K93" s="10"/>
      <x:c r="L93" s="10"/>
      <x:c r="M93" s="10">
        <x:f t="shared" si="1"/>
        <x:v>1</x:v>
      </x:c>
    </x:row>
    <x:row r="94" ht="27.600000381469727">
      <x:c r="A94" s="10">
        <x:v>93</x:v>
      </x:c>
      <x:c r="B94" s="10" t="s">
        <x:v>29</x:v>
      </x:c>
      <x:c r="C94" s="10" t="s">
        <x:v>145</x:v>
      </x:c>
      <x:c r="D94" s="10" t="s">
        <x:v>78</x:v>
      </x:c>
      <x:c r="E94" s="10" t="s">
        <x:v>156</x:v>
      </x:c>
      <x:c r="F94" s="10" t="s">
        <x:v>9</x:v>
      </x:c>
      <x:c r="G94" s="10" t="s">
        <x:v>64</x:v>
      </x:c>
      <x:c r="H94" s="10" t="s">
        <x:v>64</x:v>
      </x:c>
      <x:c r="I94" s="10"/>
      <x:c r="J94" s="10"/>
      <x:c r="K94" s="10"/>
      <x:c r="L94" s="10"/>
      <x:c r="M94" s="10">
        <x:f t="shared" si="1"/>
        <x:v>1</x:v>
      </x:c>
    </x:row>
    <x:row r="95" ht="27.600000381469727">
      <x:c r="A95" s="10">
        <x:v>94</x:v>
      </x:c>
      <x:c r="B95" s="10" t="s">
        <x:v>29</x:v>
      </x:c>
      <x:c r="C95" s="10" t="s">
        <x:v>145</x:v>
      </x:c>
      <x:c r="D95" s="10" t="s">
        <x:v>78</x:v>
      </x:c>
      <x:c r="E95" s="10" t="s">
        <x:v>157</x:v>
      </x:c>
      <x:c r="F95" s="10" t="s">
        <x:v>9</x:v>
      </x:c>
      <x:c r="G95" s="10" t="s">
        <x:v>64</x:v>
      </x:c>
      <x:c r="H95" s="10" t="s">
        <x:v>64</x:v>
      </x:c>
      <x:c r="I95" s="10"/>
      <x:c r="J95" s="10"/>
      <x:c r="K95" s="10"/>
      <x:c r="L95" s="10"/>
      <x:c r="M95" s="10">
        <x:f t="shared" si="1"/>
        <x:v>1</x:v>
      </x:c>
    </x:row>
    <x:row r="96" ht="27.600000381469727">
      <x:c r="A96" s="10">
        <x:v>95</x:v>
      </x:c>
      <x:c r="B96" s="10" t="s">
        <x:v>29</x:v>
      </x:c>
      <x:c r="C96" s="10" t="s">
        <x:v>145</x:v>
      </x:c>
      <x:c r="D96" s="10" t="s">
        <x:v>84</x:v>
      </x:c>
      <x:c r="E96" s="10" t="s">
        <x:v>158</x:v>
      </x:c>
      <x:c r="F96" s="10" t="s">
        <x:v>9</x:v>
      </x:c>
      <x:c r="G96" s="10" t="s">
        <x:v>52</x:v>
      </x:c>
      <x:c r="H96" s="10" t="s">
        <x:v>64</x:v>
      </x:c>
      <x:c r="I96" s="10"/>
      <x:c r="J96" s="10"/>
      <x:c r="K96" s="10"/>
      <x:c r="L96" s="10"/>
      <x:c r="M96" s="10">
        <x:f t="shared" si="1"/>
        <x:v>1</x:v>
      </x:c>
    </x:row>
    <x:row r="97" ht="27.600000381469727">
      <x:c r="A97" s="10">
        <x:v>96</x:v>
      </x:c>
      <x:c r="B97" s="10" t="s">
        <x:v>29</x:v>
      </x:c>
      <x:c r="C97" s="10" t="s">
        <x:v>145</x:v>
      </x:c>
      <x:c r="D97" s="10" t="s">
        <x:v>84</x:v>
      </x:c>
      <x:c r="E97" s="10" t="s">
        <x:v>159</x:v>
      </x:c>
      <x:c r="F97" s="10" t="s">
        <x:v>9</x:v>
      </x:c>
      <x:c r="G97" s="10" t="s">
        <x:v>52</x:v>
      </x:c>
      <x:c r="H97" s="10" t="s">
        <x:v>64</x:v>
      </x:c>
      <x:c r="I97" s="10"/>
      <x:c r="J97" s="10"/>
      <x:c r="K97" s="10"/>
      <x:c r="L97" s="10"/>
      <x:c r="M97" s="10">
        <x:f t="shared" si="1"/>
        <x:v>1</x:v>
      </x:c>
    </x:row>
    <x:row r="98" ht="27.600000381469727">
      <x:c r="A98" s="10">
        <x:v>97</x:v>
      </x:c>
      <x:c r="B98" s="10" t="s">
        <x:v>29</x:v>
      </x:c>
      <x:c r="C98" s="10" t="s">
        <x:v>145</x:v>
      </x:c>
      <x:c r="D98" s="10" t="s">
        <x:v>84</x:v>
      </x:c>
      <x:c r="E98" s="10" t="s">
        <x:v>160</x:v>
      </x:c>
      <x:c r="F98" s="10" t="s">
        <x:v>9</x:v>
      </x:c>
      <x:c r="G98" s="10" t="s">
        <x:v>52</x:v>
      </x:c>
      <x:c r="H98" s="10" t="s">
        <x:v>64</x:v>
      </x:c>
      <x:c r="I98" s="10"/>
      <x:c r="J98" s="10"/>
      <x:c r="K98" s="10"/>
      <x:c r="L98" s="10"/>
      <x:c r="M98" s="10">
        <x:f t="shared" si="1"/>
        <x:v>1</x:v>
      </x:c>
    </x:row>
    <x:row r="99" ht="27.600000381469727">
      <x:c r="A99" s="10">
        <x:v>98</x:v>
      </x:c>
      <x:c r="B99" s="10" t="s">
        <x:v>29</x:v>
      </x:c>
      <x:c r="C99" s="10" t="s">
        <x:v>145</x:v>
      </x:c>
      <x:c r="D99" s="10" t="s">
        <x:v>84</x:v>
      </x:c>
      <x:c r="E99" s="10" t="s">
        <x:v>161</x:v>
      </x:c>
      <x:c r="F99" s="10" t="s">
        <x:v>9</x:v>
      </x:c>
      <x:c r="G99" s="10" t="s">
        <x:v>52</x:v>
      </x:c>
      <x:c r="H99" s="10" t="s">
        <x:v>64</x:v>
      </x:c>
      <x:c r="I99" s="10"/>
      <x:c r="J99" s="10"/>
      <x:c r="K99" s="10"/>
      <x:c r="L99" s="10"/>
      <x:c r="M99" s="10">
        <x:f t="shared" si="1"/>
        <x:v>1</x:v>
      </x:c>
    </x:row>
    <x:row r="100" ht="27.600000381469727">
      <x:c r="A100" s="10">
        <x:v>99</x:v>
      </x:c>
      <x:c r="B100" s="10" t="s">
        <x:v>29</x:v>
      </x:c>
      <x:c r="C100" s="10" t="s">
        <x:v>162</x:v>
      </x:c>
      <x:c r="D100" s="10" t="s">
        <x:v>62</x:v>
      </x:c>
      <x:c r="E100" s="10" t="s">
        <x:v>163</x:v>
      </x:c>
      <x:c r="F100" s="10" t="s">
        <x:v>9</x:v>
      </x:c>
      <x:c r="G100" s="10" t="s">
        <x:v>64</x:v>
      </x:c>
      <x:c r="H100" s="10" t="s">
        <x:v>64</x:v>
      </x:c>
      <x:c r="I100" s="10"/>
      <x:c r="J100" s="10"/>
      <x:c r="K100" s="10"/>
      <x:c r="L100" s="10"/>
      <x:c r="M100" s="10">
        <x:f t="shared" si="1"/>
        <x:v>1</x:v>
      </x:c>
    </x:row>
    <x:row r="101" ht="27.600000381469727">
      <x:c r="A101" s="10">
        <x:v>100</x:v>
      </x:c>
      <x:c r="B101" s="10" t="s">
        <x:v>29</x:v>
      </x:c>
      <x:c r="C101" s="10" t="s">
        <x:v>162</x:v>
      </x:c>
      <x:c r="D101" s="10" t="s">
        <x:v>62</x:v>
      </x:c>
      <x:c r="E101" s="10" t="s">
        <x:v>164</x:v>
      </x:c>
      <x:c r="F101" s="10" t="s">
        <x:v>9</x:v>
      </x:c>
      <x:c r="G101" s="10" t="s">
        <x:v>64</x:v>
      </x:c>
      <x:c r="H101" s="10" t="s">
        <x:v>64</x:v>
      </x:c>
      <x:c r="I101" s="10"/>
      <x:c r="J101" s="10"/>
      <x:c r="K101" s="10"/>
      <x:c r="L101" s="10"/>
      <x:c r="M101" s="10">
        <x:f t="shared" si="1"/>
        <x:v>1</x:v>
      </x:c>
    </x:row>
    <x:row r="102" ht="27.600000381469727">
      <x:c r="A102" s="10">
        <x:v>101</x:v>
      </x:c>
      <x:c r="B102" s="10" t="s">
        <x:v>29</x:v>
      </x:c>
      <x:c r="C102" s="10" t="s">
        <x:v>162</x:v>
      </x:c>
      <x:c r="D102" s="10" t="s">
        <x:v>62</x:v>
      </x:c>
      <x:c r="E102" s="10" t="s">
        <x:v>165</x:v>
      </x:c>
      <x:c r="F102" s="10" t="s">
        <x:v>9</x:v>
      </x:c>
      <x:c r="G102" s="10" t="s">
        <x:v>64</x:v>
      </x:c>
      <x:c r="H102" s="10" t="s">
        <x:v>64</x:v>
      </x:c>
      <x:c r="I102" s="10"/>
      <x:c r="J102" s="10"/>
      <x:c r="K102" s="10"/>
      <x:c r="L102" s="10"/>
      <x:c r="M102" s="10">
        <x:f t="shared" si="1"/>
        <x:v>1</x:v>
      </x:c>
    </x:row>
    <x:row r="103" ht="27.600000381469727">
      <x:c r="A103" s="10">
        <x:v>102</x:v>
      </x:c>
      <x:c r="B103" s="10" t="s">
        <x:v>29</x:v>
      </x:c>
      <x:c r="C103" s="10" t="s">
        <x:v>162</x:v>
      </x:c>
      <x:c r="D103" s="10" t="s">
        <x:v>62</x:v>
      </x:c>
      <x:c r="E103" s="10" t="s">
        <x:v>166</x:v>
      </x:c>
      <x:c r="F103" s="10" t="s">
        <x:v>9</x:v>
      </x:c>
      <x:c r="G103" s="10" t="s">
        <x:v>64</x:v>
      </x:c>
      <x:c r="H103" s="10" t="s">
        <x:v>64</x:v>
      </x:c>
      <x:c r="I103" s="10"/>
      <x:c r="J103" s="10"/>
      <x:c r="K103" s="10"/>
      <x:c r="L103" s="10"/>
      <x:c r="M103" s="10">
        <x:f t="shared" si="1"/>
        <x:v>1</x:v>
      </x:c>
    </x:row>
    <x:row r="104" ht="27.600000381469727">
      <x:c r="A104" s="10">
        <x:v>103</x:v>
      </x:c>
      <x:c r="B104" s="10" t="s">
        <x:v>29</x:v>
      </x:c>
      <x:c r="C104" s="10" t="s">
        <x:v>162</x:v>
      </x:c>
      <x:c r="D104" s="10" t="s">
        <x:v>62</x:v>
      </x:c>
      <x:c r="E104" s="10" t="s">
        <x:v>167</x:v>
      </x:c>
      <x:c r="F104" s="10" t="s">
        <x:v>9</x:v>
      </x:c>
      <x:c r="G104" s="10" t="s">
        <x:v>64</x:v>
      </x:c>
      <x:c r="H104" s="10" t="s">
        <x:v>64</x:v>
      </x:c>
      <x:c r="I104" s="10"/>
      <x:c r="J104" s="10"/>
      <x:c r="K104" s="10"/>
      <x:c r="L104" s="10"/>
      <x:c r="M104" s="10">
        <x:f t="shared" si="1"/>
        <x:v>1</x:v>
      </x:c>
    </x:row>
    <x:row r="105" ht="27.600000381469727">
      <x:c r="A105" s="10">
        <x:v>104</x:v>
      </x:c>
      <x:c r="B105" s="10" t="s">
        <x:v>29</x:v>
      </x:c>
      <x:c r="C105" s="10" t="s">
        <x:v>162</x:v>
      </x:c>
      <x:c r="D105" s="10" t="s">
        <x:v>78</x:v>
      </x:c>
      <x:c r="E105" s="10" t="s">
        <x:v>168</x:v>
      </x:c>
      <x:c r="F105" s="10" t="s">
        <x:v>9</x:v>
      </x:c>
      <x:c r="G105" s="10" t="s">
        <x:v>64</x:v>
      </x:c>
      <x:c r="H105" s="10" t="s">
        <x:v>64</x:v>
      </x:c>
      <x:c r="I105" s="10"/>
      <x:c r="J105" s="10"/>
      <x:c r="K105" s="10"/>
      <x:c r="L105" s="10"/>
      <x:c r="M105" s="10">
        <x:f t="shared" si="1"/>
        <x:v>1</x:v>
      </x:c>
    </x:row>
    <x:row r="106" ht="27.600000381469727">
      <x:c r="A106" s="10">
        <x:v>105</x:v>
      </x:c>
      <x:c r="B106" s="10" t="s">
        <x:v>29</x:v>
      </x:c>
      <x:c r="C106" s="10" t="s">
        <x:v>162</x:v>
      </x:c>
      <x:c r="D106" s="10" t="s">
        <x:v>78</x:v>
      </x:c>
      <x:c r="E106" s="10" t="s">
        <x:v>169</x:v>
      </x:c>
      <x:c r="F106" s="10" t="s">
        <x:v>9</x:v>
      </x:c>
      <x:c r="G106" s="10" t="s">
        <x:v>64</x:v>
      </x:c>
      <x:c r="H106" s="10" t="s">
        <x:v>64</x:v>
      </x:c>
      <x:c r="I106" s="10"/>
      <x:c r="J106" s="10"/>
      <x:c r="K106" s="10"/>
      <x:c r="L106" s="10"/>
      <x:c r="M106" s="10">
        <x:f t="shared" si="1"/>
        <x:v>1</x:v>
      </x:c>
    </x:row>
    <x:row r="107" ht="27.600000381469727">
      <x:c r="A107" s="10">
        <x:v>106</x:v>
      </x:c>
      <x:c r="B107" s="10" t="s">
        <x:v>29</x:v>
      </x:c>
      <x:c r="C107" s="10" t="s">
        <x:v>162</x:v>
      </x:c>
      <x:c r="D107" s="10" t="s">
        <x:v>78</x:v>
      </x:c>
      <x:c r="E107" s="10" t="s">
        <x:v>170</x:v>
      </x:c>
      <x:c r="F107" s="10" t="s">
        <x:v>9</x:v>
      </x:c>
      <x:c r="G107" s="10" t="s">
        <x:v>64</x:v>
      </x:c>
      <x:c r="H107" s="10" t="s">
        <x:v>64</x:v>
      </x:c>
      <x:c r="I107" s="10"/>
      <x:c r="J107" s="10"/>
      <x:c r="K107" s="10"/>
      <x:c r="L107" s="10"/>
      <x:c r="M107" s="10">
        <x:f t="shared" si="1"/>
        <x:v>1</x:v>
      </x:c>
    </x:row>
    <x:row r="108" ht="27.600000381469727">
      <x:c r="A108" s="10">
        <x:v>107</x:v>
      </x:c>
      <x:c r="B108" s="10" t="s">
        <x:v>29</x:v>
      </x:c>
      <x:c r="C108" s="10" t="s">
        <x:v>162</x:v>
      </x:c>
      <x:c r="D108" s="10" t="s">
        <x:v>78</x:v>
      </x:c>
      <x:c r="E108" s="10" t="s">
        <x:v>171</x:v>
      </x:c>
      <x:c r="F108" s="10" t="s">
        <x:v>9</x:v>
      </x:c>
      <x:c r="G108" s="10" t="s">
        <x:v>64</x:v>
      </x:c>
      <x:c r="H108" s="10" t="s">
        <x:v>64</x:v>
      </x:c>
      <x:c r="I108" s="10"/>
      <x:c r="J108" s="10"/>
      <x:c r="K108" s="10"/>
      <x:c r="L108" s="10"/>
      <x:c r="M108" s="10">
        <x:f t="shared" si="1"/>
        <x:v>1</x:v>
      </x:c>
    </x:row>
    <x:row r="109" ht="27.600000381469727">
      <x:c r="A109" s="10">
        <x:v>108</x:v>
      </x:c>
      <x:c r="B109" s="10" t="s">
        <x:v>29</x:v>
      </x:c>
      <x:c r="C109" s="10" t="s">
        <x:v>162</x:v>
      </x:c>
      <x:c r="D109" s="10" t="s">
        <x:v>84</x:v>
      </x:c>
      <x:c r="E109" s="10" t="s">
        <x:v>172</x:v>
      </x:c>
      <x:c r="F109" s="10" t="s">
        <x:v>9</x:v>
      </x:c>
      <x:c r="G109" s="10" t="s">
        <x:v>52</x:v>
      </x:c>
      <x:c r="H109" s="10" t="s">
        <x:v>64</x:v>
      </x:c>
      <x:c r="I109" s="10"/>
      <x:c r="J109" s="10"/>
      <x:c r="K109" s="10"/>
      <x:c r="L109" s="10"/>
      <x:c r="M109" s="10">
        <x:f t="shared" si="1"/>
        <x:v>1</x:v>
      </x:c>
    </x:row>
    <x:row r="110" ht="27.600000381469727">
      <x:c r="A110" s="10">
        <x:v>109</x:v>
      </x:c>
      <x:c r="B110" s="10" t="s">
        <x:v>29</x:v>
      </x:c>
      <x:c r="C110" s="10" t="s">
        <x:v>162</x:v>
      </x:c>
      <x:c r="D110" s="10" t="s">
        <x:v>84</x:v>
      </x:c>
      <x:c r="E110" s="10" t="s">
        <x:v>173</x:v>
      </x:c>
      <x:c r="F110" s="10" t="s">
        <x:v>9</x:v>
      </x:c>
      <x:c r="G110" s="10" t="s">
        <x:v>52</x:v>
      </x:c>
      <x:c r="H110" s="10" t="s">
        <x:v>64</x:v>
      </x:c>
      <x:c r="I110" s="10"/>
      <x:c r="J110" s="10"/>
      <x:c r="K110" s="10"/>
      <x:c r="L110" s="10"/>
      <x:c r="M110" s="10">
        <x:f t="shared" si="1"/>
        <x:v>1</x:v>
      </x:c>
    </x:row>
    <x:row r="111" ht="27.600000381469727">
      <x:c r="A111" s="10">
        <x:v>110</x:v>
      </x:c>
      <x:c r="B111" s="10" t="s">
        <x:v>29</x:v>
      </x:c>
      <x:c r="C111" s="10" t="s">
        <x:v>162</x:v>
      </x:c>
      <x:c r="D111" s="10" t="s">
        <x:v>84</x:v>
      </x:c>
      <x:c r="E111" s="10" t="s">
        <x:v>174</x:v>
      </x:c>
      <x:c r="F111" s="10" t="s">
        <x:v>9</x:v>
      </x:c>
      <x:c r="G111" s="10" t="s">
        <x:v>52</x:v>
      </x:c>
      <x:c r="H111" s="10" t="s">
        <x:v>64</x:v>
      </x:c>
      <x:c r="I111" s="10"/>
      <x:c r="J111" s="10"/>
      <x:c r="K111" s="10"/>
      <x:c r="L111" s="10"/>
      <x:c r="M111" s="10">
        <x:f t="shared" si="1"/>
        <x:v>1</x:v>
      </x:c>
    </x:row>
    <x:row r="112" ht="27.600000381469727">
      <x:c r="A112" s="10">
        <x:v>111</x:v>
      </x:c>
      <x:c r="B112" s="10" t="s">
        <x:v>29</x:v>
      </x:c>
      <x:c r="C112" s="10" t="s">
        <x:v>175</x:v>
      </x:c>
      <x:c r="D112" s="10" t="s">
        <x:v>62</x:v>
      </x:c>
      <x:c r="E112" s="10" t="s">
        <x:v>176</x:v>
      </x:c>
      <x:c r="F112" s="10" t="s">
        <x:v>9</x:v>
      </x:c>
      <x:c r="G112" s="10" t="s">
        <x:v>52</x:v>
      </x:c>
      <x:c r="H112" s="10" t="s">
        <x:v>64</x:v>
      </x:c>
      <x:c r="I112" s="10"/>
      <x:c r="J112" s="10"/>
      <x:c r="K112" s="10"/>
      <x:c r="L112" s="10"/>
      <x:c r="M112" s="10">
        <x:f t="shared" si="1"/>
        <x:v>1</x:v>
      </x:c>
    </x:row>
    <x:row r="113" ht="27.600000381469727">
      <x:c r="A113" s="10">
        <x:v>112</x:v>
      </x:c>
      <x:c r="B113" s="10" t="s">
        <x:v>29</x:v>
      </x:c>
      <x:c r="C113" s="10" t="s">
        <x:v>175</x:v>
      </x:c>
      <x:c r="D113" s="10" t="s">
        <x:v>62</x:v>
      </x:c>
      <x:c r="E113" s="10" t="s">
        <x:v>177</x:v>
      </x:c>
      <x:c r="F113" s="10" t="s">
        <x:v>9</x:v>
      </x:c>
      <x:c r="G113" s="10" t="s">
        <x:v>52</x:v>
      </x:c>
      <x:c r="H113" s="10" t="s">
        <x:v>64</x:v>
      </x:c>
      <x:c r="I113" s="10"/>
      <x:c r="J113" s="10"/>
      <x:c r="K113" s="10"/>
      <x:c r="L113" s="10"/>
      <x:c r="M113" s="10">
        <x:f t="shared" si="1"/>
        <x:v>1</x:v>
      </x:c>
    </x:row>
    <x:row r="114" ht="27.600000381469727">
      <x:c r="A114" s="10">
        <x:v>113</x:v>
      </x:c>
      <x:c r="B114" s="10" t="s">
        <x:v>29</x:v>
      </x:c>
      <x:c r="C114" s="10" t="s">
        <x:v>175</x:v>
      </x:c>
      <x:c r="D114" s="10" t="s">
        <x:v>62</x:v>
      </x:c>
      <x:c r="E114" s="10" t="s">
        <x:v>178</x:v>
      </x:c>
      <x:c r="F114" s="10" t="s">
        <x:v>9</x:v>
      </x:c>
      <x:c r="G114" s="10" t="s">
        <x:v>52</x:v>
      </x:c>
      <x:c r="H114" s="10" t="s">
        <x:v>64</x:v>
      </x:c>
      <x:c r="I114" s="10"/>
      <x:c r="J114" s="10"/>
      <x:c r="K114" s="10"/>
      <x:c r="L114" s="10"/>
      <x:c r="M114" s="10">
        <x:f t="shared" si="1"/>
        <x:v>1</x:v>
      </x:c>
    </x:row>
    <x:row r="115" ht="27.600000381469727">
      <x:c r="A115" s="10">
        <x:v>114</x:v>
      </x:c>
      <x:c r="B115" s="10" t="s">
        <x:v>29</x:v>
      </x:c>
      <x:c r="C115" s="10" t="s">
        <x:v>175</x:v>
      </x:c>
      <x:c r="D115" s="10" t="s">
        <x:v>62</x:v>
      </x:c>
      <x:c r="E115" s="10" t="s">
        <x:v>179</x:v>
      </x:c>
      <x:c r="F115" s="10" t="s">
        <x:v>9</x:v>
      </x:c>
      <x:c r="G115" s="10" t="s">
        <x:v>52</x:v>
      </x:c>
      <x:c r="H115" s="10" t="s">
        <x:v>64</x:v>
      </x:c>
      <x:c r="I115" s="10"/>
      <x:c r="J115" s="10"/>
      <x:c r="K115" s="10"/>
      <x:c r="L115" s="10"/>
      <x:c r="M115" s="10">
        <x:f t="shared" si="1"/>
        <x:v>1</x:v>
      </x:c>
    </x:row>
    <x:row r="116" ht="27.600000381469727">
      <x:c r="A116" s="10">
        <x:v>115</x:v>
      </x:c>
      <x:c r="B116" s="10" t="s">
        <x:v>29</x:v>
      </x:c>
      <x:c r="C116" s="10" t="s">
        <x:v>175</x:v>
      </x:c>
      <x:c r="D116" s="10" t="s">
        <x:v>62</x:v>
      </x:c>
      <x:c r="E116" s="10" t="s">
        <x:v>180</x:v>
      </x:c>
      <x:c r="F116" s="10" t="s">
        <x:v>9</x:v>
      </x:c>
      <x:c r="G116" s="10" t="s">
        <x:v>52</x:v>
      </x:c>
      <x:c r="H116" s="10" t="s">
        <x:v>64</x:v>
      </x:c>
      <x:c r="I116" s="10"/>
      <x:c r="J116" s="10"/>
      <x:c r="K116" s="10"/>
      <x:c r="L116" s="10"/>
      <x:c r="M116" s="10">
        <x:f t="shared" si="1"/>
        <x:v>1</x:v>
      </x:c>
    </x:row>
    <x:row r="117" ht="27.600000381469727">
      <x:c r="A117" s="10">
        <x:v>116</x:v>
      </x:c>
      <x:c r="B117" s="10" t="s">
        <x:v>29</x:v>
      </x:c>
      <x:c r="C117" s="10" t="s">
        <x:v>175</x:v>
      </x:c>
      <x:c r="D117" s="10" t="s">
        <x:v>62</x:v>
      </x:c>
      <x:c r="E117" s="10" t="s">
        <x:v>181</x:v>
      </x:c>
      <x:c r="F117" s="10" t="s">
        <x:v>9</x:v>
      </x:c>
      <x:c r="G117" s="10" t="s">
        <x:v>52</x:v>
      </x:c>
      <x:c r="H117" s="10" t="s">
        <x:v>64</x:v>
      </x:c>
      <x:c r="I117" s="10"/>
      <x:c r="J117" s="10"/>
      <x:c r="K117" s="10"/>
      <x:c r="L117" s="10"/>
      <x:c r="M117" s="10">
        <x:f t="shared" si="1"/>
        <x:v>1</x:v>
      </x:c>
    </x:row>
    <x:row r="118" ht="27.600000381469727">
      <x:c r="A118" s="10">
        <x:v>117</x:v>
      </x:c>
      <x:c r="B118" s="10" t="s">
        <x:v>29</x:v>
      </x:c>
      <x:c r="C118" s="10" t="s">
        <x:v>175</x:v>
      </x:c>
      <x:c r="D118" s="10" t="s">
        <x:v>78</x:v>
      </x:c>
      <x:c r="E118" s="10" t="s">
        <x:v>182</x:v>
      </x:c>
      <x:c r="F118" s="10" t="s">
        <x:v>9</x:v>
      </x:c>
      <x:c r="G118" s="10" t="s">
        <x:v>64</x:v>
      </x:c>
      <x:c r="H118" s="10" t="s">
        <x:v>64</x:v>
      </x:c>
      <x:c r="I118" s="10"/>
      <x:c r="J118" s="10"/>
      <x:c r="K118" s="10"/>
      <x:c r="L118" s="10"/>
      <x:c r="M118" s="10">
        <x:f t="shared" si="1"/>
        <x:v>1</x:v>
      </x:c>
    </x:row>
    <x:row r="119" ht="27.600000381469727">
      <x:c r="A119" s="10">
        <x:v>118</x:v>
      </x:c>
      <x:c r="B119" s="10" t="s">
        <x:v>29</x:v>
      </x:c>
      <x:c r="C119" s="10" t="s">
        <x:v>175</x:v>
      </x:c>
      <x:c r="D119" s="10" t="s">
        <x:v>78</x:v>
      </x:c>
      <x:c r="E119" s="10" t="s">
        <x:v>183</x:v>
      </x:c>
      <x:c r="F119" s="10" t="s">
        <x:v>9</x:v>
      </x:c>
      <x:c r="G119" s="10" t="s">
        <x:v>64</x:v>
      </x:c>
      <x:c r="H119" s="10" t="s">
        <x:v>64</x:v>
      </x:c>
      <x:c r="I119" s="10"/>
      <x:c r="J119" s="10"/>
      <x:c r="K119" s="10"/>
      <x:c r="L119" s="10"/>
      <x:c r="M119" s="10">
        <x:f t="shared" si="1"/>
        <x:v>1</x:v>
      </x:c>
    </x:row>
    <x:row r="120" ht="27.600000381469727">
      <x:c r="A120" s="10">
        <x:v>119</x:v>
      </x:c>
      <x:c r="B120" s="10" t="s">
        <x:v>29</x:v>
      </x:c>
      <x:c r="C120" s="10" t="s">
        <x:v>175</x:v>
      </x:c>
      <x:c r="D120" s="10" t="s">
        <x:v>78</x:v>
      </x:c>
      <x:c r="E120" s="10" t="s">
        <x:v>184</x:v>
      </x:c>
      <x:c r="F120" s="10" t="s">
        <x:v>9</x:v>
      </x:c>
      <x:c r="G120" s="10" t="s">
        <x:v>64</x:v>
      </x:c>
      <x:c r="H120" s="10" t="s">
        <x:v>64</x:v>
      </x:c>
      <x:c r="I120" s="10"/>
      <x:c r="J120" s="10"/>
      <x:c r="K120" s="10"/>
      <x:c r="L120" s="10"/>
      <x:c r="M120" s="10">
        <x:f t="shared" si="1"/>
        <x:v>1</x:v>
      </x:c>
    </x:row>
    <x:row r="121" ht="27.600000381469727">
      <x:c r="A121" s="10">
        <x:v>120</x:v>
      </x:c>
      <x:c r="B121" s="10" t="s">
        <x:v>29</x:v>
      </x:c>
      <x:c r="C121" s="10" t="s">
        <x:v>175</x:v>
      </x:c>
      <x:c r="D121" s="10" t="s">
        <x:v>84</x:v>
      </x:c>
      <x:c r="E121" s="10" t="s">
        <x:v>185</x:v>
      </x:c>
      <x:c r="F121" s="10" t="s">
        <x:v>9</x:v>
      </x:c>
      <x:c r="G121" s="10" t="s">
        <x:v>52</x:v>
      </x:c>
      <x:c r="H121" s="10" t="s">
        <x:v>64</x:v>
      </x:c>
      <x:c r="I121" s="10"/>
      <x:c r="J121" s="10"/>
      <x:c r="K121" s="10"/>
      <x:c r="L121" s="10"/>
      <x:c r="M121" s="10">
        <x:f t="shared" si="1"/>
        <x:v>1</x:v>
      </x:c>
    </x:row>
    <x:row r="122" ht="27.600000381469727">
      <x:c r="A122" s="10">
        <x:v>121</x:v>
      </x:c>
      <x:c r="B122" s="10" t="s">
        <x:v>29</x:v>
      </x:c>
      <x:c r="C122" s="10" t="s">
        <x:v>175</x:v>
      </x:c>
      <x:c r="D122" s="10" t="s">
        <x:v>84</x:v>
      </x:c>
      <x:c r="E122" s="10" t="s">
        <x:v>186</x:v>
      </x:c>
      <x:c r="F122" s="10" t="s">
        <x:v>9</x:v>
      </x:c>
      <x:c r="G122" s="10" t="s">
        <x:v>52</x:v>
      </x:c>
      <x:c r="H122" s="10" t="s">
        <x:v>64</x:v>
      </x:c>
      <x:c r="I122" s="10"/>
      <x:c r="J122" s="10"/>
      <x:c r="K122" s="10"/>
      <x:c r="L122" s="10"/>
      <x:c r="M122" s="10">
        <x:f t="shared" si="1"/>
        <x:v>1</x:v>
      </x:c>
    </x:row>
    <x:row r="123" ht="27.600000381469727">
      <x:c r="A123" s="10">
        <x:v>122</x:v>
      </x:c>
      <x:c r="B123" s="10" t="s">
        <x:v>29</x:v>
      </x:c>
      <x:c r="C123" s="10" t="s">
        <x:v>187</x:v>
      </x:c>
      <x:c r="D123" s="10" t="s">
        <x:v>62</x:v>
      </x:c>
      <x:c r="E123" s="10" t="s">
        <x:v>188</x:v>
      </x:c>
      <x:c r="F123" s="10" t="s">
        <x:v>9</x:v>
      </x:c>
      <x:c r="G123" s="10" t="s">
        <x:v>64</x:v>
      </x:c>
      <x:c r="H123" s="10" t="s">
        <x:v>64</x:v>
      </x:c>
      <x:c r="I123" s="10"/>
      <x:c r="J123" s="10"/>
      <x:c r="K123" s="10"/>
      <x:c r="L123" s="10"/>
      <x:c r="M123" s="10">
        <x:f t="shared" si="1"/>
        <x:v>1</x:v>
      </x:c>
    </x:row>
    <x:row r="124" ht="27.600000381469727">
      <x:c r="A124" s="10">
        <x:v>123</x:v>
      </x:c>
      <x:c r="B124" s="10" t="s">
        <x:v>29</x:v>
      </x:c>
      <x:c r="C124" s="10" t="s">
        <x:v>187</x:v>
      </x:c>
      <x:c r="D124" s="10" t="s">
        <x:v>62</x:v>
      </x:c>
      <x:c r="E124" s="10" t="s">
        <x:v>189</x:v>
      </x:c>
      <x:c r="F124" s="10" t="s">
        <x:v>9</x:v>
      </x:c>
      <x:c r="G124" s="10" t="s">
        <x:v>64</x:v>
      </x:c>
      <x:c r="H124" s="10" t="s">
        <x:v>64</x:v>
      </x:c>
      <x:c r="I124" s="10"/>
      <x:c r="J124" s="10"/>
      <x:c r="K124" s="10"/>
      <x:c r="L124" s="10"/>
      <x:c r="M124" s="10">
        <x:f t="shared" si="1"/>
        <x:v>1</x:v>
      </x:c>
    </x:row>
    <x:row r="125" ht="27.600000381469727">
      <x:c r="A125" s="10">
        <x:v>124</x:v>
      </x:c>
      <x:c r="B125" s="10" t="s">
        <x:v>29</x:v>
      </x:c>
      <x:c r="C125" s="10" t="s">
        <x:v>187</x:v>
      </x:c>
      <x:c r="D125" s="10" t="s">
        <x:v>62</x:v>
      </x:c>
      <x:c r="E125" s="10" t="s">
        <x:v>190</x:v>
      </x:c>
      <x:c r="F125" s="10" t="s">
        <x:v>9</x:v>
      </x:c>
      <x:c r="G125" s="10" t="s">
        <x:v>64</x:v>
      </x:c>
      <x:c r="H125" s="10" t="s">
        <x:v>64</x:v>
      </x:c>
      <x:c r="I125" s="10"/>
      <x:c r="J125" s="10"/>
      <x:c r="K125" s="10"/>
      <x:c r="L125" s="10"/>
      <x:c r="M125" s="10">
        <x:f t="shared" si="1"/>
        <x:v>1</x:v>
      </x:c>
    </x:row>
    <x:row r="126" ht="27.600000381469727">
      <x:c r="A126" s="10">
        <x:v>125</x:v>
      </x:c>
      <x:c r="B126" s="10" t="s">
        <x:v>29</x:v>
      </x:c>
      <x:c r="C126" s="10" t="s">
        <x:v>187</x:v>
      </x:c>
      <x:c r="D126" s="10" t="s">
        <x:v>62</x:v>
      </x:c>
      <x:c r="E126" s="10" t="s">
        <x:v>191</x:v>
      </x:c>
      <x:c r="F126" s="10" t="s">
        <x:v>9</x:v>
      </x:c>
      <x:c r="G126" s="10" t="s">
        <x:v>64</x:v>
      </x:c>
      <x:c r="H126" s="10" t="s">
        <x:v>64</x:v>
      </x:c>
      <x:c r="I126" s="10"/>
      <x:c r="J126" s="10"/>
      <x:c r="K126" s="10"/>
      <x:c r="L126" s="10"/>
      <x:c r="M126" s="10">
        <x:f t="shared" si="1"/>
        <x:v>1</x:v>
      </x:c>
    </x:row>
    <x:row r="127" ht="27.600000381469727">
      <x:c r="A127" s="10">
        <x:v>126</x:v>
      </x:c>
      <x:c r="B127" s="10" t="s">
        <x:v>29</x:v>
      </x:c>
      <x:c r="C127" s="10" t="s">
        <x:v>187</x:v>
      </x:c>
      <x:c r="D127" s="10" t="s">
        <x:v>62</x:v>
      </x:c>
      <x:c r="E127" s="10" t="s">
        <x:v>192</x:v>
      </x:c>
      <x:c r="F127" s="10" t="s">
        <x:v>9</x:v>
      </x:c>
      <x:c r="G127" s="10" t="s">
        <x:v>52</x:v>
      </x:c>
      <x:c r="H127" s="10" t="s">
        <x:v>64</x:v>
      </x:c>
      <x:c r="I127" s="10"/>
      <x:c r="J127" s="10"/>
      <x:c r="K127" s="10"/>
      <x:c r="L127" s="10"/>
      <x:c r="M127" s="10">
        <x:f t="shared" si="1"/>
        <x:v>1</x:v>
      </x:c>
    </x:row>
    <x:row r="128" ht="27.600000381469727">
      <x:c r="A128" s="10">
        <x:v>127</x:v>
      </x:c>
      <x:c r="B128" s="10" t="s">
        <x:v>29</x:v>
      </x:c>
      <x:c r="C128" s="10" t="s">
        <x:v>187</x:v>
      </x:c>
      <x:c r="D128" s="10" t="s">
        <x:v>62</x:v>
      </x:c>
      <x:c r="E128" s="10" t="s">
        <x:v>193</x:v>
      </x:c>
      <x:c r="F128" s="10" t="s">
        <x:v>9</x:v>
      </x:c>
      <x:c r="G128" s="10" t="s">
        <x:v>64</x:v>
      </x:c>
      <x:c r="H128" s="10" t="s">
        <x:v>64</x:v>
      </x:c>
      <x:c r="I128" s="10"/>
      <x:c r="J128" s="10"/>
      <x:c r="K128" s="10"/>
      <x:c r="L128" s="10"/>
      <x:c r="M128" s="10">
        <x:f t="shared" si="1"/>
        <x:v>1</x:v>
      </x:c>
    </x:row>
    <x:row r="129" ht="27.600000381469727">
      <x:c r="A129" s="10">
        <x:v>128</x:v>
      </x:c>
      <x:c r="B129" s="10" t="s">
        <x:v>29</x:v>
      </x:c>
      <x:c r="C129" s="10" t="s">
        <x:v>187</x:v>
      </x:c>
      <x:c r="D129" s="10" t="s">
        <x:v>62</x:v>
      </x:c>
      <x:c r="E129" s="10" t="s">
        <x:v>194</x:v>
      </x:c>
      <x:c r="F129" s="10" t="s">
        <x:v>9</x:v>
      </x:c>
      <x:c r="G129" s="10" t="s">
        <x:v>52</x:v>
      </x:c>
      <x:c r="H129" s="10" t="s">
        <x:v>64</x:v>
      </x:c>
      <x:c r="I129" s="10"/>
      <x:c r="J129" s="10"/>
      <x:c r="K129" s="10"/>
      <x:c r="L129" s="10"/>
      <x:c r="M129" s="10">
        <x:f t="shared" si="1"/>
        <x:v>1</x:v>
      </x:c>
    </x:row>
    <x:row r="130" ht="27.600000381469727">
      <x:c r="A130" s="10">
        <x:v>129</x:v>
      </x:c>
      <x:c r="B130" s="10" t="s">
        <x:v>29</x:v>
      </x:c>
      <x:c r="C130" s="10" t="s">
        <x:v>187</x:v>
      </x:c>
      <x:c r="D130" s="10" t="s">
        <x:v>78</x:v>
      </x:c>
      <x:c r="E130" s="10" t="s">
        <x:v>195</x:v>
      </x:c>
      <x:c r="F130" s="10" t="s">
        <x:v>9</x:v>
      </x:c>
      <x:c r="G130" s="10" t="s">
        <x:v>64</x:v>
      </x:c>
      <x:c r="H130" s="10" t="s">
        <x:v>64</x:v>
      </x:c>
      <x:c r="I130" s="10"/>
      <x:c r="J130" s="10"/>
      <x:c r="K130" s="10"/>
      <x:c r="L130" s="10"/>
      <x:c r="M130" s="10" t="n">
        <x:f t="shared" ref="M130:M193" si="2">IF(F130="Hoàn thành",1,0)</x:f>
        <x:v>1</x:v>
      </x:c>
    </x:row>
    <x:row r="131" ht="27.600000381469727">
      <x:c r="A131" s="10">
        <x:v>130</x:v>
      </x:c>
      <x:c r="B131" s="10" t="s">
        <x:v>29</x:v>
      </x:c>
      <x:c r="C131" s="10" t="s">
        <x:v>187</x:v>
      </x:c>
      <x:c r="D131" s="10" t="s">
        <x:v>78</x:v>
      </x:c>
      <x:c r="E131" s="10" t="s">
        <x:v>196</x:v>
      </x:c>
      <x:c r="F131" s="10" t="s">
        <x:v>9</x:v>
      </x:c>
      <x:c r="G131" s="10" t="s">
        <x:v>64</x:v>
      </x:c>
      <x:c r="H131" s="10" t="s">
        <x:v>64</x:v>
      </x:c>
      <x:c r="I131" s="10"/>
      <x:c r="J131" s="10"/>
      <x:c r="K131" s="10"/>
      <x:c r="L131" s="10"/>
      <x:c r="M131" s="10">
        <x:f t="shared" si="2"/>
        <x:v>1</x:v>
      </x:c>
    </x:row>
    <x:row r="132" ht="27.600000381469727">
      <x:c r="A132" s="10">
        <x:v>131</x:v>
      </x:c>
      <x:c r="B132" s="10" t="s">
        <x:v>29</x:v>
      </x:c>
      <x:c r="C132" s="10" t="s">
        <x:v>187</x:v>
      </x:c>
      <x:c r="D132" s="10" t="s">
        <x:v>84</x:v>
      </x:c>
      <x:c r="E132" s="10" t="s">
        <x:v>197</x:v>
      </x:c>
      <x:c r="F132" s="10" t="s">
        <x:v>9</x:v>
      </x:c>
      <x:c r="G132" s="10" t="s">
        <x:v>52</x:v>
      </x:c>
      <x:c r="H132" s="10" t="s">
        <x:v>64</x:v>
      </x:c>
      <x:c r="I132" s="10"/>
      <x:c r="J132" s="10"/>
      <x:c r="K132" s="10"/>
      <x:c r="L132" s="10"/>
      <x:c r="M132" s="10">
        <x:f t="shared" si="2"/>
        <x:v>1</x:v>
      </x:c>
    </x:row>
    <x:row r="133" ht="27.600000381469727">
      <x:c r="A133" s="10">
        <x:v>132</x:v>
      </x:c>
      <x:c r="B133" s="10" t="s">
        <x:v>29</x:v>
      </x:c>
      <x:c r="C133" s="10" t="s">
        <x:v>187</x:v>
      </x:c>
      <x:c r="D133" s="10" t="s">
        <x:v>84</x:v>
      </x:c>
      <x:c r="E133" s="10" t="s">
        <x:v>198</x:v>
      </x:c>
      <x:c r="F133" s="10" t="s">
        <x:v>9</x:v>
      </x:c>
      <x:c r="G133" s="10" t="s">
        <x:v>52</x:v>
      </x:c>
      <x:c r="H133" s="10" t="s">
        <x:v>64</x:v>
      </x:c>
      <x:c r="I133" s="10"/>
      <x:c r="J133" s="10"/>
      <x:c r="K133" s="10"/>
      <x:c r="L133" s="10"/>
      <x:c r="M133" s="10">
        <x:f t="shared" si="2"/>
        <x:v>1</x:v>
      </x:c>
    </x:row>
    <x:row r="134" ht="27.600000381469727">
      <x:c r="A134" s="10">
        <x:v>133</x:v>
      </x:c>
      <x:c r="B134" s="10" t="s">
        <x:v>29</x:v>
      </x:c>
      <x:c r="C134" s="10" t="s">
        <x:v>187</x:v>
      </x:c>
      <x:c r="D134" s="10" t="s">
        <x:v>84</x:v>
      </x:c>
      <x:c r="E134" s="10" t="s">
        <x:v>199</x:v>
      </x:c>
      <x:c r="F134" s="10" t="s">
        <x:v>9</x:v>
      </x:c>
      <x:c r="G134" s="10" t="s">
        <x:v>52</x:v>
      </x:c>
      <x:c r="H134" s="10" t="s">
        <x:v>64</x:v>
      </x:c>
      <x:c r="I134" s="10"/>
      <x:c r="J134" s="10"/>
      <x:c r="K134" s="10"/>
      <x:c r="L134" s="10"/>
      <x:c r="M134" s="10">
        <x:f t="shared" si="2"/>
        <x:v>1</x:v>
      </x:c>
    </x:row>
    <x:row r="135" ht="27.600000381469727">
      <x:c r="A135" s="10">
        <x:v>134</x:v>
      </x:c>
      <x:c r="B135" s="10" t="s">
        <x:v>29</x:v>
      </x:c>
      <x:c r="C135" s="10" t="s">
        <x:v>187</x:v>
      </x:c>
      <x:c r="D135" s="10" t="s">
        <x:v>84</x:v>
      </x:c>
      <x:c r="E135" s="10" t="s">
        <x:v>200</x:v>
      </x:c>
      <x:c r="F135" s="10" t="s">
        <x:v>9</x:v>
      </x:c>
      <x:c r="G135" s="10" t="s">
        <x:v>52</x:v>
      </x:c>
      <x:c r="H135" s="10" t="s">
        <x:v>64</x:v>
      </x:c>
      <x:c r="I135" s="10"/>
      <x:c r="J135" s="10"/>
      <x:c r="K135" s="10"/>
      <x:c r="L135" s="10"/>
      <x:c r="M135" s="10">
        <x:f t="shared" si="2"/>
        <x:v>1</x:v>
      </x:c>
    </x:row>
    <x:row r="136" ht="16.950000762939453" customHeight="1">
      <x:c r="A136" s="10">
        <x:v>135</x:v>
      </x:c>
      <x:c r="B136" s="10" t="s">
        <x:v>29</x:v>
      </x:c>
      <x:c r="C136" s="10" t="s">
        <x:v>201</x:v>
      </x:c>
      <x:c r="D136" s="10" t="s">
        <x:v>62</x:v>
      </x:c>
      <x:c r="E136" s="10" t="s">
        <x:v>202</x:v>
      </x:c>
      <x:c r="F136" s="10" t="s">
        <x:v>9</x:v>
      </x:c>
      <x:c r="G136" s="10" t="s">
        <x:v>52</x:v>
      </x:c>
      <x:c r="H136" s="10" t="s">
        <x:v>52</x:v>
      </x:c>
      <x:c r="I136" s="10"/>
      <x:c r="J136" s="10"/>
      <x:c r="K136" s="10" t="s">
        <x:v>203</x:v>
      </x:c>
      <x:c r="L136" s="10"/>
      <x:c r="M136" s="10">
        <x:f t="shared" si="2"/>
        <x:v>1</x:v>
      </x:c>
    </x:row>
    <x:row r="137" ht="16.950000762939453" customHeight="1">
      <x:c r="A137" s="10">
        <x:v>136</x:v>
      </x:c>
      <x:c r="B137" s="10" t="s">
        <x:v>29</x:v>
      </x:c>
      <x:c r="C137" s="10" t="s">
        <x:v>201</x:v>
      </x:c>
      <x:c r="D137" s="10" t="s">
        <x:v>62</x:v>
      </x:c>
      <x:c r="E137" s="10" t="s">
        <x:v>204</x:v>
      </x:c>
      <x:c r="F137" s="10" t="s">
        <x:v>9</x:v>
      </x:c>
      <x:c r="G137" s="10" t="s">
        <x:v>52</x:v>
      </x:c>
      <x:c r="H137" s="10" t="s">
        <x:v>52</x:v>
      </x:c>
      <x:c r="I137" s="10"/>
      <x:c r="J137" s="10"/>
      <x:c r="K137" s="10" t="s">
        <x:v>203</x:v>
      </x:c>
      <x:c r="L137" s="10"/>
      <x:c r="M137" s="10">
        <x:f t="shared" si="2"/>
        <x:v>1</x:v>
      </x:c>
    </x:row>
    <x:row r="138" ht="16.950000762939453" customHeight="1">
      <x:c r="A138" s="10">
        <x:v>137</x:v>
      </x:c>
      <x:c r="B138" s="10" t="s">
        <x:v>29</x:v>
      </x:c>
      <x:c r="C138" s="10" t="s">
        <x:v>201</x:v>
      </x:c>
      <x:c r="D138" s="10" t="s">
        <x:v>62</x:v>
      </x:c>
      <x:c r="E138" s="10" t="s">
        <x:v>205</x:v>
      </x:c>
      <x:c r="F138" s="10" t="s">
        <x:v>9</x:v>
      </x:c>
      <x:c r="G138" s="10" t="s">
        <x:v>52</x:v>
      </x:c>
      <x:c r="H138" s="10" t="s">
        <x:v>52</x:v>
      </x:c>
      <x:c r="I138" s="10"/>
      <x:c r="J138" s="10"/>
      <x:c r="K138" s="10" t="s">
        <x:v>203</x:v>
      </x:c>
      <x:c r="L138" s="10"/>
      <x:c r="M138" s="10">
        <x:f t="shared" si="2"/>
        <x:v>1</x:v>
      </x:c>
    </x:row>
    <x:row r="139" ht="16.950000762939453" customHeight="1">
      <x:c r="A139" s="10">
        <x:v>138</x:v>
      </x:c>
      <x:c r="B139" s="10" t="s">
        <x:v>29</x:v>
      </x:c>
      <x:c r="C139" s="10" t="s">
        <x:v>201</x:v>
      </x:c>
      <x:c r="D139" s="10" t="s">
        <x:v>62</x:v>
      </x:c>
      <x:c r="E139" s="10" t="s">
        <x:v>206</x:v>
      </x:c>
      <x:c r="F139" s="10" t="s">
        <x:v>9</x:v>
      </x:c>
      <x:c r="G139" s="10" t="s">
        <x:v>52</x:v>
      </x:c>
      <x:c r="H139" s="10" t="s">
        <x:v>52</x:v>
      </x:c>
      <x:c r="I139" s="10"/>
      <x:c r="J139" s="10"/>
      <x:c r="K139" s="10" t="s">
        <x:v>203</x:v>
      </x:c>
      <x:c r="L139" s="10"/>
      <x:c r="M139" s="10">
        <x:f t="shared" si="2"/>
        <x:v>1</x:v>
      </x:c>
    </x:row>
    <x:row r="140" ht="16.950000762939453" customHeight="1">
      <x:c r="A140" s="10">
        <x:v>139</x:v>
      </x:c>
      <x:c r="B140" s="10" t="s">
        <x:v>29</x:v>
      </x:c>
      <x:c r="C140" s="10" t="s">
        <x:v>201</x:v>
      </x:c>
      <x:c r="D140" s="10" t="s">
        <x:v>62</x:v>
      </x:c>
      <x:c r="E140" s="10" t="s">
        <x:v>207</x:v>
      </x:c>
      <x:c r="F140" s="10" t="s">
        <x:v>9</x:v>
      </x:c>
      <x:c r="G140" s="10" t="s">
        <x:v>52</x:v>
      </x:c>
      <x:c r="H140" s="10" t="s">
        <x:v>52</x:v>
      </x:c>
      <x:c r="I140" s="10"/>
      <x:c r="J140" s="10"/>
      <x:c r="K140" s="10" t="s">
        <x:v>203</x:v>
      </x:c>
      <x:c r="L140" s="10"/>
      <x:c r="M140" s="10">
        <x:f t="shared" si="2"/>
        <x:v>1</x:v>
      </x:c>
    </x:row>
    <x:row r="141" ht="16.950000762939453" customHeight="1">
      <x:c r="A141" s="10">
        <x:v>140</x:v>
      </x:c>
      <x:c r="B141" s="10" t="s">
        <x:v>29</x:v>
      </x:c>
      <x:c r="C141" s="10" t="s">
        <x:v>201</x:v>
      </x:c>
      <x:c r="D141" s="10" t="s">
        <x:v>62</x:v>
      </x:c>
      <x:c r="E141" s="10" t="s">
        <x:v>208</x:v>
      </x:c>
      <x:c r="F141" s="10" t="s">
        <x:v>9</x:v>
      </x:c>
      <x:c r="G141" s="10" t="s">
        <x:v>52</x:v>
      </x:c>
      <x:c r="H141" s="10" t="s">
        <x:v>52</x:v>
      </x:c>
      <x:c r="I141" s="10"/>
      <x:c r="J141" s="10"/>
      <x:c r="K141" s="10" t="s">
        <x:v>203</x:v>
      </x:c>
      <x:c r="L141" s="10"/>
      <x:c r="M141" s="10">
        <x:f t="shared" si="2"/>
        <x:v>1</x:v>
      </x:c>
    </x:row>
    <x:row r="142" ht="16.950000762939453" customHeight="1">
      <x:c r="A142" s="10">
        <x:v>141</x:v>
      </x:c>
      <x:c r="B142" s="10" t="s">
        <x:v>29</x:v>
      </x:c>
      <x:c r="C142" s="10" t="s">
        <x:v>201</x:v>
      </x:c>
      <x:c r="D142" s="10" t="s">
        <x:v>62</x:v>
      </x:c>
      <x:c r="E142" s="10" t="s">
        <x:v>209</x:v>
      </x:c>
      <x:c r="F142" s="10" t="s">
        <x:v>9</x:v>
      </x:c>
      <x:c r="G142" s="10" t="s">
        <x:v>52</x:v>
      </x:c>
      <x:c r="H142" s="10" t="s">
        <x:v>52</x:v>
      </x:c>
      <x:c r="I142" s="10"/>
      <x:c r="J142" s="10"/>
      <x:c r="K142" s="10" t="s">
        <x:v>203</x:v>
      </x:c>
      <x:c r="L142" s="10"/>
      <x:c r="M142" s="10">
        <x:f t="shared" si="2"/>
        <x:v>1</x:v>
      </x:c>
    </x:row>
    <x:row r="143" ht="16.950000762939453" customHeight="1">
      <x:c r="A143" s="10">
        <x:v>142</x:v>
      </x:c>
      <x:c r="B143" s="10" t="s">
        <x:v>29</x:v>
      </x:c>
      <x:c r="C143" s="10" t="s">
        <x:v>201</x:v>
      </x:c>
      <x:c r="D143" s="10" t="s">
        <x:v>62</x:v>
      </x:c>
      <x:c r="E143" s="10" t="s">
        <x:v>210</x:v>
      </x:c>
      <x:c r="F143" s="10" t="s">
        <x:v>9</x:v>
      </x:c>
      <x:c r="G143" s="10" t="s">
        <x:v>52</x:v>
      </x:c>
      <x:c r="H143" s="10" t="s">
        <x:v>52</x:v>
      </x:c>
      <x:c r="I143" s="10"/>
      <x:c r="J143" s="10"/>
      <x:c r="K143" s="10" t="s">
        <x:v>203</x:v>
      </x:c>
      <x:c r="L143" s="10"/>
      <x:c r="M143" s="10">
        <x:f t="shared" si="2"/>
        <x:v>1</x:v>
      </x:c>
    </x:row>
    <x:row r="144" ht="16.950000762939453" customHeight="1">
      <x:c r="A144" s="10">
        <x:v>143</x:v>
      </x:c>
      <x:c r="B144" s="10" t="s">
        <x:v>29</x:v>
      </x:c>
      <x:c r="C144" s="10" t="s">
        <x:v>201</x:v>
      </x:c>
      <x:c r="D144" s="10" t="s">
        <x:v>62</x:v>
      </x:c>
      <x:c r="E144" s="10" t="s">
        <x:v>211</x:v>
      </x:c>
      <x:c r="F144" s="10" t="s">
        <x:v>9</x:v>
      </x:c>
      <x:c r="G144" s="10" t="s">
        <x:v>52</x:v>
      </x:c>
      <x:c r="H144" s="10" t="s">
        <x:v>52</x:v>
      </x:c>
      <x:c r="I144" s="10"/>
      <x:c r="J144" s="10"/>
      <x:c r="K144" s="10" t="s">
        <x:v>203</x:v>
      </x:c>
      <x:c r="L144" s="10"/>
      <x:c r="M144" s="10">
        <x:f t="shared" si="2"/>
        <x:v>1</x:v>
      </x:c>
    </x:row>
    <x:row r="145" ht="16.950000762939453" customHeight="1">
      <x:c r="A145" s="10">
        <x:v>144</x:v>
      </x:c>
      <x:c r="B145" s="10" t="s">
        <x:v>29</x:v>
      </x:c>
      <x:c r="C145" s="10" t="s">
        <x:v>201</x:v>
      </x:c>
      <x:c r="D145" s="10" t="s">
        <x:v>62</x:v>
      </x:c>
      <x:c r="E145" s="10" t="s">
        <x:v>212</x:v>
      </x:c>
      <x:c r="F145" s="10" t="s">
        <x:v>9</x:v>
      </x:c>
      <x:c r="G145" s="10" t="s">
        <x:v>52</x:v>
      </x:c>
      <x:c r="H145" s="10" t="s">
        <x:v>52</x:v>
      </x:c>
      <x:c r="I145" s="10"/>
      <x:c r="J145" s="10"/>
      <x:c r="K145" s="10" t="s">
        <x:v>203</x:v>
      </x:c>
      <x:c r="L145" s="10"/>
      <x:c r="M145" s="10">
        <x:f t="shared" si="2"/>
        <x:v>1</x:v>
      </x:c>
    </x:row>
    <x:row r="146" ht="16.950000762939453" customHeight="1">
      <x:c r="A146" s="10">
        <x:v>145</x:v>
      </x:c>
      <x:c r="B146" s="10" t="s">
        <x:v>29</x:v>
      </x:c>
      <x:c r="C146" s="10" t="s">
        <x:v>201</x:v>
      </x:c>
      <x:c r="D146" s="10" t="s">
        <x:v>62</x:v>
      </x:c>
      <x:c r="E146" s="10" t="s">
        <x:v>213</x:v>
      </x:c>
      <x:c r="F146" s="10" t="s">
        <x:v>9</x:v>
      </x:c>
      <x:c r="G146" s="10" t="s">
        <x:v>52</x:v>
      </x:c>
      <x:c r="H146" s="10" t="s">
        <x:v>52</x:v>
      </x:c>
      <x:c r="I146" s="10"/>
      <x:c r="J146" s="10"/>
      <x:c r="K146" s="10" t="s">
        <x:v>203</x:v>
      </x:c>
      <x:c r="L146" s="10"/>
      <x:c r="M146" s="10">
        <x:f t="shared" si="2"/>
        <x:v>1</x:v>
      </x:c>
    </x:row>
    <x:row r="147" ht="16.950000762939453" customHeight="1">
      <x:c r="A147" s="10">
        <x:v>146</x:v>
      </x:c>
      <x:c r="B147" s="10" t="s">
        <x:v>29</x:v>
      </x:c>
      <x:c r="C147" s="10" t="s">
        <x:v>201</x:v>
      </x:c>
      <x:c r="D147" s="10" t="s">
        <x:v>78</x:v>
      </x:c>
      <x:c r="E147" s="10" t="s">
        <x:v>214</x:v>
      </x:c>
      <x:c r="F147" s="10" t="s">
        <x:v>9</x:v>
      </x:c>
      <x:c r="G147" s="10" t="s">
        <x:v>64</x:v>
      </x:c>
      <x:c r="H147" s="10" t="s">
        <x:v>64</x:v>
      </x:c>
      <x:c r="I147" s="10"/>
      <x:c r="J147" s="10"/>
      <x:c r="K147" s="10" t="s">
        <x:v>203</x:v>
      </x:c>
      <x:c r="L147" s="10" t="s">
        <x:v>215</x:v>
      </x:c>
      <x:c r="M147" s="10">
        <x:f t="shared" si="2"/>
        <x:v>1</x:v>
      </x:c>
    </x:row>
    <x:row r="148" ht="33.75" customHeight="1">
      <x:c r="A148" s="10">
        <x:v>147</x:v>
      </x:c>
      <x:c r="B148" s="10" t="s">
        <x:v>29</x:v>
      </x:c>
      <x:c r="C148" s="10" t="s">
        <x:v>201</x:v>
      </x:c>
      <x:c r="D148" s="10" t="s">
        <x:v>78</x:v>
      </x:c>
      <x:c r="E148" s="10" t="s">
        <x:v>216</x:v>
      </x:c>
      <x:c r="F148" s="10" t="s">
        <x:v>9</x:v>
      </x:c>
      <x:c r="G148" s="10" t="s">
        <x:v>64</x:v>
      </x:c>
      <x:c r="H148" s="10" t="s">
        <x:v>64</x:v>
      </x:c>
      <x:c r="I148" s="10"/>
      <x:c r="J148" s="10"/>
      <x:c r="K148" s="10" t="s">
        <x:v>203</x:v>
      </x:c>
      <x:c r="L148" s="10" t="s">
        <x:v>217</x:v>
      </x:c>
      <x:c r="M148" s="10">
        <x:f t="shared" si="2"/>
        <x:v>1</x:v>
      </x:c>
    </x:row>
    <x:row r="149" ht="16.950000762939453" customHeight="1">
      <x:c r="A149" s="10">
        <x:v>148</x:v>
      </x:c>
      <x:c r="B149" s="10" t="s">
        <x:v>29</x:v>
      </x:c>
      <x:c r="C149" s="10" t="s">
        <x:v>201</x:v>
      </x:c>
      <x:c r="D149" s="10" t="s">
        <x:v>84</x:v>
      </x:c>
      <x:c r="E149" s="10" t="s">
        <x:v>218</x:v>
      </x:c>
      <x:c r="F149" s="10" t="s">
        <x:v>9</x:v>
      </x:c>
      <x:c r="G149" s="10" t="s">
        <x:v>52</x:v>
      </x:c>
      <x:c r="H149" s="10" t="s">
        <x:v>52</x:v>
      </x:c>
      <x:c r="I149" s="10"/>
      <x:c r="J149" s="10"/>
      <x:c r="K149" s="10" t="s">
        <x:v>203</x:v>
      </x:c>
      <x:c r="L149" s="10" t="s">
        <x:v>219</x:v>
      </x:c>
      <x:c r="M149" s="10">
        <x:f t="shared" si="2"/>
        <x:v>1</x:v>
      </x:c>
    </x:row>
    <x:row r="150" ht="52.79999923706055" customHeight="1">
      <x:c r="A150" s="10">
        <x:v>149</x:v>
      </x:c>
      <x:c r="B150" s="10" t="s">
        <x:v>29</x:v>
      </x:c>
      <x:c r="C150" s="10" t="s">
        <x:v>220</x:v>
      </x:c>
      <x:c r="D150" s="10" t="s">
        <x:v>62</x:v>
      </x:c>
      <x:c r="E150" s="10" t="s">
        <x:v>221</x:v>
      </x:c>
      <x:c r="F150" s="10" t="s">
        <x:v>9</x:v>
      </x:c>
      <x:c r="G150" s="10" t="s">
        <x:v>52</x:v>
      </x:c>
      <x:c r="H150" s="10" t="s">
        <x:v>52</x:v>
      </x:c>
      <x:c r="I150" s="10"/>
      <x:c r="J150" s="10"/>
      <x:c r="K150" s="10" t="s">
        <x:v>222</x:v>
      </x:c>
      <x:c r="L150" s="10" t="s">
        <x:v>223</x:v>
      </x:c>
      <x:c r="M150" s="10">
        <x:f t="shared" si="2"/>
        <x:v>1</x:v>
      </x:c>
    </x:row>
    <x:row r="151" ht="95.0999984741211" customHeight="1">
      <x:c r="A151" s="10">
        <x:v>150</x:v>
      </x:c>
      <x:c r="B151" s="10" t="s">
        <x:v>29</x:v>
      </x:c>
      <x:c r="C151" s="10" t="s">
        <x:v>220</x:v>
      </x:c>
      <x:c r="D151" s="10" t="s">
        <x:v>62</x:v>
      </x:c>
      <x:c r="E151" s="10" t="s">
        <x:v>224</x:v>
      </x:c>
      <x:c r="F151" s="10" t="s">
        <x:v>9</x:v>
      </x:c>
      <x:c r="G151" s="10" t="s">
        <x:v>52</x:v>
      </x:c>
      <x:c r="H151" s="10" t="s">
        <x:v>52</x:v>
      </x:c>
      <x:c r="I151" s="10"/>
      <x:c r="J151" s="10"/>
      <x:c r="K151" s="10" t="s">
        <x:v>225</x:v>
      </x:c>
      <x:c r="L151" s="10" t="s">
        <x:v>226</x:v>
      </x:c>
      <x:c r="M151" s="10">
        <x:f t="shared" si="2"/>
        <x:v>1</x:v>
      </x:c>
    </x:row>
    <x:row r="152" ht="63.29999923706055" customHeight="1">
      <x:c r="A152" s="10">
        <x:v>151</x:v>
      </x:c>
      <x:c r="B152" s="10" t="s">
        <x:v>29</x:v>
      </x:c>
      <x:c r="C152" s="10" t="s">
        <x:v>220</x:v>
      </x:c>
      <x:c r="D152" s="10" t="s">
        <x:v>62</x:v>
      </x:c>
      <x:c r="E152" s="10" t="s">
        <x:v>227</x:v>
      </x:c>
      <x:c r="F152" s="10" t="s">
        <x:v>9</x:v>
      </x:c>
      <x:c r="G152" s="10" t="s">
        <x:v>52</x:v>
      </x:c>
      <x:c r="H152" s="10" t="s">
        <x:v>64</x:v>
      </x:c>
      <x:c r="I152" s="10"/>
      <x:c r="J152" s="10"/>
      <x:c r="K152" s="10" t="s">
        <x:v>228</x:v>
      </x:c>
      <x:c r="L152" s="10" t="s">
        <x:v>229</x:v>
      </x:c>
      <x:c r="M152" s="10">
        <x:f t="shared" si="2"/>
        <x:v>1</x:v>
      </x:c>
    </x:row>
    <x:row r="153" ht="63.29999923706055" customHeight="1">
      <x:c r="A153" s="10">
        <x:v>152</x:v>
      </x:c>
      <x:c r="B153" s="10" t="s">
        <x:v>29</x:v>
      </x:c>
      <x:c r="C153" s="10" t="s">
        <x:v>220</x:v>
      </x:c>
      <x:c r="D153" s="10" t="s">
        <x:v>62</x:v>
      </x:c>
      <x:c r="E153" s="10" t="s">
        <x:v>230</x:v>
      </x:c>
      <x:c r="F153" s="10" t="s">
        <x:v>9</x:v>
      </x:c>
      <x:c r="G153" s="10" t="s">
        <x:v>52</x:v>
      </x:c>
      <x:c r="H153" s="10" t="s">
        <x:v>64</x:v>
      </x:c>
      <x:c r="I153" s="10"/>
      <x:c r="J153" s="10"/>
      <x:c r="K153" s="10" t="s">
        <x:v>231</x:v>
      </x:c>
      <x:c r="L153" s="10" t="s">
        <x:v>232</x:v>
      </x:c>
      <x:c r="M153" s="10">
        <x:f t="shared" si="2"/>
        <x:v>1</x:v>
      </x:c>
    </x:row>
    <x:row r="154" ht="158.39999389648438" customHeight="1">
      <x:c r="A154" s="10">
        <x:v>153</x:v>
      </x:c>
      <x:c r="B154" s="10" t="s">
        <x:v>29</x:v>
      </x:c>
      <x:c r="C154" s="10" t="s">
        <x:v>220</x:v>
      </x:c>
      <x:c r="D154" s="10" t="s">
        <x:v>62</x:v>
      </x:c>
      <x:c r="E154" s="10" t="s">
        <x:v>233</x:v>
      </x:c>
      <x:c r="F154" s="10" t="s">
        <x:v>9</x:v>
      </x:c>
      <x:c r="G154" s="10" t="s">
        <x:v>52</x:v>
      </x:c>
      <x:c r="H154" s="10" t="s">
        <x:v>52</x:v>
      </x:c>
      <x:c r="I154" s="10"/>
      <x:c r="J154" s="10"/>
      <x:c r="K154" s="10" t="s">
        <x:v>234</x:v>
      </x:c>
      <x:c r="L154" s="10" t="s">
        <x:v>235</x:v>
      </x:c>
      <x:c r="M154" s="10">
        <x:f t="shared" si="2"/>
        <x:v>1</x:v>
      </x:c>
    </x:row>
    <x:row r="155" ht="95.0999984741211" customHeight="1">
      <x:c r="A155" s="10">
        <x:v>154</x:v>
      </x:c>
      <x:c r="B155" s="10" t="s">
        <x:v>29</x:v>
      </x:c>
      <x:c r="C155" s="10" t="s">
        <x:v>220</x:v>
      </x:c>
      <x:c r="D155" s="10" t="s">
        <x:v>62</x:v>
      </x:c>
      <x:c r="E155" s="10" t="s">
        <x:v>236</x:v>
      </x:c>
      <x:c r="F155" s="10" t="s">
        <x:v>9</x:v>
      </x:c>
      <x:c r="G155" s="10" t="s">
        <x:v>52</x:v>
      </x:c>
      <x:c r="H155" s="10" t="s">
        <x:v>52</x:v>
      </x:c>
      <x:c r="I155" s="10"/>
      <x:c r="J155" s="10"/>
      <x:c r="K155" s="10" t="s">
        <x:v>237</x:v>
      </x:c>
      <x:c r="L155" s="10" t="s">
        <x:v>238</x:v>
      </x:c>
      <x:c r="M155" s="10">
        <x:f t="shared" si="2"/>
        <x:v>1</x:v>
      </x:c>
    </x:row>
    <x:row r="156" ht="95.0999984741211" customHeight="1">
      <x:c r="A156" s="10">
        <x:v>155</x:v>
      </x:c>
      <x:c r="B156" s="10" t="s">
        <x:v>29</x:v>
      </x:c>
      <x:c r="C156" s="10" t="s">
        <x:v>220</x:v>
      </x:c>
      <x:c r="D156" s="10" t="s">
        <x:v>84</x:v>
      </x:c>
      <x:c r="E156" s="10" t="s">
        <x:v>239</x:v>
      </x:c>
      <x:c r="F156" s="10" t="s">
        <x:v>9</x:v>
      </x:c>
      <x:c r="G156" s="10" t="s">
        <x:v>52</x:v>
      </x:c>
      <x:c r="H156" s="10" t="s">
        <x:v>52</x:v>
      </x:c>
      <x:c r="I156" s="10"/>
      <x:c r="J156" s="10"/>
      <x:c r="K156" s="10" t="s">
        <x:v>240</x:v>
      </x:c>
      <x:c r="L156" s="10" t="s">
        <x:v>241</x:v>
      </x:c>
      <x:c r="M156" s="10">
        <x:f t="shared" si="2"/>
        <x:v>1</x:v>
      </x:c>
    </x:row>
    <x:row r="157" ht="190.0500030517578" customHeight="1">
      <x:c r="A157" s="10">
        <x:v>156</x:v>
      </x:c>
      <x:c r="B157" s="10" t="s">
        <x:v>29</x:v>
      </x:c>
      <x:c r="C157" s="10" t="s">
        <x:v>220</x:v>
      </x:c>
      <x:c r="D157" s="10" t="s">
        <x:v>78</x:v>
      </x:c>
      <x:c r="E157" s="10" t="s">
        <x:v>242</x:v>
      </x:c>
      <x:c r="F157" s="10" t="s">
        <x:v>9</x:v>
      </x:c>
      <x:c r="G157" s="10" t="s">
        <x:v>64</x:v>
      </x:c>
      <x:c r="H157" s="10" t="s">
        <x:v>64</x:v>
      </x:c>
      <x:c r="I157" s="10"/>
      <x:c r="J157" s="10"/>
      <x:c r="K157" s="10" t="s">
        <x:v>243</x:v>
      </x:c>
      <x:c r="L157" s="10" t="s">
        <x:v>244</x:v>
      </x:c>
      <x:c r="M157" s="10">
        <x:f t="shared" si="2"/>
        <x:v>1</x:v>
      </x:c>
    </x:row>
    <x:row r="158" ht="52.79999923706055" customHeight="1">
      <x:c r="A158" s="10">
        <x:v>157</x:v>
      </x:c>
      <x:c r="B158" s="10" t="s">
        <x:v>29</x:v>
      </x:c>
      <x:c r="C158" s="10" t="s">
        <x:v>245</x:v>
      </x:c>
      <x:c r="D158" s="10" t="s">
        <x:v>62</x:v>
      </x:c>
      <x:c r="E158" s="10" t="s">
        <x:v>246</x:v>
      </x:c>
      <x:c r="F158" s="10" t="str">
        <x:v>Hoàn thành</x:v>
      </x:c>
      <x:c r="G158" s="10" t="s">
        <x:v>52</x:v>
      </x:c>
      <x:c r="H158" s="10" t="s">
        <x:v>52</x:v>
      </x:c>
      <x:c r="I158" s="10"/>
      <x:c r="J158" s="10"/>
      <x:c r="K158" s="10" t="str">
        <x:v>CLOSED / PASS; full conversion implementation completed; protocol version=1.0.0; final JPEG quality=95; guardrail tests PASS; no training.</x:v>
      </x:c>
      <x:c r="L158" s="10" t="str">
        <x:v>scripts/02D1B_full_dicom_to_jpg.py
tests/test_phase2D1B_full_guardrails.py
reports/phase2D1B_full_preflight.json
reports/phase2D1B_full_preflight.md</x:v>
      </x:c>
      <x:c r="M158" s="10" t="n">
        <x:f t="shared" si="2"/>
        <x:v>1</x:v>
      </x:c>
    </x:row>
    <x:row r="159" ht="42.150001525878906" customHeight="1">
      <x:c r="A159" s="10">
        <x:v>158</x:v>
      </x:c>
      <x:c r="B159" s="10" t="s">
        <x:v>29</x:v>
      </x:c>
      <x:c r="C159" s="10" t="s">
        <x:v>245</x:v>
      </x:c>
      <x:c r="D159" s="10" t="s">
        <x:v>84</x:v>
      </x:c>
      <x:c r="E159" s="10" t="s">
        <x:v>247</x:v>
      </x:c>
      <x:c r="F159" s="10" t="str">
        <x:v>Hoàn thành</x:v>
      </x:c>
      <x:c r="G159" s="10" t="s">
        <x:v>52</x:v>
      </x:c>
      <x:c r="H159" s="10" t="s">
        <x:v>52</x:v>
      </x:c>
      <x:c r="I159" s="10"/>
      <x:c r="J159" s="10"/>
      <x:c r="K159" s="10" t="str">
        <x:v>CLOSED / PASS; processed=4,894/4,894; output JPG=4,894; missing=0; duplicate image_id=0; decode errors=0; uniform JPEG quality=95.</x:v>
      </x:c>
      <x:c r="L159" s="10" t="str">
        <x:v>reports/phase2D1B_full_validation.json
reports/phase2D1B_full_validation.md
reports/phase2D1B_full_errors.csv</x:v>
      </x:c>
      <x:c r="M159" s="10" t="n">
        <x:f t="shared" si="2"/>
        <x:v>1</x:v>
      </x:c>
    </x:row>
    <x:row r="160" ht="52.79999923706055" customHeight="1">
      <x:c r="A160" s="10">
        <x:v>159</x:v>
      </x:c>
      <x:c r="B160" s="10" t="s">
        <x:v>29</x:v>
      </x:c>
      <x:c r="C160" s="10" t="s">
        <x:v>245</x:v>
      </x:c>
      <x:c r="D160" s="10" t="s">
        <x:v>84</x:v>
      </x:c>
      <x:c r="E160" s="10" t="s">
        <x:v>248</x:v>
      </x:c>
      <x:c r="F160" s="10" t="str">
        <x:v>Hoàn thành</x:v>
      </x:c>
      <x:c r="G160" s="10" t="s">
        <x:v>52</x:v>
      </x:c>
      <x:c r="H160" s="10" t="s">
        <x:v>52</x:v>
      </x:c>
      <x:c r="I160" s="10"/>
      <x:c r="J160" s="10"/>
      <x:c r="K160" s="10" t="str">
        <x:v>CLOSED / PASS; width/height mismatches=0; orientation changes=0; resize=0; crop=0; rotation=0; flip=0; transpose=0.</x:v>
      </x:c>
      <x:c r="L160" s="10" t="str">
        <x:v>reports/phase2D1B_full_metadata_audit.csv
reports/phase2D1B_full_validation.json</x:v>
      </x:c>
      <x:c r="M160" s="10" t="n">
        <x:f t="shared" si="2"/>
        <x:v>1</x:v>
      </x:c>
    </x:row>
    <x:row r="161" ht="52.79999923706055" customHeight="1">
      <x:c r="A161" s="10">
        <x:v>160</x:v>
      </x:c>
      <x:c r="B161" s="10" t="s">
        <x:v>29</x:v>
      </x:c>
      <x:c r="C161" s="10" t="s">
        <x:v>245</x:v>
      </x:c>
      <x:c r="D161" s="10" t="s">
        <x:v>84</x:v>
      </x:c>
      <x:c r="E161" s="10" t="s">
        <x:v>249</x:v>
      </x:c>
      <x:c r="F161" s="10" t="str">
        <x:v>Hoàn thành</x:v>
      </x:c>
      <x:c r="G161" s="10" t="s">
        <x:v>52</x:v>
      </x:c>
      <x:c r="H161" s="10" t="s">
        <x:v>52</x:v>
      </x:c>
      <x:c r="I161" s="10"/>
      <x:c r="J161" s="10"/>
      <x:c r="K161" s="10" t="str">
        <x:v>CLOSED / PASS; bbox_scaling_required=false; bbox coordinates preserved; invalid/out-of-bound bbox=0; no clamp, scale, delete or fuse operation.</x:v>
      </x:c>
      <x:c r="L161" s="10" t="str">
        <x:v>reports/phase2D1B_full_bbox_audit.csv
reports/phase2D1B_full_validation.json</x:v>
      </x:c>
      <x:c r="M161" s="10" t="n">
        <x:f t="shared" si="2"/>
        <x:v>1</x:v>
      </x:c>
    </x:row>
    <x:row r="162" ht="52.79999923706055" customHeight="1">
      <x:c r="A162" s="10">
        <x:v>161</x:v>
      </x:c>
      <x:c r="B162" s="10" t="s">
        <x:v>29</x:v>
      </x:c>
      <x:c r="C162" s="10" t="s">
        <x:v>245</x:v>
      </x:c>
      <x:c r="D162" s="10" t="s">
        <x:v>78</x:v>
      </x:c>
      <x:c r="E162" s="10" t="s">
        <x:v>250</x:v>
      </x:c>
      <x:c r="F162" s="10" t="str">
        <x:v>Hoàn thành</x:v>
      </x:c>
      <x:c r="G162" s="10" t="s">
        <x:v>52</x:v>
      </x:c>
      <x:c r="H162" s="10" t="s">
        <x:v>52</x:v>
      </x:c>
      <x:c r="I162" s="10"/>
      <x:c r="J162" s="10"/>
      <x:c r="K162" s="10" t="str">
        <x:v>CLOSED / PASS; coco_master_jpg.json created as validated path-only JPG derivative; coco_master.json remains the official annotation master.</x:v>
      </x:c>
      <x:c r="L162" s="10" t="str">
        <x:v>data/processed/coco/coco_master_jpg.json
reports/phase2D1B_full_validation.json</x:v>
      </x:c>
      <x:c r="M162" s="10" t="n">
        <x:f t="shared" si="2"/>
        <x:v>1</x:v>
      </x:c>
    </x:row>
    <x:row r="163" ht="42.150001525878906" customHeight="1">
      <x:c r="A163" s="10">
        <x:v>162</x:v>
      </x:c>
      <x:c r="B163" s="10" t="s">
        <x:v>29</x:v>
      </x:c>
      <x:c r="C163" s="10" t="s">
        <x:v>245</x:v>
      </x:c>
      <x:c r="D163" s="10" t="s">
        <x:v>84</x:v>
      </x:c>
      <x:c r="E163" s="10" t="s">
        <x:v>251</x:v>
      </x:c>
      <x:c r="F163" s="10" t="str">
        <x:v>Hoàn thành</x:v>
      </x:c>
      <x:c r="G163" s="10" t="s">
        <x:v>52</x:v>
      </x:c>
      <x:c r="H163" s="10" t="s">
        <x:v>52</x:v>
      </x:c>
      <x:c r="I163" s="10"/>
      <x:c r="J163" s="10"/>
      <x:c r="K163" s="10" t="str">
        <x:v>CLOSED / PASS; COCO-JPG images=4,894; annotations=36,096; categories=14; missing JPG references=0.</x:v>
      </x:c>
      <x:c r="L163" s="10" t="str">
        <x:v>data/processed/coco/coco_master_jpg.json
reports/phase2D1B_full_validation.json</x:v>
      </x:c>
      <x:c r="M163" s="10" t="n">
        <x:f t="shared" si="2"/>
        <x:v>1</x:v>
      </x:c>
    </x:row>
    <x:row r="164" ht="42.150001525878906" customHeight="1">
      <x:c r="A164" s="10">
        <x:v>163</x:v>
      </x:c>
      <x:c r="B164" s="10" t="s">
        <x:v>29</x:v>
      </x:c>
      <x:c r="C164" s="10" t="s">
        <x:v>245</x:v>
      </x:c>
      <x:c r="D164" s="10" t="s">
        <x:v>84</x:v>
      </x:c>
      <x:c r="E164" s="10" t="s">
        <x:v>252</x:v>
      </x:c>
      <x:c r="F164" s="10" t="str">
        <x:v>Hoàn thành</x:v>
      </x:c>
      <x:c r="G164" s="10" t="s">
        <x:v>52</x:v>
      </x:c>
      <x:c r="H164" s="10" t="s">
        <x:v>52</x:v>
      </x:c>
      <x:c r="I164" s="10"/>
      <x:c r="J164" s="10"/>
      <x:c r="K164" s="10" t="str">
        <x:v>CLOSED / PASS; abnormal images=4,394; No Finding images=500; No Finding annotations=0; No Finding category absent.</x:v>
      </x:c>
      <x:c r="L164" s="10" t="str">
        <x:v>reports/phase2D1B_full_no_finding_audit.csv
reports/phase2D1B_full_validation.json</x:v>
      </x:c>
      <x:c r="M164" s="10" t="n">
        <x:f t="shared" si="2"/>
        <x:v>1</x:v>
      </x:c>
    </x:row>
    <x:row r="165" ht="42.150001525878906" customHeight="1">
      <x:c r="A165" s="10">
        <x:v>164</x:v>
      </x:c>
      <x:c r="B165" s="10" t="s">
        <x:v>29</x:v>
      </x:c>
      <x:c r="C165" s="10" t="s">
        <x:v>245</x:v>
      </x:c>
      <x:c r="D165" s="10" t="s">
        <x:v>84</x:v>
      </x:c>
      <x:c r="E165" s="10" t="s">
        <x:v>253</x:v>
      </x:c>
      <x:c r="F165" s="10" t="str">
        <x:v>Hoàn thành</x:v>
      </x:c>
      <x:c r="G165" s="10" t="s">
        <x:v>52</x:v>
      </x:c>
      <x:c r="H165" s="10" t="s">
        <x:v>52</x:v>
      </x:c>
      <x:c r="I165" s="10"/>
      <x:c r="J165" s="10"/>
      <x:c r="K165" s="10" t="str">
        <x:v>CLOSED / PASS; bbox, area, category, annotation ID and traceability mismatches=0; geometry and category mapping validation PASS.</x:v>
      </x:c>
      <x:c r="L165" s="10" t="str">
        <x:v>reports/phase2D1B_full_bbox_audit.csv
reports/phase2D1B_full_mapping.csv
reports/phase2D1B_full_validation.json</x:v>
      </x:c>
      <x:c r="M165" s="10" t="n">
        <x:f t="shared" si="2"/>
        <x:v>1</x:v>
      </x:c>
    </x:row>
    <x:row r="166" ht="52.79999923706055" customHeight="1">
      <x:c r="A166" s="10">
        <x:v>165</x:v>
      </x:c>
      <x:c r="B166" s="10" t="s">
        <x:v>29</x:v>
      </x:c>
      <x:c r="C166" s="10" t="s">
        <x:v>245</x:v>
      </x:c>
      <x:c r="D166" s="10" t="s">
        <x:v>78</x:v>
      </x:c>
      <x:c r="E166" s="10" t="s">
        <x:v>254</x:v>
      </x:c>
      <x:c r="F166" s="10" t="str">
        <x:v>Hoàn thành</x:v>
      </x:c>
      <x:c r="G166" s="10" t="s">
        <x:v>64</x:v>
      </x:c>
      <x:c r="H166" s="10" t="s">
        <x:v>64</x:v>
      </x:c>
      <x:c r="I166" s="10"/>
      <x:c r="J166" s="10"/>
      <x:c r="K166" s="10" t="str">
        <x:v>CLOSED / PASS; full DICOM-to-JPG traceability mapping created for all 4,894 images; missing mappings=0; duplicate image IDs=0.</x:v>
      </x:c>
      <x:c r="L166" s="10" t="str">
        <x:v>reports/phase2D1B_full_mapping.csv
reports/phase2D1B_full_mapping.jsonl</x:v>
      </x:c>
      <x:c r="M166" s="10" t="n">
        <x:f t="shared" si="2"/>
        <x:v>1</x:v>
      </x:c>
    </x:row>
    <x:row r="167" ht="84.44999694824219" customHeight="1">
      <x:c r="A167" s="10">
        <x:v>166</x:v>
      </x:c>
      <x:c r="B167" s="10" t="s">
        <x:v>29</x:v>
      </x:c>
      <x:c r="C167" s="10" t="s">
        <x:v>245</x:v>
      </x:c>
      <x:c r="D167" s="10" t="s">
        <x:v>78</x:v>
      </x:c>
      <x:c r="E167" s="10" t="s">
        <x:v>255</x:v>
      </x:c>
      <x:c r="F167" s="10" t="str">
        <x:v>Hoàn thành</x:v>
      </x:c>
      <x:c r="G167" s="10" t="s">
        <x:v>64</x:v>
      </x:c>
      <x:c r="H167" s="10" t="s">
        <x:v>64</x:v>
      </x:c>
      <x:c r="I167" s="10"/>
      <x:c r="J167" s="10"/>
      <x:c r="K167" s="10" t="str">
        <x:v>CLOSED / PASS; full metadata, bbox, No Finding and conversion-error audits created; conversion errors=0.</x:v>
      </x:c>
      <x:c r="L167" s="10" t="str">
        <x:v>reports/phase2D1B_full_metadata_audit.csv
reports/phase2D1B_full_bbox_audit.csv
reports/phase2D1B_full_no_finding_audit.csv
reports/phase2D1B_full_errors.csv</x:v>
      </x:c>
      <x:c r="M167" s="10" t="n">
        <x:f t="shared" si="2"/>
        <x:v>1</x:v>
      </x:c>
    </x:row>
    <x:row r="168" ht="52.79999923706055" customHeight="1">
      <x:c r="A168" s="10">
        <x:v>167</x:v>
      </x:c>
      <x:c r="B168" s="10" t="s">
        <x:v>29</x:v>
      </x:c>
      <x:c r="C168" s="10" t="s">
        <x:v>245</x:v>
      </x:c>
      <x:c r="D168" s="10" t="s">
        <x:v>78</x:v>
      </x:c>
      <x:c r="E168" s="10" t="s">
        <x:v>256</x:v>
      </x:c>
      <x:c r="F168" s="10" t="str">
        <x:v>Hoàn thành</x:v>
      </x:c>
      <x:c r="G168" s="10" t="s">
        <x:v>64</x:v>
      </x:c>
      <x:c r="H168" s="10" t="s">
        <x:v>64</x:v>
      </x:c>
      <x:c r="I168" s="10"/>
      <x:c r="J168" s="10"/>
      <x:c r="K168" s="10" t="str">
        <x:v>CLOSED / PASS; full preflight, validation, promotion, cleanup and final-output-integrity evidence created.</x:v>
      </x:c>
      <x:c r="L168" s="10" t="str">
        <x:v>reports/phase2D1B_full_preflight.json
reports/phase2D1B_full_preflight.md
reports/phase2D1B_full_validation.json
reports/phase2D1B_full_validation.md
reports/phase2D1B_full_promotion.json
reports/phase2D1B_full_cleanup_audit.json</x:v>
      </x:c>
      <x:c r="M168" s="10" t="n">
        <x:f t="shared" si="2"/>
        <x:v>1</x:v>
      </x:c>
    </x:row>
    <x:row r="169" ht="171.60000610351562" hidden="0" customHeight="1">
      <x:c r="A169" s="10">
        <x:v>168</x:v>
      </x:c>
      <x:c r="B169" s="10" t="s">
        <x:v>29</x:v>
      </x:c>
      <x:c r="C169" s="10" t="s">
        <x:v>245</x:v>
      </x:c>
      <x:c r="D169" s="10" t="s">
        <x:v>84</x:v>
      </x:c>
      <x:c r="E169" s="10" t="s">
        <x:v>257</x:v>
      </x:c>
      <x:c r="F169" s="10" t="str">
        <x:v>Hoàn thành</x:v>
      </x:c>
      <x:c r="G169" s="10" t="s">
        <x:v>52</x:v>
      </x:c>
      <x:c r="H169" s="10" t="s">
        <x:v>52</x:v>
      </x:c>
      <x:c r="I169" s="10"/>
      <x:c r="J169" s="10"/>
      <x:c r="K169" s="10" t="str">
        <x:v>CLOSED / PASS at Phase 2D.1B-Full closure; JPG representation and COCO-JPG derivative ready. At that historical point MMDetection loading, empty-image retention and dataset training readiness were unresolved. Resolution update (2026-07-30): Phase 2D.1C full pipeline audit CLOSED / PASS; dataset_training_ready=true; training_authorized=false.</x:v>
      </x:c>
      <x:c r="L169" s="10" t="str">
        <x:v>reports/phase2D1B_full_validation.md
reports/phase2D1B_full_promotion.json
reports/phase2D1B_full_cleanup_audit.json</x:v>
      </x:c>
      <x:c r="M169" s="10" t="n">
        <x:f t="shared" si="2"/>
        <x:v>1</x:v>
      </x:c>
    </x:row>
    <x:row r="170" ht="92.4000015258789" hidden="0" customHeight="1">
      <x:c r="A170" s="10">
        <x:v>169</x:v>
      </x:c>
      <x:c r="B170" s="10" t="s">
        <x:v>29</x:v>
      </x:c>
      <x:c r="C170" s="10" t="s">
        <x:v>258</x:v>
      </x:c>
      <x:c r="D170" s="10" t="s">
        <x:v>62</x:v>
      </x:c>
      <x:c r="E170" s="10" t="s">
        <x:v>259</x:v>
      </x:c>
      <x:c r="F170" s="10" t="str">
        <x:v>Hoàn thành</x:v>
      </x:c>
      <x:c r="G170" s="10" t="s">
        <x:v>52</x:v>
      </x:c>
      <x:c r="H170" s="10" t="s">
        <x:v>52</x:v>
      </x:c>
      <x:c r="I170" s="10"/>
      <x:c r="J170" s="10"/>
      <x:c r="K170" s="10" t="str">
        <x:v>CLOSED / PASS; pinned Colab MMDetection 3.3.0 environment initialized successfully. Runtime/dependency evidence is recorded in the loading report; this phase performs validation only, not training.</x:v>
      </x:c>
      <x:c r="L170" s="10" t="str">
        <x:v>reports/phase2D1C_mmdet_dataset_loading_report.json
reports/phase2D1C_mmdet_dataset_loading_report.md</x:v>
      </x:c>
      <x:c r="M170" s="10" t="n">
        <x:f t="shared" si="2"/>
        <x:v>1</x:v>
      </x:c>
    </x:row>
    <x:row r="171" ht="66" hidden="0" customHeight="1">
      <x:c r="A171" s="10">
        <x:v>170</x:v>
      </x:c>
      <x:c r="B171" s="10" t="s">
        <x:v>29</x:v>
      </x:c>
      <x:c r="C171" s="10" t="s">
        <x:v>258</x:v>
      </x:c>
      <x:c r="D171" s="10" t="s">
        <x:v>84</x:v>
      </x:c>
      <x:c r="E171" s="10" t="s">
        <x:v>260</x:v>
      </x:c>
      <x:c r="F171" s="10" t="str">
        <x:v>Hoàn thành</x:v>
      </x:c>
      <x:c r="G171" s="10" t="s">
        <x:v>52</x:v>
      </x:c>
      <x:c r="H171" s="10" t="s">
        <x:v>52</x:v>
      </x:c>
      <x:c r="I171" s="10"/>
      <x:c r="J171" s="10"/>
      <x:c r="K171" s="10" t="str">
        <x:v>CLOSED / PASS; MMDetection import, COCO-JPG parsing and dataset construction succeeded; full audit completed with errors=0.</x:v>
      </x:c>
      <x:c r="L171" s="10" t="str">
        <x:v>reports/phase2D1C_mmdet_dataset_loading_report.json
reports/phase2D1C_mmdet_dataset_loading_report.md</x:v>
      </x:c>
      <x:c r="M171" s="10" t="n">
        <x:f t="shared" si="2"/>
        <x:v>1</x:v>
      </x:c>
    </x:row>
    <x:row r="172" ht="52.79999923706055" hidden="0" customHeight="1">
      <x:c r="A172" s="10">
        <x:v>171</x:v>
      </x:c>
      <x:c r="B172" s="10" t="s">
        <x:v>29</x:v>
      </x:c>
      <x:c r="C172" s="10" t="s">
        <x:v>258</x:v>
      </x:c>
      <x:c r="D172" s="10" t="s">
        <x:v>84</x:v>
      </x:c>
      <x:c r="E172" s="10" t="s">
        <x:v>261</x:v>
      </x:c>
      <x:c r="F172" s="10" t="str">
        <x:v>Hoàn thành</x:v>
      </x:c>
      <x:c r="G172" s="10" t="s">
        <x:v>52</x:v>
      </x:c>
      <x:c r="H172" s="10" t="s">
        <x:v>52</x:v>
      </x:c>
      <x:c r="I172" s="10"/>
      <x:c r="J172" s="10"/>
      <x:c r="K172" s="10" t="str">
        <x:v>CLOSED / PASS; dataset.full_init() succeeded and filter_empty_gt=False retained len(dataset)=4,894.</x:v>
      </x:c>
      <x:c r="L172" s="10" t="str">
        <x:v>reports/phase2D1C_mmdet_dataset_loading_report.json
reports/phase2D1C_mmdet_dataset_image_audit.csv</x:v>
      </x:c>
      <x:c r="M172" s="10" t="n">
        <x:f t="shared" si="2"/>
        <x:v>1</x:v>
      </x:c>
    </x:row>
    <x:row r="173" ht="52.79999923706055" hidden="0" customHeight="1">
      <x:c r="A173" s="10">
        <x:v>172</x:v>
      </x:c>
      <x:c r="B173" s="10" t="s">
        <x:v>29</x:v>
      </x:c>
      <x:c r="C173" s="10" t="s">
        <x:v>258</x:v>
      </x:c>
      <x:c r="D173" s="10" t="s">
        <x:v>84</x:v>
      </x:c>
      <x:c r="E173" s="10" t="s">
        <x:v>262</x:v>
      </x:c>
      <x:c r="F173" s="10" t="str">
        <x:v>Hoàn thành</x:v>
      </x:c>
      <x:c r="G173" s="10" t="s">
        <x:v>52</x:v>
      </x:c>
      <x:c r="H173" s="10" t="s">
        <x:v>52</x:v>
      </x:c>
      <x:c r="I173" s="10"/>
      <x:c r="J173" s="10"/>
      <x:c r="K173" s="10" t="str">
        <x:v>CLOSED / PASS; retained abnormal images=4,394/4,394 and No Finding zero-GT images=500/500.</x:v>
      </x:c>
      <x:c r="L173" s="10" t="str">
        <x:v>reports/phase2D1C_mmdet_dataset_image_audit.csv
reports/phase2D1C_mmdet_dataset_loading_report.json</x:v>
      </x:c>
      <x:c r="M173" s="10" t="n">
        <x:f t="shared" si="2"/>
        <x:v>1</x:v>
      </x:c>
    </x:row>
    <x:row r="174" ht="52.79999923706055" hidden="0" customHeight="1">
      <x:c r="A174" s="10">
        <x:v>173</x:v>
      </x:c>
      <x:c r="B174" s="10" t="s">
        <x:v>29</x:v>
      </x:c>
      <x:c r="C174" s="10" t="s">
        <x:v>258</x:v>
      </x:c>
      <x:c r="D174" s="10" t="s">
        <x:v>84</x:v>
      </x:c>
      <x:c r="E174" s="10" t="s">
        <x:v>263</x:v>
      </x:c>
      <x:c r="F174" s="10" t="str">
        <x:v>Hoàn thành</x:v>
      </x:c>
      <x:c r="G174" s="10" t="s">
        <x:v>52</x:v>
      </x:c>
      <x:c r="H174" s="10" t="s">
        <x:v>52</x:v>
      </x:c>
      <x:c r="I174" s="10"/>
      <x:c r="J174" s="10"/>
      <x:c r="K174" s="10" t="str">
        <x:v>CLOSED / PASS; empty-GT samples=500; unexpected empty abnormal=0; annotated No Finding=0; errors=0.</x:v>
      </x:c>
      <x:c r="L174" s="10" t="str">
        <x:v>reports/phase2D1C_mmdet_dataset_image_audit.csv
reports/phase2D1C_mmdet_dataset_errors.csv</x:v>
      </x:c>
      <x:c r="M174" s="10" t="n">
        <x:f t="shared" si="2"/>
        <x:v>1</x:v>
      </x:c>
    </x:row>
    <x:row r="175" ht="66" hidden="0" customHeight="1">
      <x:c r="A175" s="10">
        <x:v>174</x:v>
      </x:c>
      <x:c r="B175" s="10" t="s">
        <x:v>29</x:v>
      </x:c>
      <x:c r="C175" s="10" t="s">
        <x:v>258</x:v>
      </x:c>
      <x:c r="D175" s="10" t="s">
        <x:v>84</x:v>
      </x:c>
      <x:c r="E175" s="10" t="s">
        <x:v>264</x:v>
      </x:c>
      <x:c r="F175" s="10" t="str">
        <x:v>Hoàn thành</x:v>
      </x:c>
      <x:c r="G175" s="10" t="s">
        <x:v>52</x:v>
      </x:c>
      <x:c r="H175" s="10" t="s">
        <x:v>52</x:v>
      </x:c>
      <x:c r="I175" s="10"/>
      <x:c r="J175" s="10"/>
      <x:c r="K175" s="10" t="str">
        <x:v>CLOSED / PASS; filter_empty_gt=False retained 4,894/4,894. Control check with filter_empty_gt=True excluded exactly the 500 zero-GT images.</x:v>
      </x:c>
      <x:c r="L175" s="10" t="str">
        <x:v>configs/validation/phase2D1C_mmdet_dataset_loading.py
reports/phase2D1C_mmdet_dataset_loading_report.json</x:v>
      </x:c>
      <x:c r="M175" s="10" t="n">
        <x:f t="shared" si="2"/>
        <x:v>1</x:v>
      </x:c>
    </x:row>
    <x:row r="176" ht="66" hidden="0" customHeight="1">
      <x:c r="A176" s="10">
        <x:v>175</x:v>
      </x:c>
      <x:c r="B176" s="10" t="s">
        <x:v>29</x:v>
      </x:c>
      <x:c r="C176" s="10" t="s">
        <x:v>258</x:v>
      </x:c>
      <x:c r="D176" s="10" t="s">
        <x:v>84</x:v>
      </x:c>
      <x:c r="E176" s="10" t="s">
        <x:v>265</x:v>
      </x:c>
      <x:c r="F176" s="10" t="str">
        <x:v>Hoàn thành</x:v>
      </x:c>
      <x:c r="G176" s="10" t="s">
        <x:v>52</x:v>
      </x:c>
      <x:c r="H176" s="10" t="s">
        <x:v>52</x:v>
      </x:c>
      <x:c r="I176" s="10"/>
      <x:c r="J176" s="10"/>
      <x:c r="K176" s="10" t="str">
        <x:v>CLOSED / PASS; abnormal and No Finding samples loaded with valid image tensors, bbox and label structures; full bbox/label audit valid for 4,894/4,894.</x:v>
      </x:c>
      <x:c r="L176" s="10" t="str">
        <x:v>reports/phase2D1C_mmdet_dataset_image_audit.csv
reports/phase2D1C_mmdet_dataset_loading_report.json</x:v>
      </x:c>
      <x:c r="M176" s="10" t="n">
        <x:f t="shared" si="2"/>
        <x:v>1</x:v>
      </x:c>
    </x:row>
    <x:row r="177" ht="66" hidden="0" customHeight="1">
      <x:c r="A177" s="10">
        <x:v>176</x:v>
      </x:c>
      <x:c r="B177" s="10" t="s">
        <x:v>29</x:v>
      </x:c>
      <x:c r="C177" s="10" t="s">
        <x:v>258</x:v>
      </x:c>
      <x:c r="D177" s="10" t="s">
        <x:v>84</x:v>
      </x:c>
      <x:c r="E177" s="10" t="str">
        <x:v>Dataloader smoke test với num_workers=0 PASS cho standard batch và forced empty-GT batch.</x:v>
      </x:c>
      <x:c r="F177" s="10" t="str">
        <x:v>Hoàn thành</x:v>
      </x:c>
      <x:c r="G177" s="10" t="s">
        <x:v>52</x:v>
      </x:c>
      <x:c r="H177" s="10" t="s">
        <x:v>52</x:v>
      </x:c>
      <x:c r="I177" s="10"/>
      <x:c r="J177" s="10"/>
      <x:c r="K177" s="10" t="str">
        <x:v>CLOSED / PASS; dataloader smoke tests used num_workers=0. Standard and forced empty-GT batches passed. Multi-worker loading was not validated in Phase 2D.1C.</x:v>
      </x:c>
      <x:c r="L177" s="10" t="str">
        <x:v>reports/phase2D1C_mmdet_dataset_loading_report.json
reports/phase2D1C_mmdet_dataset_loading_report.md</x:v>
      </x:c>
      <x:c r="M177" s="10" t="n">
        <x:f t="shared" si="2"/>
        <x:v>1</x:v>
      </x:c>
    </x:row>
    <x:row r="178" ht="79.19999694824219" hidden="0" customHeight="1">
      <x:c r="A178" s="10">
        <x:v>177</x:v>
      </x:c>
      <x:c r="B178" s="10" t="s">
        <x:v>29</x:v>
      </x:c>
      <x:c r="C178" s="10" t="s">
        <x:v>258</x:v>
      </x:c>
      <x:c r="D178" s="10" t="s">
        <x:v>78</x:v>
      </x:c>
      <x:c r="E178" s="10" t="s">
        <x:v>266</x:v>
      </x:c>
      <x:c r="F178" s="10" t="str">
        <x:v>Hoàn thành</x:v>
      </x:c>
      <x:c r="G178" s="10" t="s">
        <x:v>64</x:v>
      </x:c>
      <x:c r="H178" s="10" t="s">
        <x:v>64</x:v>
      </x:c>
      <x:c r="I178" s="10"/>
      <x:c r="J178" s="10"/>
      <x:c r="K178" s="10" t="str">
        <x:v>CLOSED / PASS; final validation config, executable audit script and guardrail test suite created. Regression/unit tests: 35 passed.</x:v>
      </x:c>
      <x:c r="L178" s="10" t="str">
        <x:v>configs/validation/phase2D1C_mmdet_dataset_loading.py
scripts/02D1C_validate_mmdet_dataset_loading.py
tests/test_phase2D1C_mmdet_dataset_loading_guardrails.py</x:v>
      </x:c>
      <x:c r="M178" s="10" t="n">
        <x:f t="shared" si="2"/>
        <x:v>1</x:v>
      </x:c>
    </x:row>
    <x:row r="179" ht="105.5999984741211" hidden="0" customHeight="1">
      <x:c r="A179" s="10">
        <x:v>178</x:v>
      </x:c>
      <x:c r="B179" s="10" t="s">
        <x:v>29</x:v>
      </x:c>
      <x:c r="C179" s="10" t="s">
        <x:v>258</x:v>
      </x:c>
      <x:c r="D179" s="10" t="s">
        <x:v>78</x:v>
      </x:c>
      <x:c r="E179" s="10" t="s">
        <x:v>267</x:v>
      </x:c>
      <x:c r="F179" s="10" t="str">
        <x:v>Hoàn thành</x:v>
      </x:c>
      <x:c r="G179" s="10" t="s">
        <x:v>64</x:v>
      </x:c>
      <x:c r="H179" s="10" t="s">
        <x:v>64</x:v>
      </x:c>
      <x:c r="I179" s="10"/>
      <x:c r="J179" s="10"/>
      <x:c r="K179" s="10" t="str">
        <x:v>CLOSED / PASS; full pipeline audit reviewed: 4,894/4,894 images, bbox/label validation PASS, errors=0, 35 tests passed. dataset_training_ready=true; training_authorized=false.</x:v>
      </x:c>
      <x:c r="L179" s="10" t="str">
        <x:v>reports/phase2D1C_mmdet_dataset_errors.csv
reports/phase2D1C_mmdet_dataset_image_audit.csv
reports/phase2D1C_mmdet_dataset_loading_report.json
reports/phase2D1C_mmdet_dataset_loading_report.md</x:v>
      </x:c>
      <x:c r="M179" s="10" t="n">
        <x:f t="shared" si="2"/>
        <x:v>1</x:v>
      </x:c>
    </x:row>
    <x:row r="180" ht="105.5999984741211" hidden="0" customHeight="1">
      <x:c r="A180" s="10">
        <x:v>179</x:v>
      </x:c>
      <x:c r="B180" s="10" t="s">
        <x:v>29</x:v>
      </x:c>
      <x:c r="C180" s="10" t="s">
        <x:v>268</x:v>
      </x:c>
      <x:c r="D180" s="10" t="s">
        <x:v>62</x:v>
      </x:c>
      <x:c r="E180" s="10" t="s">
        <x:v>269</x:v>
      </x:c>
      <x:c r="F180" s="10" t="str">
        <x:v>Hoàn thành</x:v>
      </x:c>
      <x:c r="G180" s="10" t="s">
        <x:v>52</x:v>
      </x:c>
      <x:c r="H180" s="10" t="s">
        <x:v>64</x:v>
      </x:c>
      <x:c r="I180" s="10"/>
      <x:c r="J180" s="10"/>
      <x:c r="K180" s="10" t="str">
        <x:v>COMPLETED; Colab evidence transferred to local project and the four final report SHA-256 hashes rechecked unchanged.</x:v>
      </x:c>
      <x:c r="L180" s="10" t="str">
        <x:v>reports/phase2D1C_mmdet_dataset_errors.csv
reports/phase2D1C_mmdet_dataset_image_audit.csv
reports/phase2D1C_mmdet_dataset_loading_report.json
reports/phase2D1C_mmdet_dataset_loading_report.md</x:v>
      </x:c>
      <x:c r="M180" s="10" t="n">
        <x:f t="shared" si="2"/>
        <x:v>1</x:v>
      </x:c>
    </x:row>
    <x:row r="181" ht="105.5999984741211" hidden="0" customHeight="1">
      <x:c r="A181" s="10">
        <x:v>180</x:v>
      </x:c>
      <x:c r="B181" s="10" t="s">
        <x:v>29</x:v>
      </x:c>
      <x:c r="C181" s="10" t="s">
        <x:v>268</x:v>
      </x:c>
      <x:c r="D181" s="10" t="s">
        <x:v>62</x:v>
      </x:c>
      <x:c r="E181" s="10" t="str">
        <x:v>Cập nhật đồng bộ PROJECT_CONTEXT.md, PHASE_HANDOFF.md, research_log.md, README.md, checklist và protocol YAML theo Phase 2D.1D evidence review.</x:v>
      </x:c>
      <x:c r="F181" s="10" t="str">
        <x:v>Hoàn thành</x:v>
      </x:c>
      <x:c r="G181" s="10" t="s">
        <x:v>52</x:v>
      </x:c>
      <x:c r="H181" s="10" t="s">
        <x:v>64</x:v>
      </x:c>
      <x:c r="I181" s="10"/>
      <x:c r="J181" s="10"/>
      <x:c r="K181" s="10" t="str">
        <x:v>COMPLETED; six project documents/protocol files synchronized. Cross-file documentation consistency review: PASS.</x:v>
      </x:c>
      <x:c r="L181" s="10" t="str">
        <x:v>PHASE_HANDOFF.md
PROJECT_CONTEXT.md
research_log.md
README.md
CHECKLIST_TRIEN_KHAI_FULL.xlsx
configs/protocol/phase2D1_jpg_representation.yaml</x:v>
      </x:c>
      <x:c r="M181" s="10" t="n">
        <x:f t="shared" si="2"/>
        <x:v>1</x:v>
      </x:c>
    </x:row>
    <x:row r="182" ht="79.19999694824219" hidden="0" customHeight="1">
      <x:c r="A182" s="10">
        <x:v>181</x:v>
      </x:c>
      <x:c r="B182" s="10" t="s">
        <x:v>29</x:v>
      </x:c>
      <x:c r="C182" s="10" t="s">
        <x:v>268</x:v>
      </x:c>
      <x:c r="D182" s="10" t="s">
        <x:v>84</x:v>
      </x:c>
      <x:c r="E182" s="10" t="str">
        <x:v>Hoàn tất GPT final review Phase 2D.1; xác nhận readiness flags và giữ training locked.</x:v>
      </x:c>
      <x:c r="F182" s="10" t="str">
        <x:v>Hoàn thành</x:v>
      </x:c>
      <x:c r="G182" s="10" t="s">
        <x:v>52</x:v>
      </x:c>
      <x:c r="H182" s="10" t="s">
        <x:v>52</x:v>
      </x:c>
      <x:c r="I182" s="10"/>
      <x:c r="J182" s="10"/>
      <x:c r="K182" s="10" t="str">
        <x:v>CLOSED / PASS; technical evidence inventory and documentation consistency review completed. Phase 2D.1D and Phase 2D.1 are CLOSED / PASS. dataset_training_ready=true; training_authorized=false.</x:v>
      </x:c>
      <x:c r="L182" s="10" t="str">
        <x:v>PHASE_HANDOFF.md
PROJECT_CONTEXT.md
research_log.md
README.md
CHECKLIST_TRIEN_KHAI_FULL.xlsx</x:v>
      </x:c>
      <x:c r="M182" s="10" t="n">
        <x:f t="shared" si="2"/>
        <x:v>1</x:v>
      </x:c>
    </x:row>
    <x:row r="183" ht="79.19999694824219" hidden="0" customHeight="1">
      <x:c r="A183" s="10">
        <x:v>182</x:v>
      </x:c>
      <x:c r="B183" s="10" t="s">
        <x:v>29</x:v>
      </x:c>
      <x:c r="C183" s="10" t="s">
        <x:v>268</x:v>
      </x:c>
      <x:c r="D183" s="10" t="str">
        <x:v>Output</x:v>
      </x:c>
      <x:c r="E183" s="10" t="str">
        <x:v>Khóa Phase 2D.1D closure package và chính sách Git: dùng một commit riêng, không amend các commit đã khóa.</x:v>
      </x:c>
      <x:c r="F183" s="10" t="str">
        <x:v>Hoàn thành</x:v>
      </x:c>
      <x:c r="G183" s="10" t="s">
        <x:v>52</x:v>
      </x:c>
      <x:c r="H183" s="10" t="s">
        <x:v>52</x:v>
      </x:c>
      <x:c r="I183" s="10"/>
      <x:c r="J183" s="10"/>
      <x:c r="K183" s="10" t="str">
        <x:v>COMPLETED; synchronized closure package is ready for one dedicated Phase 2D.1D commit. The resulting commit hash is read from Git history and is not written back into the same closure package. Do not commit 4,894 JPG files.</x:v>
      </x:c>
      <x:c r="L183" s="10" t="str">
        <x:v>PHASE_HANDOFF.md
PROJECT_CONTEXT.md
research_log.md
README.md
CHECKLIST_TRIEN_KHAI_FULL.xlsx
configs/protocol/phase2D1_jpg_representation.yaml</x:v>
      </x:c>
      <x:c r="M183" s="10" t="n">
        <x:f t="shared" si="2"/>
        <x:v>1</x:v>
      </x:c>
    </x:row>
    <x:row r="184" ht="27.600000381469727">
      <x:c r="A184" s="10">
        <x:v>183</x:v>
      </x:c>
      <x:c r="B184" s="10" t="s">
        <x:v>29</x:v>
      </x:c>
      <x:c r="C184" s="10" t="s">
        <x:v>270</x:v>
      </x:c>
      <x:c r="D184" s="10" t="s">
        <x:v>62</x:v>
      </x:c>
      <x:c r="E184" s="10" t="s">
        <x:v>271</x:v>
      </x:c>
      <x:c r="F184" s="10" t="str">
        <x:v>Hoàn thành</x:v>
      </x:c>
      <x:c r="G184" s="10" t="s">
        <x:v>52</x:v>
      </x:c>
      <x:c r="H184" s="10" t="s">
        <x:v>64</x:v>
      </x:c>
      <x:c r="I184" s="10"/>
      <x:c r="J184" s="10"/>
      <x:c r="K184" s="10" t="str">
        <x:v>CLOSED / PASS; fixed split 70/15/15 đã được tạo từ COCO master: train/val/test = 3,426/734/734 ảnh; annotations = 25,260/5,399/5,437.</x:v>
      </x:c>
      <x:c r="L184" s="10" t="str">
        <x:v>scripts/02E_build_fixed_split.py
02E_build_fixed_split_output.txt
reports/02E_build_fixed_split_validation_report.json
reports/02E_build_fixed_split_log.json</x:v>
      </x:c>
      <x:c r="M184" s="10" t="n">
        <x:f t="shared" si="2">IF(F184="Hoàn thành",1,0)</x:f>
        <x:v>1</x:v>
      </x:c>
    </x:row>
    <x:row r="185" ht="27.600000381469727">
      <x:c r="A185" s="10">
        <x:v>184</x:v>
      </x:c>
      <x:c r="B185" s="10" t="s">
        <x:v>29</x:v>
      </x:c>
      <x:c r="C185" s="10" t="s">
        <x:v>270</x:v>
      </x:c>
      <x:c r="D185" s="10" t="s">
        <x:v>62</x:v>
      </x:c>
      <x:c r="E185" s="10" t="s">
        <x:v>272</x:v>
      </x:c>
      <x:c r="F185" s="10" t="str">
        <x:v>Hoàn thành</x:v>
      </x:c>
      <x:c r="G185" s="10" t="s">
        <x:v>64</x:v>
      </x:c>
      <x:c r="H185" s="10" t="s">
        <x:v>64</x:v>
      </x:c>
      <x:c r="I185" s="10"/>
      <x:c r="J185" s="10"/>
      <x:c r="K185" s="10" t="str">
        <x:v>PASS; dùng candidate split class-aware/constrained đã khóa từ R2. Cả train/val/test giữ đủ 14 categories; không tuyên bố cân bằng lớp tuyệt đối.</x:v>
      </x:c>
      <x:c r="L185" s="10" t="str">
        <x:v>data/manifests/split_lock_manifest.json
reports/02E_build_fixed_split_validation_report.json</x:v>
      </x:c>
      <x:c r="M185" s="10" t="n">
        <x:f t="shared" si="2">IF(F185="Hoàn thành",1,0)</x:f>
        <x:v>1</x:v>
      </x:c>
    </x:row>
    <x:row r="186" ht="27.600000381469727">
      <x:c r="A186" s="10">
        <x:v>185</x:v>
      </x:c>
      <x:c r="B186" s="10" t="s">
        <x:v>29</x:v>
      </x:c>
      <x:c r="C186" s="10" t="s">
        <x:v>270</x:v>
      </x:c>
      <x:c r="D186" s="10" t="s">
        <x:v>62</x:v>
      </x:c>
      <x:c r="E186" s="10" t="s">
        <x:v>273</x:v>
      </x:c>
      <x:c r="F186" s="10" t="str">
        <x:v>Hoàn thành</x:v>
      </x:c>
      <x:c r="G186" s="10" t="s">
        <x:v>64</x:v>
      </x:c>
      <x:c r="H186" s="10" t="s">
        <x:v>64</x:v>
      </x:c>
      <x:c r="I186" s="10"/>
      <x:c r="J186" s="10"/>
      <x:c r="K186" s="10" t="str">
        <x:v>PASS; No Finding được phân bổ 350/75/75, tương ứng 10.216%/10.218%/10.218%.</x:v>
      </x:c>
      <x:c r="L186" s="10" t="str">
        <x:v>reports/split_negative_distribution.csv
data/manifests/fixed_split_manifest.csv</x:v>
      </x:c>
      <x:c r="M186" s="10" t="n">
        <x:f t="shared" si="2">IF(F186="Hoàn thành",1,0)</x:f>
        <x:v>1</x:v>
      </x:c>
    </x:row>
    <x:row r="187" ht="27.600000381469727">
      <x:c r="A187" s="10">
        <x:v>186</x:v>
      </x:c>
      <x:c r="B187" s="10" t="s">
        <x:v>29</x:v>
      </x:c>
      <x:c r="C187" s="10" t="s">
        <x:v>270</x:v>
      </x:c>
      <x:c r="D187" s="10" t="s">
        <x:v>62</x:v>
      </x:c>
      <x:c r="E187" s="10" t="s">
        <x:v>274</x:v>
      </x:c>
      <x:c r="F187" s="10" t="str">
        <x:v>Hoàn thành</x:v>
      </x:c>
      <x:c r="G187" s="10" t="s">
        <x:v>52</x:v>
      </x:c>
      <x:c r="H187" s="10" t="s">
        <x:v>64</x:v>
      </x:c>
      <x:c r="I187" s="10"/>
      <x:c r="J187" s="10"/>
      <x:c r="K187" s="10" t="str">
        <x:v>PASS; test có 75 ảnh No Finding (zero-GT), cho phép tính FP per negative image. Cỡ mẫu cho phép tính chỉ số nhưng không mặc nhiên bảo đảm CI hẹp.</x:v>
      </x:c>
      <x:c r="L187" s="10" t="str">
        <x:v>data/processed/coco/instances_test.json
reports/split_negative_distribution.csv</x:v>
      </x:c>
      <x:c r="M187" s="10" t="n">
        <x:f t="shared" si="2">IF(F187="Hoàn thành",1,0)</x:f>
        <x:v>1</x:v>
      </x:c>
    </x:row>
    <x:row r="188" ht="27.600000381469727">
      <x:c r="A188" s="10">
        <x:v>187</x:v>
      </x:c>
      <x:c r="B188" s="10" t="s">
        <x:v>29</x:v>
      </x:c>
      <x:c r="C188" s="10" t="s">
        <x:v>270</x:v>
      </x:c>
      <x:c r="D188" s="10" t="s">
        <x:v>62</x:v>
      </x:c>
      <x:c r="E188" s="10" t="s">
        <x:v>275</x:v>
      </x:c>
      <x:c r="F188" s="10" t="str">
        <x:v>Hoàn thành</x:v>
      </x:c>
      <x:c r="G188" s="10" t="s">
        <x:v>52</x:v>
      </x:c>
      <x:c r="H188" s="10" t="s">
        <x:v>64</x:v>
      </x:c>
      <x:c r="I188" s="10"/>
      <x:c r="J188" s="10"/>
      <x:c r="K188" s="10" t="str">
        <x:v>PASS; số lượng và tỷ lệ No Finding đã được báo cáo cho cả train/val/test: 350/3,426; 75/734; 75/734.</x:v>
      </x:c>
      <x:c r="L188" s="10" t="str">
        <x:v>reports/split_negative_distribution.csv
reports/02E_build_fixed_split_validation_report.json</x:v>
      </x:c>
      <x:c r="M188" s="10" t="n">
        <x:f t="shared" si="2">IF(F188="Hoàn thành",1,0)</x:f>
        <x:v>1</x:v>
      </x:c>
    </x:row>
    <x:row r="189" ht="27.600000381469727">
      <x:c r="A189" s="10">
        <x:v>188</x:v>
      </x:c>
      <x:c r="B189" s="10" t="s">
        <x:v>29</x:v>
      </x:c>
      <x:c r="C189" s="10" t="s">
        <x:v>270</x:v>
      </x:c>
      <x:c r="D189" s="10" t="s">
        <x:v>62</x:v>
      </x:c>
      <x:c r="E189" s="10" t="s">
        <x:v>276</x:v>
      </x:c>
      <x:c r="F189" s="10" t="str">
        <x:v>Hoàn thành</x:v>
      </x:c>
      <x:c r="G189" s="10" t="s">
        <x:v>52</x:v>
      </x:c>
      <x:c r="H189" s="10" t="s">
        <x:v>64</x:v>
      </x:c>
      <x:c r="I189" s="10"/>
      <x:c r="J189" s="10"/>
      <x:c r="K189" s="10" t="str">
        <x:v>PASS; overlap image_id: train-val=0, train-test=0, val-test=0; union=4,894/4,894.</x:v>
      </x:c>
      <x:c r="L189" s="10" t="str">
        <x:v>data/manifests/leakage_check_report.json
reports/02E_build_fixed_split_validation_report.json</x:v>
      </x:c>
      <x:c r="M189" s="10" t="n">
        <x:f t="shared" si="2">IF(F189="Hoàn thành",1,0)</x:f>
        <x:v>1</x:v>
      </x:c>
    </x:row>
    <x:row r="190" ht="27.600000381469727">
      <x:c r="A190" s="10">
        <x:v>189</x:v>
      </x:c>
      <x:c r="B190" s="10" t="s">
        <x:v>29</x:v>
      </x:c>
      <x:c r="C190" s="10" t="s">
        <x:v>270</x:v>
      </x:c>
      <x:c r="D190" s="10" t="s">
        <x:v>62</x:v>
      </x:c>
      <x:c r="E190" s="10" t="s">
        <x:v>277</x:v>
      </x:c>
      <x:c r="F190" s="10" t="str">
        <x:v>Hoàn thành</x:v>
      </x:c>
      <x:c r="G190" s="10" t="s">
        <x:v>64</x:v>
      </x:c>
      <x:c r="H190" s="10" t="s">
        <x:v>64</x:v>
      </x:c>
      <x:c r="I190" s="10"/>
      <x:c r="J190" s="10"/>
      <x:c r="K190" s="10" t="str">
        <x:v>COMPLETED; split lock manifest đã xuất và khóa SHA-256 image-ID cho từng tập.</x:v>
      </x:c>
      <x:c r="L190" s="10" t="str">
        <x:v>data/manifests/split_lock_manifest.json
scripts/02E_build_fixed_split.py</x:v>
      </x:c>
      <x:c r="M190" s="10" t="n">
        <x:f t="shared" si="2">IF(F190="Hoàn thành",1,0)</x:f>
        <x:v>1</x:v>
      </x:c>
    </x:row>
    <x:row r="191" ht="27.600000381469727">
      <x:c r="A191" s="10">
        <x:v>190</x:v>
      </x:c>
      <x:c r="B191" s="10" t="s">
        <x:v>29</x:v>
      </x:c>
      <x:c r="C191" s="10" t="s">
        <x:v>270</x:v>
      </x:c>
      <x:c r="D191" s="10" t="s">
        <x:v>78</x:v>
      </x:c>
      <x:c r="E191" s="10" t="s">
        <x:v>278</x:v>
      </x:c>
      <x:c r="F191" s="10" t="str">
        <x:v>Hoàn thành</x:v>
      </x:c>
      <x:c r="G191" s="10" t="s">
        <x:v>64</x:v>
      </x:c>
      <x:c r="H191" s="10" t="s">
        <x:v>64</x:v>
      </x:c>
      <x:c r="I191" s="10"/>
      <x:c r="J191" s="10"/>
      <x:c r="K191" s="10" t="str">
        <x:v>OUTPUT VERIFIED; manifest ghi split policy, counts và ba SHA-256 image-ID đã khóa.</x:v>
      </x:c>
      <x:c r="L191" s="10" t="str">
        <x:v>data/manifests/split_lock_manifest.json</x:v>
      </x:c>
      <x:c r="M191" s="10" t="n">
        <x:f t="shared" si="2">IF(F191="Hoàn thành",1,0)</x:f>
        <x:v>1</x:v>
      </x:c>
    </x:row>
    <x:row r="192" ht="27.600000381469727">
      <x:c r="A192" s="10">
        <x:v>191</x:v>
      </x:c>
      <x:c r="B192" s="10" t="s">
        <x:v>29</x:v>
      </x:c>
      <x:c r="C192" s="10" t="s">
        <x:v>270</x:v>
      </x:c>
      <x:c r="D192" s="10" t="s">
        <x:v>78</x:v>
      </x:c>
      <x:c r="E192" s="10" t="s">
        <x:v>279</x:v>
      </x:c>
      <x:c r="F192" s="10" t="str">
        <x:v>Hoàn thành</x:v>
      </x:c>
      <x:c r="G192" s="10" t="s">
        <x:v>64</x:v>
      </x:c>
      <x:c r="H192" s="10" t="s">
        <x:v>64</x:v>
      </x:c>
      <x:c r="I192" s="10"/>
      <x:c r="J192" s="10"/>
      <x:c r="K192" s="10" t="str">
        <x:v>OUTPUT VERIFIED; leakage cấp image_id và annotation bằng 0. Patient-level NOT ASSESSABLE vì PatientID/các định danh nhóm đã bị loại bỏ khi de-identification.</x:v>
      </x:c>
      <x:c r="L192" s="10" t="str">
        <x:v>data/manifests/leakage_check_report.json
reports/02E_build_fixed_split_validation_report.json</x:v>
      </x:c>
      <x:c r="M192" s="10" t="n">
        <x:f t="shared" si="2">IF(F192="Hoàn thành",1,0)</x:f>
        <x:v>1</x:v>
      </x:c>
    </x:row>
    <x:row r="193" ht="27.600000381469727">
      <x:c r="A193" s="10">
        <x:v>192</x:v>
      </x:c>
      <x:c r="B193" s="10" t="s">
        <x:v>29</x:v>
      </x:c>
      <x:c r="C193" s="10" t="s">
        <x:v>270</x:v>
      </x:c>
      <x:c r="D193" s="10" t="s">
        <x:v>78</x:v>
      </x:c>
      <x:c r="E193" s="10" t="s">
        <x:v>280</x:v>
      </x:c>
      <x:c r="F193" s="10" t="str">
        <x:v>Hoàn thành</x:v>
      </x:c>
      <x:c r="G193" s="10" t="s">
        <x:v>64</x:v>
      </x:c>
      <x:c r="H193" s="10" t="s">
        <x:v>64</x:v>
      </x:c>
      <x:c r="I193" s="10"/>
      <x:c r="J193" s="10"/>
      <x:c r="K193" s="10" t="str">
        <x:v>OUTPUT VERIFIED; báo cáo negative distribution chứa counts và tỷ lệ train/val/test.</x:v>
      </x:c>
      <x:c r="L193" s="10" t="str">
        <x:v>reports/split_negative_distribution.csv</x:v>
      </x:c>
      <x:c r="M193" s="10" t="n">
        <x:f t="shared" si="2">IF(F193="Hoàn thành",1,0)</x:f>
        <x:v>1</x:v>
      </x:c>
    </x:row>
    <x:row r="194" ht="27.600000381469727">
      <x:c r="A194" s="10">
        <x:v>193</x:v>
      </x:c>
      <x:c r="B194" s="10" t="s">
        <x:v>29</x:v>
      </x:c>
      <x:c r="C194" s="10" t="s">
        <x:v>270</x:v>
      </x:c>
      <x:c r="D194" s="10" t="s">
        <x:v>78</x:v>
      </x:c>
      <x:c r="E194" s="10" t="s">
        <x:v>281</x:v>
      </x:c>
      <x:c r="F194" s="10" t="str">
        <x:v>Hoàn thành</x:v>
      </x:c>
      <x:c r="G194" s="10" t="s">
        <x:v>64</x:v>
      </x:c>
      <x:c r="H194" s="10" t="s">
        <x:v>64</x:v>
      </x:c>
      <x:c r="I194" s="10"/>
      <x:c r="J194" s="10"/>
      <x:c r="K194" s="10" t="str">
        <x:v>OUTPUT VERIFIED; train COCO: 3,426 images, 25,260 annotations, 350 zero-GT; SHA-256 JSON locked.</x:v>
      </x:c>
      <x:c r="L194" s="10" t="str">
        <x:v>data/processed/coco/instances_train.json
reports/02E_build_fixed_split_validation_report.json</x:v>
      </x:c>
      <x:c r="M194" s="10" t="n">
        <x:f t="shared" ref="M194:M257" si="3">IF(F194="Hoàn thành",1,0)</x:f>
        <x:v>1</x:v>
      </x:c>
    </x:row>
    <x:row r="195" ht="27.600000381469727">
      <x:c r="A195" s="10">
        <x:v>194</x:v>
      </x:c>
      <x:c r="B195" s="10" t="s">
        <x:v>29</x:v>
      </x:c>
      <x:c r="C195" s="10" t="s">
        <x:v>270</x:v>
      </x:c>
      <x:c r="D195" s="10" t="s">
        <x:v>78</x:v>
      </x:c>
      <x:c r="E195" s="10" t="s">
        <x:v>282</x:v>
      </x:c>
      <x:c r="F195" s="10" t="str">
        <x:v>Hoàn thành</x:v>
      </x:c>
      <x:c r="G195" s="10" t="s">
        <x:v>64</x:v>
      </x:c>
      <x:c r="H195" s="10" t="s">
        <x:v>64</x:v>
      </x:c>
      <x:c r="I195" s="10"/>
      <x:c r="J195" s="10"/>
      <x:c r="K195" s="10" t="str">
        <x:v>OUTPUT VERIFIED; validation COCO: 734 images, 5,399 annotations, 75 zero-GT; SHA-256 JSON locked.</x:v>
      </x:c>
      <x:c r="L195" s="10" t="str">
        <x:v>data/processed/coco/instances_val.json
reports/02E_build_fixed_split_validation_report.json</x:v>
      </x:c>
      <x:c r="M195" s="10" t="n">
        <x:f t="shared" si="3">IF(F195="Hoàn thành",1,0)</x:f>
        <x:v>1</x:v>
      </x:c>
    </x:row>
    <x:row r="196" ht="27.600000381469727">
      <x:c r="A196" s="10">
        <x:v>195</x:v>
      </x:c>
      <x:c r="B196" s="10" t="s">
        <x:v>29</x:v>
      </x:c>
      <x:c r="C196" s="10" t="s">
        <x:v>270</x:v>
      </x:c>
      <x:c r="D196" s="10" t="s">
        <x:v>78</x:v>
      </x:c>
      <x:c r="E196" s="10" t="s">
        <x:v>283</x:v>
      </x:c>
      <x:c r="F196" s="10" t="str">
        <x:v>Hoàn thành</x:v>
      </x:c>
      <x:c r="G196" s="10" t="s">
        <x:v>64</x:v>
      </x:c>
      <x:c r="H196" s="10" t="s">
        <x:v>64</x:v>
      </x:c>
      <x:c r="I196" s="10"/>
      <x:c r="J196" s="10"/>
      <x:c r="K196" s="10" t="str">
        <x:v>OUTPUT VERIFIED; test COCO: 734 images, 5,437 annotations, 75 zero-GT; SHA-256 JSON locked.</x:v>
      </x:c>
      <x:c r="L196" s="10" t="str">
        <x:v>data/processed/coco/instances_test.json
reports/02E_build_fixed_split_validation_report.json</x:v>
      </x:c>
      <x:c r="M196" s="10" t="n">
        <x:f t="shared" si="3">IF(F196="Hoàn thành",1,0)</x:f>
        <x:v>1</x:v>
      </x:c>
    </x:row>
    <x:row r="197" ht="27.600000381469727">
      <x:c r="A197" s="10">
        <x:v>196</x:v>
      </x:c>
      <x:c r="B197" s="10" t="s">
        <x:v>29</x:v>
      </x:c>
      <x:c r="C197" s="10" t="s">
        <x:v>270</x:v>
      </x:c>
      <x:c r="D197" s="10" t="s">
        <x:v>84</x:v>
      </x:c>
      <x:c r="E197" s="10" t="str">
        <x:v>Xác nhận leakage = 0 ở cấp image_id và annotation; ghi rõ patient-level không thể đánh giá do de-identification.</x:v>
      </x:c>
      <x:c r="F197" s="10" t="str">
        <x:v>Hoàn thành</x:v>
      </x:c>
      <x:c r="G197" s="10" t="s">
        <x:v>52</x:v>
      </x:c>
      <x:c r="H197" s="10" t="s">
        <x:v>64</x:v>
      </x:c>
      <x:c r="I197" s="10"/>
      <x:c r="J197" s="10"/>
      <x:c r="K197" s="10" t="str">
        <x:v>PASS trong phạm vi kiểm chứng: image-level và annotation-level leakage = 0. Patient-level leakage không thể đánh giá do không còn khóa bệnh nhân/study trong dữ liệu công bố.</x:v>
      </x:c>
      <x:c r="L197" s="10" t="str">
        <x:v>data/manifests/leakage_check_report.json
PROJECT_CONTEXT.md
PHASE_HANDOFF.md</x:v>
      </x:c>
      <x:c r="M197" s="10" t="n">
        <x:f t="shared" si="3">IF(F197="Hoàn thành",1,0)</x:f>
        <x:v>1</x:v>
      </x:c>
    </x:row>
    <x:row r="198" ht="27.600000381469727">
      <x:c r="A198" s="10">
        <x:v>197</x:v>
      </x:c>
      <x:c r="B198" s="10" t="s">
        <x:v>29</x:v>
      </x:c>
      <x:c r="C198" s="10" t="s">
        <x:v>270</x:v>
      </x:c>
      <x:c r="D198" s="10" t="s">
        <x:v>84</x:v>
      </x:c>
      <x:c r="E198" s="10" t="str">
        <x:v>Khóa test set cố định và chính sách không dùng test để tuning/model selection.</x:v>
      </x:c>
      <x:c r="F198" s="10" t="str">
        <x:v>Hoàn thành</x:v>
      </x:c>
      <x:c r="G198" s="10" t="s">
        <x:v>52</x:v>
      </x:c>
      <x:c r="H198" s="10" t="s">
        <x:v>64</x:v>
      </x:c>
      <x:c r="I198" s="10"/>
      <x:c r="J198" s="10"/>
      <x:c r="K198" s="10" t="str">
        <x:v>POLICY LOCKED; test JSON/checksum cố định; cấm dùng test cho checkpoint selection, threshold selection, early stopping, hyperparameter tuning hoặc ablation decisions.</x:v>
      </x:c>
      <x:c r="L198" s="10" t="str">
        <x:v>data/manifests/split_lock_manifest.json
PROJECT_CONTEXT.md
PHASE_HANDOFF.md</x:v>
      </x:c>
      <x:c r="M198" s="10" t="n">
        <x:f t="shared" si="3">IF(F198="Hoàn thành",1,0)</x:f>
        <x:v>1</x:v>
      </x:c>
    </x:row>
    <x:row r="199" ht="27.600000381469727">
      <x:c r="A199" s="10">
        <x:v>198</x:v>
      </x:c>
      <x:c r="B199" s="10" t="s">
        <x:v>29</x:v>
      </x:c>
      <x:c r="C199" s="10" t="s">
        <x:v>270</x:v>
      </x:c>
      <x:c r="D199" s="10" t="s">
        <x:v>84</x:v>
      </x:c>
      <x:c r="E199" s="10" t="str">
        <x:v>Khóa chính sách mọi experiment phải dùng cùng fixed test set và xác minh bằng config/log khi chạy.</x:v>
      </x:c>
      <x:c r="F199" s="10" t="str">
        <x:v>Hoàn thành</x:v>
      </x:c>
      <x:c r="G199" s="10" t="s">
        <x:v>52</x:v>
      </x:c>
      <x:c r="H199" s="10" t="s">
        <x:v>64</x:v>
      </x:c>
      <x:c r="I199" s="10"/>
      <x:c r="J199" s="10"/>
      <x:c r="K199" s="10" t="str">
        <x:v>POLICY LOCKED / TO VERIFY PER RUN; mọi experiment phải tham chiếu cùng instances_test.json và checksum; tuân thủ sẽ được audit từ config/log từng experiment.</x:v>
      </x:c>
      <x:c r="L199" s="10" t="str">
        <x:v>data/manifests/split_lock_manifest.json
PROJECT_CONTEXT.md
PHASE_HANDOFF.md</x:v>
      </x:c>
      <x:c r="M199" s="10" t="n">
        <x:f t="shared" si="3">IF(F199="Hoàn thành",1,0)</x:f>
        <x:v>1</x:v>
      </x:c>
    </x:row>
    <x:row r="200" ht="27.600000381469727">
      <x:c r="A200" s="10">
        <x:v>199</x:v>
      </x:c>
      <x:c r="B200" s="10" t="s">
        <x:v>29</x:v>
      </x:c>
      <x:c r="C200" s="10" t="s">
        <x:v>270</x:v>
      </x:c>
      <x:c r="D200" s="10" t="s">
        <x:v>84</x:v>
      </x:c>
      <x:c r="E200" s="10" t="s">
        <x:v>284</x:v>
      </x:c>
      <x:c r="F200" s="10" t="str">
        <x:v>Hoàn thành</x:v>
      </x:c>
      <x:c r="G200" s="10" t="s">
        <x:v>52</x:v>
      </x:c>
      <x:c r="H200" s="10" t="s">
        <x:v>64</x:v>
      </x:c>
      <x:c r="I200" s="10"/>
      <x:c r="J200" s="10"/>
      <x:c r="K200" s="10" t="str">
        <x:v>PASS; test có 75 No Finding/zero-GT, đủ điều kiện tính FP per negative image = tổng FP trên ảnh âm tính / 75.</x:v>
      </x:c>
      <x:c r="L200" s="10" t="str">
        <x:v>data/processed/coco/instances_test.json
reports/split_negative_distribution.csv</x:v>
      </x:c>
      <x:c r="M200" s="10" t="n">
        <x:f t="shared" si="3">IF(F200="Hoàn thành",1,0)</x:f>
        <x:v>1</x:v>
      </x:c>
    </x:row>
    <x:row r="201" ht="27.600000381469727">
      <x:c r="A201" s="10">
        <x:v>200</x:v>
      </x:c>
      <x:c r="B201" s="10" t="s">
        <x:v>29</x:v>
      </x:c>
      <x:c r="C201" s="10" t="s">
        <x:v>270</x:v>
      </x:c>
      <x:c r="D201" s="10" t="s">
        <x:v>84</x:v>
      </x:c>
      <x:c r="E201" s="10" t="s">
        <x:v>285</x:v>
      </x:c>
      <x:c r="F201" s="10" t="str">
        <x:v>Hoàn thành</x:v>
      </x:c>
      <x:c r="G201" s="10" t="s">
        <x:v>52</x:v>
      </x:c>
      <x:c r="H201" s="10" t="s">
        <x:v>64</x:v>
      </x:c>
      <x:c r="I201" s="10"/>
      <x:c r="J201" s="10"/>
      <x:c r="K201" s="10" t="str">
        <x:v>PASS; train 350/3,426 (10.216%); val 75/734 (10.218%); test 75/734 (10.218%).</x:v>
      </x:c>
      <x:c r="L201" s="10" t="str">
        <x:v>reports/split_negative_distribution.csv
reports/02E_build_fixed_split_validation_report.json</x:v>
      </x:c>
      <x:c r="M201" s="10" t="n">
        <x:f t="shared" si="3">IF(F201="Hoàn thành",1,0)</x:f>
        <x:v>1</x:v>
      </x:c>
    </x:row>
    <x:row r="202" ht="27.600000381469727">
      <x:c r="A202" s="10">
        <x:v>201</x:v>
      </x:c>
      <x:c r="B202" s="10" t="s">
        <x:v>29</x:v>
      </x:c>
      <x:c r="C202" s="10" t="s">
        <x:v>286</x:v>
      </x:c>
      <x:c r="D202" s="10" t="s">
        <x:v>62</x:v>
      </x:c>
      <x:c r="E202" s="10" t="s">
        <x:v>287</x:v>
      </x:c>
      <x:c r="F202" s="10" t="str">
        <x:v>Hoàn thành</x:v>
      </x:c>
      <x:c r="G202" s="10" t="s">
        <x:v>64</x:v>
      </x:c>
      <x:c r="H202" s="10" t="s">
        <x:v>64</x:v>
      </x:c>
      <x:c r="I202" s="10"/>
      <x:c r="J202" s="10"/>
      <x:c r="K202" s="10" t="str">
        <x:v>COMPLETED; labeled=34, unlabeled=3,392, No Finding labeled=3; 14/14 classes; membership SHA-256 locked.</x:v>
      </x:c>
      <x:c r="L202" s="10" t="str">
        <x:v>data/processed/coco/labeled_splits/instances_labeled_1pct.json
data/manifests/phase2F_lock_manifest.json
reports/02F_labeled_unlabeled_validation_report.json</x:v>
      </x:c>
      <x:c r="M202" s="10" t="n">
        <x:f t="shared" si="3"/>
        <x:v>1</x:v>
      </x:c>
    </x:row>
    <x:row r="203" ht="27.600000381469727">
      <x:c r="A203" s="10">
        <x:v>202</x:v>
      </x:c>
      <x:c r="B203" s="10" t="s">
        <x:v>29</x:v>
      </x:c>
      <x:c r="C203" s="10" t="s">
        <x:v>286</x:v>
      </x:c>
      <x:c r="D203" s="10" t="s">
        <x:v>62</x:v>
      </x:c>
      <x:c r="E203" s="10" t="s">
        <x:v>288</x:v>
      </x:c>
      <x:c r="F203" s="10" t="str">
        <x:v>Hoàn thành</x:v>
      </x:c>
      <x:c r="G203" s="10" t="s">
        <x:v>64</x:v>
      </x:c>
      <x:c r="H203" s="10" t="s">
        <x:v>64</x:v>
      </x:c>
      <x:c r="I203" s="10"/>
      <x:c r="J203" s="10"/>
      <x:c r="K203" s="10" t="str">
        <x:v>COMPLETED; labeled=171, unlabeled=3,255, No Finding labeled=17; 14/14 classes; membership SHA-256 locked.</x:v>
      </x:c>
      <x:c r="L203" s="10" t="str">
        <x:v>data/processed/coco/labeled_splits/instances_labeled_5pct.json
data/manifests/phase2F_lock_manifest.json
reports/02F_labeled_unlabeled_validation_report.json</x:v>
      </x:c>
      <x:c r="M203" s="10" t="n">
        <x:f t="shared" si="3"/>
        <x:v>1</x:v>
      </x:c>
    </x:row>
    <x:row r="204" ht="27.600000381469727">
      <x:c r="A204" s="10">
        <x:v>203</x:v>
      </x:c>
      <x:c r="B204" s="10" t="s">
        <x:v>29</x:v>
      </x:c>
      <x:c r="C204" s="10" t="s">
        <x:v>286</x:v>
      </x:c>
      <x:c r="D204" s="10" t="s">
        <x:v>62</x:v>
      </x:c>
      <x:c r="E204" s="10" t="s">
        <x:v>289</x:v>
      </x:c>
      <x:c r="F204" s="10" t="str">
        <x:v>Hoàn thành</x:v>
      </x:c>
      <x:c r="G204" s="10" t="s">
        <x:v>64</x:v>
      </x:c>
      <x:c r="H204" s="10" t="s">
        <x:v>64</x:v>
      </x:c>
      <x:c r="I204" s="10"/>
      <x:c r="J204" s="10"/>
      <x:c r="K204" s="10" t="str">
        <x:v>COMPLETED; labeled=343, unlabeled=3,083, No Finding labeled=35; 14/14 classes; membership SHA-256 locked.</x:v>
      </x:c>
      <x:c r="L204" s="10" t="str">
        <x:v>data/processed/coco/labeled_splits/instances_labeled_10pct.json
data/manifests/phase2F_lock_manifest.json
reports/02F_labeled_unlabeled_validation_report.json</x:v>
      </x:c>
      <x:c r="M204" s="10" t="n">
        <x:f t="shared" si="3"/>
        <x:v>1</x:v>
      </x:c>
    </x:row>
    <x:row r="205" ht="27.600000381469727">
      <x:c r="A205" s="10">
        <x:v>204</x:v>
      </x:c>
      <x:c r="B205" s="10" t="s">
        <x:v>29</x:v>
      </x:c>
      <x:c r="C205" s="10" t="s">
        <x:v>286</x:v>
      </x:c>
      <x:c r="D205" s="10" t="s">
        <x:v>62</x:v>
      </x:c>
      <x:c r="E205" s="10" t="s">
        <x:v>290</x:v>
      </x:c>
      <x:c r="F205" s="10" t="str">
        <x:v>Hoàn thành</x:v>
      </x:c>
      <x:c r="G205" s="10" t="s">
        <x:v>64</x:v>
      </x:c>
      <x:c r="H205" s="10" t="s">
        <x:v>64</x:v>
      </x:c>
      <x:c r="I205" s="10"/>
      <x:c r="J205" s="10"/>
      <x:c r="K205" s="10" t="str">
        <x:v>COMPLETED; labeled=685, unlabeled=2,741, No Finding labeled=70; 14/14 classes; membership SHA-256 locked.</x:v>
      </x:c>
      <x:c r="L205" s="10" t="str">
        <x:v>data/processed/coco/labeled_splits/instances_labeled_20pct.json
data/manifests/phase2F_lock_manifest.json
reports/02F_labeled_unlabeled_validation_report.json</x:v>
      </x:c>
      <x:c r="M205" s="10" t="n">
        <x:f t="shared" si="3"/>
        <x:v>1</x:v>
      </x:c>
    </x:row>
    <x:row r="206" ht="27.600000381469727">
      <x:c r="A206" s="10">
        <x:v>205</x:v>
      </x:c>
      <x:c r="B206" s="10" t="s">
        <x:v>29</x:v>
      </x:c>
      <x:c r="C206" s="10" t="s">
        <x:v>286</x:v>
      </x:c>
      <x:c r="D206" s="10" t="s">
        <x:v>62</x:v>
      </x:c>
      <x:c r="E206" s="10" t="s">
        <x:v>291</x:v>
      </x:c>
      <x:c r="F206" s="10" t="str">
        <x:v>Hoàn thành</x:v>
      </x:c>
      <x:c r="G206" s="10" t="s">
        <x:v>52</x:v>
      </x:c>
      <x:c r="H206" s="10" t="s">
        <x:v>64</x:v>
      </x:c>
      <x:c r="I206" s="10"/>
      <x:c r="J206" s="10"/>
      <x:c r="K206" s="10" t="str">
        <x:v>PASS; 1pct ⊆ 5pct ⊆ 10pct ⊆ 20pct. Nested No Finding subsets cũng PASS.</x:v>
      </x:c>
      <x:c r="L206" s="10" t="str">
        <x:v>data/manifests/phase2F_nested_split_check.json
reports/02F_labeled_unlabeled_validation_report.json</x:v>
      </x:c>
      <x:c r="M206" s="10" t="n">
        <x:f t="shared" si="3"/>
        <x:v>1</x:v>
      </x:c>
    </x:row>
    <x:row r="207" ht="27.600000381469727">
      <x:c r="A207" s="10">
        <x:v>206</x:v>
      </x:c>
      <x:c r="B207" s="10" t="s">
        <x:v>29</x:v>
      </x:c>
      <x:c r="C207" s="10" t="s">
        <x:v>286</x:v>
      </x:c>
      <x:c r="D207" s="10" t="s">
        <x:v>62</x:v>
      </x:c>
      <x:c r="E207" s="10" t="s">
        <x:v>292</x:v>
      </x:c>
      <x:c r="F207" s="10" t="str">
        <x:v>Hoàn thành</x:v>
      </x:c>
      <x:c r="G207" s="10" t="s">
        <x:v>64</x:v>
      </x:c>
      <x:c r="H207" s="10" t="s">
        <x:v>64</x:v>
      </x:c>
      <x:c r="I207" s="10"/>
      <x:c r="J207" s="10"/>
      <x:c r="K207" s="10" t="str">
        <x:v>COMPLETED; iterative multilabel stratification + deterministic constrained repair. Mọi budget đạt 14/14 class coverage và one-for-one local optimum; không tuyên bố global optimum.</x:v>
      </x:c>
      <x:c r="L207" s="10" t="str">
        <x:v>configs/protocol/phase2F_labeled_unlabeled.yaml
reports/02F_labeled_unlabeled_validation_report.json
reports/02F_repair_log.jsonl</x:v>
      </x:c>
      <x:c r="M207" s="10" t="n">
        <x:f t="shared" si="3"/>
        <x:v>1</x:v>
      </x:c>
    </x:row>
    <x:row r="208" ht="27.600000381469727">
      <x:c r="A208" s="10">
        <x:v>207</x:v>
      </x:c>
      <x:c r="B208" s="10" t="s">
        <x:v>29</x:v>
      </x:c>
      <x:c r="C208" s="10" t="s">
        <x:v>286</x:v>
      </x:c>
      <x:c r="D208" s="10" t="s">
        <x:v>62</x:v>
      </x:c>
      <x:c r="E208" s="10" t="s">
        <x:v>293</x:v>
      </x:c>
      <x:c r="F208" s="10" t="str">
        <x:v>Hoàn thành</x:v>
      </x:c>
      <x:c r="G208" s="10" t="s">
        <x:v>64</x:v>
      </x:c>
      <x:c r="H208" s="10" t="s">
        <x:v>64</x:v>
      </x:c>
      <x:c r="I208" s="10"/>
      <x:c r="J208" s="10"/>
      <x:c r="K208" s="10" t="str">
        <x:v>PASS; unlabeled của mỗi budget là phần bù chính xác của labeled trong fixed train universe 3,426 ảnh.</x:v>
      </x:c>
      <x:c r="L208" s="10" t="str">
        <x:v>data/manifests/phase2F_partition_manifest.csv
data/manifests/phase2F_leakage_check.json</x:v>
      </x:c>
      <x:c r="M208" s="10" t="n">
        <x:f t="shared" si="3"/>
        <x:v>1</x:v>
      </x:c>
    </x:row>
    <x:row r="209" ht="27.600000381469727">
      <x:c r="A209" s="10">
        <x:v>208</x:v>
      </x:c>
      <x:c r="B209" s="10" t="s">
        <x:v>29</x:v>
      </x:c>
      <x:c r="C209" s="10" t="s">
        <x:v>286</x:v>
      </x:c>
      <x:c r="D209" s="10" t="s">
        <x:v>62</x:v>
      </x:c>
      <x:c r="E209" s="10" t="s">
        <x:v>294</x:v>
      </x:c>
      <x:c r="F209" s="10" t="str">
        <x:v>Hoàn thành</x:v>
      </x:c>
      <x:c r="G209" s="10" t="s">
        <x:v>64</x:v>
      </x:c>
      <x:c r="H209" s="10" t="s">
        <x:v>64</x:v>
      </x:c>
      <x:c r="I209" s="10"/>
      <x:c r="J209" s="10"/>
      <x:c r="K209" s="10" t="str">
        <x:v>PASS; unlabeled gồm cả abnormal và No Finding. No Finding unlabeled lần lượt 347/333/315/280 ảnh ở 1%/5%/10%/20%.</x:v>
      </x:c>
      <x:c r="L209" s="10" t="str">
        <x:v>reports/02F_negative_distribution.csv
data/manifests/phase2F_partition_manifest.csv</x:v>
      </x:c>
      <x:c r="M209" s="10" t="n">
        <x:f t="shared" si="3"/>
        <x:v>1</x:v>
      </x:c>
    </x:row>
    <x:row r="210" ht="27.600000381469727">
      <x:c r="A210" s="10">
        <x:v>209</x:v>
      </x:c>
      <x:c r="B210" s="10" t="s">
        <x:v>29</x:v>
      </x:c>
      <x:c r="C210" s="10" t="s">
        <x:v>286</x:v>
      </x:c>
      <x:c r="D210" s="10" t="s">
        <x:v>62</x:v>
      </x:c>
      <x:c r="E210" s="10" t="s">
        <x:v>295</x:v>
      </x:c>
      <x:c r="F210" s="10" t="str">
        <x:v>Hoàn thành</x:v>
      </x:c>
      <x:c r="G210" s="10" t="s">
        <x:v>52</x:v>
      </x:c>
      <x:c r="H210" s="10" t="s">
        <x:v>64</x:v>
      </x:c>
      <x:c r="I210" s="10"/>
      <x:c r="J210" s="10"/>
      <x:c r="K210" s="10" t="str">
        <x:v>PASS; unlabeled annotations rỗng, forbidden GT-derived fields không xuất hiện, GT exposure violations = [].</x:v>
      </x:c>
      <x:c r="L210" s="10" t="str">
        <x:v>data/manifests/audit/phase2F_unlabeled_gt_audit.csv
reports/02F_labeled_unlabeled_validation_report.json</x:v>
      </x:c>
      <x:c r="M210" s="10" t="n">
        <x:f t="shared" si="3"/>
        <x:v>1</x:v>
      </x:c>
    </x:row>
    <x:row r="211" ht="27.600000381469727">
      <x:c r="A211" s="10">
        <x:v>210</x:v>
      </x:c>
      <x:c r="B211" s="10" t="s">
        <x:v>29</x:v>
      </x:c>
      <x:c r="C211" s="10" t="s">
        <x:v>286</x:v>
      </x:c>
      <x:c r="D211" s="10" t="s">
        <x:v>62</x:v>
      </x:c>
      <x:c r="E211" s="10" t="s">
        <x:v>296</x:v>
      </x:c>
      <x:c r="F211" s="10" t="str">
        <x:v>Hoàn thành</x:v>
      </x:c>
      <x:c r="G211" s="10" t="s">
        <x:v>64</x:v>
      </x:c>
      <x:c r="H211" s="10" t="s">
        <x:v>64</x:v>
      </x:c>
      <x:c r="I211" s="10"/>
      <x:c r="J211" s="10"/>
      <x:c r="K211" s="10" t="str">
        <x:v>COMPLETED; negative distribution được ghi theo từng budget để hỗ trợ downstream false-positive/pseudo-box analysis.</x:v>
      </x:c>
      <x:c r="L211" s="10" t="str">
        <x:v>reports/02F_negative_distribution.csv</x:v>
      </x:c>
      <x:c r="M211" s="10" t="n">
        <x:f t="shared" si="3"/>
        <x:v>1</x:v>
      </x:c>
    </x:row>
    <x:row r="212" ht="27.600000381469727">
      <x:c r="A212" s="10">
        <x:v>211</x:v>
      </x:c>
      <x:c r="B212" s="10" t="s">
        <x:v>29</x:v>
      </x:c>
      <x:c r="C212" s="10" t="s">
        <x:v>286</x:v>
      </x:c>
      <x:c r="D212" s="10" t="s">
        <x:v>78</x:v>
      </x:c>
      <x:c r="E212" s="10" t="s">
        <x:v>297</x:v>
      </x:c>
      <x:c r="F212" s="10" t="str">
        <x:v>Hoàn thành</x:v>
      </x:c>
      <x:c r="G212" s="10" t="s">
        <x:v>64</x:v>
      </x:c>
      <x:c r="H212" s="10" t="s">
        <x:v>64</x:v>
      </x:c>
      <x:c r="I212" s="10"/>
      <x:c r="J212" s="10"/>
      <x:c r="K212" s="10" t="str">
        <x:v>OUTPUT VERIFIED; labeled 1% COCO tồn tại, readback PASS, SHA-256 khớp lock manifest.</x:v>
      </x:c>
      <x:c r="L212" s="10" t="str">
        <x:v>data/processed/coco/labeled_splits/instances_labeled_1pct.json
data/manifests/phase2F_lock_manifest.json</x:v>
      </x:c>
      <x:c r="M212" s="10" t="n">
        <x:f t="shared" si="3"/>
        <x:v>1</x:v>
      </x:c>
    </x:row>
    <x:row r="213" ht="27.600000381469727">
      <x:c r="A213" s="10">
        <x:v>212</x:v>
      </x:c>
      <x:c r="B213" s="10" t="s">
        <x:v>29</x:v>
      </x:c>
      <x:c r="C213" s="10" t="s">
        <x:v>286</x:v>
      </x:c>
      <x:c r="D213" s="10" t="s">
        <x:v>78</x:v>
      </x:c>
      <x:c r="E213" s="10" t="s">
        <x:v>298</x:v>
      </x:c>
      <x:c r="F213" s="10" t="str">
        <x:v>Hoàn thành</x:v>
      </x:c>
      <x:c r="G213" s="10" t="s">
        <x:v>64</x:v>
      </x:c>
      <x:c r="H213" s="10" t="s">
        <x:v>64</x:v>
      </x:c>
      <x:c r="I213" s="10"/>
      <x:c r="J213" s="10"/>
      <x:c r="K213" s="10" t="str">
        <x:v>OUTPUT VERIFIED; labeled 5% COCO tồn tại, readback PASS, SHA-256 khớp lock manifest.</x:v>
      </x:c>
      <x:c r="L213" s="10" t="str">
        <x:v>data/processed/coco/labeled_splits/instances_labeled_5pct.json
data/manifests/phase2F_lock_manifest.json</x:v>
      </x:c>
      <x:c r="M213" s="10" t="n">
        <x:f t="shared" si="3"/>
        <x:v>1</x:v>
      </x:c>
    </x:row>
    <x:row r="214" ht="27.600000381469727">
      <x:c r="A214" s="10">
        <x:v>213</x:v>
      </x:c>
      <x:c r="B214" s="10" t="s">
        <x:v>29</x:v>
      </x:c>
      <x:c r="C214" s="10" t="s">
        <x:v>286</x:v>
      </x:c>
      <x:c r="D214" s="10" t="s">
        <x:v>78</x:v>
      </x:c>
      <x:c r="E214" s="10" t="s">
        <x:v>299</x:v>
      </x:c>
      <x:c r="F214" s="10" t="str">
        <x:v>Hoàn thành</x:v>
      </x:c>
      <x:c r="G214" s="10" t="s">
        <x:v>64</x:v>
      </x:c>
      <x:c r="H214" s="10" t="s">
        <x:v>64</x:v>
      </x:c>
      <x:c r="I214" s="10"/>
      <x:c r="J214" s="10"/>
      <x:c r="K214" s="10" t="str">
        <x:v>OUTPUT VERIFIED; labeled 10% COCO tồn tại, readback PASS, SHA-256 khớp lock manifest.</x:v>
      </x:c>
      <x:c r="L214" s="10" t="str">
        <x:v>data/processed/coco/labeled_splits/instances_labeled_10pct.json
data/manifests/phase2F_lock_manifest.json</x:v>
      </x:c>
      <x:c r="M214" s="10" t="n">
        <x:f t="shared" si="3"/>
        <x:v>1</x:v>
      </x:c>
    </x:row>
    <x:row r="215" ht="27.600000381469727">
      <x:c r="A215" s="10">
        <x:v>214</x:v>
      </x:c>
      <x:c r="B215" s="10" t="s">
        <x:v>29</x:v>
      </x:c>
      <x:c r="C215" s="10" t="s">
        <x:v>286</x:v>
      </x:c>
      <x:c r="D215" s="10" t="s">
        <x:v>78</x:v>
      </x:c>
      <x:c r="E215" s="10" t="s">
        <x:v>300</x:v>
      </x:c>
      <x:c r="F215" s="10" t="str">
        <x:v>Hoàn thành</x:v>
      </x:c>
      <x:c r="G215" s="10" t="s">
        <x:v>64</x:v>
      </x:c>
      <x:c r="H215" s="10" t="s">
        <x:v>64</x:v>
      </x:c>
      <x:c r="I215" s="10"/>
      <x:c r="J215" s="10"/>
      <x:c r="K215" s="10" t="str">
        <x:v>OUTPUT VERIFIED; labeled 20% COCO tồn tại, readback PASS, SHA-256 khớp lock manifest.</x:v>
      </x:c>
      <x:c r="L215" s="10" t="str">
        <x:v>data/processed/coco/labeled_splits/instances_labeled_20pct.json
data/manifests/phase2F_lock_manifest.json</x:v>
      </x:c>
      <x:c r="M215" s="10" t="n">
        <x:f t="shared" si="3"/>
        <x:v>1</x:v>
      </x:c>
    </x:row>
    <x:row r="216" ht="27.600000381469727">
      <x:c r="A216" s="10">
        <x:v>215</x:v>
      </x:c>
      <x:c r="B216" s="10" t="s">
        <x:v>29</x:v>
      </x:c>
      <x:c r="C216" s="10" t="s">
        <x:v>286</x:v>
      </x:c>
      <x:c r="D216" s="10" t="s">
        <x:v>78</x:v>
      </x:c>
      <x:c r="E216" s="10" t="str">
        <x:v>data/processed/coco/unlabeled_splits/instances_unlabeled_1pct.json</x:v>
      </x:c>
      <x:c r="F216" s="10" t="str">
        <x:v>Hoàn thành</x:v>
      </x:c>
      <x:c r="G216" s="10" t="s">
        <x:v>64</x:v>
      </x:c>
      <x:c r="H216" s="10" t="s">
        <x:v>64</x:v>
      </x:c>
      <x:c r="I216" s="10"/>
      <x:c r="J216" s="10"/>
      <x:c r="K216" s="10" t="str">
        <x:v>OUTPUT VERIFIED; unlabeled 1% COCO tồn tại, annotations rỗng, readback/checksum PASS.</x:v>
      </x:c>
      <x:c r="L216" s="10" t="str">
        <x:v>data/processed/coco/unlabeled_splits/instances_unlabeled_1pct.json
data/manifests/phase2F_lock_manifest.json</x:v>
      </x:c>
      <x:c r="M216" s="10" t="n">
        <x:f t="shared" si="3"/>
        <x:v>1</x:v>
      </x:c>
    </x:row>
    <x:row r="217" ht="27.600000381469727">
      <x:c r="A217" s="10">
        <x:v>216</x:v>
      </x:c>
      <x:c r="B217" s="10" t="s">
        <x:v>29</x:v>
      </x:c>
      <x:c r="C217" s="10" t="s">
        <x:v>286</x:v>
      </x:c>
      <x:c r="D217" s="10" t="s">
        <x:v>78</x:v>
      </x:c>
      <x:c r="E217" s="10" t="str">
        <x:v>data/processed/coco/unlabeled_splits/instances_unlabeled_5pct.json</x:v>
      </x:c>
      <x:c r="F217" s="10" t="str">
        <x:v>Hoàn thành</x:v>
      </x:c>
      <x:c r="G217" s="10" t="s">
        <x:v>64</x:v>
      </x:c>
      <x:c r="H217" s="10" t="s">
        <x:v>64</x:v>
      </x:c>
      <x:c r="I217" s="10"/>
      <x:c r="J217" s="10"/>
      <x:c r="K217" s="10" t="str">
        <x:v>OUTPUT VERIFIED; unlabeled 5% COCO tồn tại, annotations rỗng, readback/checksum PASS.</x:v>
      </x:c>
      <x:c r="L217" s="10" t="str">
        <x:v>data/processed/coco/unlabeled_splits/instances_unlabeled_5pct.json
data/manifests/phase2F_lock_manifest.json</x:v>
      </x:c>
      <x:c r="M217" s="10" t="n">
        <x:f t="shared" si="3"/>
        <x:v>1</x:v>
      </x:c>
    </x:row>
    <x:row r="218" ht="27.600000381469727">
      <x:c r="A218" s="10">
        <x:v>217</x:v>
      </x:c>
      <x:c r="B218" s="10" t="s">
        <x:v>29</x:v>
      </x:c>
      <x:c r="C218" s="10" t="s">
        <x:v>286</x:v>
      </x:c>
      <x:c r="D218" s="10" t="s">
        <x:v>78</x:v>
      </x:c>
      <x:c r="E218" s="10" t="str">
        <x:v>data/processed/coco/unlabeled_splits/instances_unlabeled_10pct.json</x:v>
      </x:c>
      <x:c r="F218" s="10" t="str">
        <x:v>Hoàn thành</x:v>
      </x:c>
      <x:c r="G218" s="10" t="s">
        <x:v>64</x:v>
      </x:c>
      <x:c r="H218" s="10" t="s">
        <x:v>64</x:v>
      </x:c>
      <x:c r="I218" s="10"/>
      <x:c r="J218" s="10"/>
      <x:c r="K218" s="10" t="str">
        <x:v>OUTPUT VERIFIED; unlabeled 10% COCO tồn tại, annotations rỗng, readback/checksum PASS.</x:v>
      </x:c>
      <x:c r="L218" s="10" t="str">
        <x:v>data/processed/coco/unlabeled_splits/instances_unlabeled_10pct.json
data/manifests/phase2F_lock_manifest.json</x:v>
      </x:c>
      <x:c r="M218" s="10" t="n">
        <x:f t="shared" si="3"/>
        <x:v>1</x:v>
      </x:c>
    </x:row>
    <x:row r="219" ht="27.600000381469727">
      <x:c r="A219" s="10">
        <x:v>218</x:v>
      </x:c>
      <x:c r="B219" s="10" t="s">
        <x:v>29</x:v>
      </x:c>
      <x:c r="C219" s="10" t="s">
        <x:v>286</x:v>
      </x:c>
      <x:c r="D219" s="10" t="s">
        <x:v>78</x:v>
      </x:c>
      <x:c r="E219" s="10" t="str">
        <x:v>data/processed/coco/unlabeled_splits/instances_unlabeled_20pct.json</x:v>
      </x:c>
      <x:c r="F219" s="10" t="str">
        <x:v>Hoàn thành</x:v>
      </x:c>
      <x:c r="G219" s="10" t="s">
        <x:v>64</x:v>
      </x:c>
      <x:c r="H219" s="10" t="s">
        <x:v>64</x:v>
      </x:c>
      <x:c r="I219" s="10"/>
      <x:c r="J219" s="10"/>
      <x:c r="K219" s="10" t="str">
        <x:v>OUTPUT VERIFIED; unlabeled 20% COCO tồn tại, annotations rỗng, readback/checksum PASS.</x:v>
      </x:c>
      <x:c r="L219" s="10" t="str">
        <x:v>data/processed/coco/unlabeled_splits/instances_unlabeled_20pct.json
data/manifests/phase2F_lock_manifest.json</x:v>
      </x:c>
      <x:c r="M219" s="10" t="n">
        <x:f t="shared" si="3"/>
        <x:v>1</x:v>
      </x:c>
    </x:row>
    <x:row r="220" ht="27.600000381469727">
      <x:c r="A220" s="10">
        <x:v>219</x:v>
      </x:c>
      <x:c r="B220" s="10" t="s">
        <x:v>29</x:v>
      </x:c>
      <x:c r="C220" s="10" t="s">
        <x:v>286</x:v>
      </x:c>
      <x:c r="D220" s="10" t="s">
        <x:v>78</x:v>
      </x:c>
      <x:c r="E220" s="10" t="str">
        <x:v>data/manifests/phase2F_nested_split_check.json</x:v>
      </x:c>
      <x:c r="F220" s="10" t="str">
        <x:v>Hoàn thành</x:v>
      </x:c>
      <x:c r="G220" s="10" t="s">
        <x:v>64</x:v>
      </x:c>
      <x:c r="H220" s="10" t="s">
        <x:v>64</x:v>
      </x:c>
      <x:c r="I220" s="10"/>
      <x:c r="J220" s="10"/>
      <x:c r="K220" s="10" t="str">
        <x:v>OUTPUT VERIFIED; nested labeled và nested No Finding checks PASS; sizes 34/171/343/685.</x:v>
      </x:c>
      <x:c r="L220" s="10" t="str">
        <x:v>data/manifests/phase2F_nested_split_check.json</x:v>
      </x:c>
      <x:c r="M220" s="10" t="n">
        <x:f t="shared" si="3"/>
        <x:v>1</x:v>
      </x:c>
    </x:row>
    <x:row r="221" ht="27.600000381469727">
      <x:c r="A221" s="10">
        <x:v>220</x:v>
      </x:c>
      <x:c r="B221" s="10" t="s">
        <x:v>29</x:v>
      </x:c>
      <x:c r="C221" s="10" t="s">
        <x:v>286</x:v>
      </x:c>
      <x:c r="D221" s="10" t="s">
        <x:v>84</x:v>
      </x:c>
      <x:c r="E221" s="10" t="s">
        <x:v>301</x:v>
      </x:c>
      <x:c r="F221" s="10" t="str">
        <x:v>Hoàn thành</x:v>
      </x:c>
      <x:c r="G221" s="10" t="s">
        <x:v>52</x:v>
      </x:c>
      <x:c r="H221" s="10" t="s">
        <x:v>64</x:v>
      </x:c>
      <x:c r="I221" s="10"/>
      <x:c r="J221" s="10"/>
      <x:c r="K221" s="10" t="str">
        <x:v>PASS; nested labeled membership và nested No Finding membership đều được independent readback xác nhận.</x:v>
      </x:c>
      <x:c r="L221" s="10" t="str">
        <x:v>data/manifests/phase2F_nested_split_check.json
reports/02F_labeled_unlabeled_validation_report.json</x:v>
      </x:c>
      <x:c r="M221" s="10" t="n">
        <x:f t="shared" si="3"/>
        <x:v>1</x:v>
      </x:c>
    </x:row>
    <x:row r="222" ht="27.600000381469727">
      <x:c r="A222" s="10">
        <x:v>221</x:v>
      </x:c>
      <x:c r="B222" s="10" t="s">
        <x:v>29</x:v>
      </x:c>
      <x:c r="C222" s="10" t="s">
        <x:v>286</x:v>
      </x:c>
      <x:c r="D222" s="10" t="s">
        <x:v>84</x:v>
      </x:c>
      <x:c r="E222" s="10" t="s">
        <x:v>302</x:v>
      </x:c>
      <x:c r="F222" s="10" t="str">
        <x:v>Hoàn thành</x:v>
      </x:c>
      <x:c r="G222" s="10" t="s">
        <x:v>52</x:v>
      </x:c>
      <x:c r="H222" s="10" t="s">
        <x:v>64</x:v>
      </x:c>
      <x:c r="I222" s="10"/>
      <x:c r="J222" s="10"/>
      <x:c r="K222" s="10" t="str">
        <x:v>PASS; validation/test isolation=true; labeled/unlabeled disjoint và complete=true.</x:v>
      </x:c>
      <x:c r="L222" s="10" t="str">
        <x:v>data/manifests/phase2F_leakage_check.json
reports/02F_labeled_unlabeled_validation_report.json</x:v>
      </x:c>
      <x:c r="M222" s="10" t="n">
        <x:f t="shared" si="3"/>
        <x:v>1</x:v>
      </x:c>
    </x:row>
    <x:row r="223" ht="27.600000381469727">
      <x:c r="A223" s="10">
        <x:v>222</x:v>
      </x:c>
      <x:c r="B223" s="10" t="s">
        <x:v>29</x:v>
      </x:c>
      <x:c r="C223" s="10" t="s">
        <x:v>286</x:v>
      </x:c>
      <x:c r="D223" s="10" t="s">
        <x:v>84</x:v>
      </x:c>
      <x:c r="E223" s="10" t="s">
        <x:v>303</x:v>
      </x:c>
      <x:c r="F223" s="10" t="str">
        <x:v>Hoàn thành</x:v>
      </x:c>
      <x:c r="G223" s="10" t="s">
        <x:v>52</x:v>
      </x:c>
      <x:c r="H223" s="10" t="s">
        <x:v>64</x:v>
      </x:c>
      <x:c r="I223" s="10"/>
      <x:c r="J223" s="10"/>
      <x:c r="K223" s="10" t="str">
        <x:v>POLICY LOCKED / TO VERIFY PER RUN; supervised low-label và SSL phải tham chiếu cùng locked labeled membership. Training chưa bắt đầu.</x:v>
      </x:c>
      <x:c r="L223" s="10" t="str">
        <x:v>data/manifests/phase2F_lock_manifest.json
PROJECT_CONTEXT.md
PHASE_HANDOFF.md</x:v>
      </x:c>
      <x:c r="M223" s="10" t="n">
        <x:f t="shared" si="3"/>
        <x:v>1</x:v>
      </x:c>
    </x:row>
    <x:row r="224" ht="27.600000381469727">
      <x:c r="A224" s="10">
        <x:v>223</x:v>
      </x:c>
      <x:c r="B224" s="10" t="s">
        <x:v>29</x:v>
      </x:c>
      <x:c r="C224" s="10" t="s">
        <x:v>286</x:v>
      </x:c>
      <x:c r="D224" s="10" t="s">
        <x:v>84</x:v>
      </x:c>
      <x:c r="E224" s="10" t="str">
        <x:v>partition_seed=42 được lưu trong seed manifest và lock manifest.</x:v>
      </x:c>
      <x:c r="F224" s="10" t="str">
        <x:v>Hoàn thành</x:v>
      </x:c>
      <x:c r="G224" s="10" t="s">
        <x:v>52</x:v>
      </x:c>
      <x:c r="H224" s="10" t="s">
        <x:v>64</x:v>
      </x:c>
      <x:c r="I224" s="10"/>
      <x:c r="J224" s="10"/>
      <x:c r="K224" s="10" t="str">
        <x:v>PASS; partition_seed=42 với PRE_SPECIFIED_LOCKED_NO_SEED_SEARCH được ghi trong phase2F_seed_manifest và phase2F_lock_manifest.</x:v>
      </x:c>
      <x:c r="L224" s="10" t="str">
        <x:v>data/manifests/phase2F_seed_manifest.json
data/manifests/phase2F_lock_manifest.json
configs/protocol/phase2F_labeled_unlabeled.yaml</x:v>
      </x:c>
      <x:c r="M224" s="10" t="n">
        <x:f t="shared" si="3"/>
        <x:v>1</x:v>
      </x:c>
    </x:row>
    <x:row r="225" ht="27.600000381469727">
      <x:c r="A225" s="10">
        <x:v>224</x:v>
      </x:c>
      <x:c r="B225" s="10" t="s">
        <x:v>29</x:v>
      </x:c>
      <x:c r="C225" s="10" t="s">
        <x:v>304</x:v>
      </x:c>
      <x:c r="D225" s="10" t="s">
        <x:v>62</x:v>
      </x:c>
      <x:c r="E225" s="10" t="s">
        <x:v>305</x:v>
      </x:c>
      <x:c r="F225" s="10" t="s">
        <x:v>3</x:v>
      </x:c>
      <x:c r="G225" s="10" t="s">
        <x:v>52</x:v>
      </x:c>
      <x:c r="H225" s="10" t="s">
        <x:v>64</x:v>
      </x:c>
      <x:c r="I225" s="10"/>
      <x:c r="J225" s="10"/>
      <x:c r="K225" s="10"/>
      <x:c r="L225" s="10"/>
      <x:c r="M225" s="10">
        <x:f t="shared" si="3"/>
        <x:v>0</x:v>
      </x:c>
    </x:row>
    <x:row r="226" ht="27.600000381469727">
      <x:c r="A226" s="10">
        <x:v>225</x:v>
      </x:c>
      <x:c r="B226" s="10" t="s">
        <x:v>29</x:v>
      </x:c>
      <x:c r="C226" s="10" t="s">
        <x:v>304</x:v>
      </x:c>
      <x:c r="D226" s="10" t="s">
        <x:v>62</x:v>
      </x:c>
      <x:c r="E226" s="10" t="s">
        <x:v>306</x:v>
      </x:c>
      <x:c r="F226" s="10" t="s">
        <x:v>3</x:v>
      </x:c>
      <x:c r="G226" s="10" t="s">
        <x:v>52</x:v>
      </x:c>
      <x:c r="H226" s="10" t="s">
        <x:v>64</x:v>
      </x:c>
      <x:c r="I226" s="10"/>
      <x:c r="J226" s="10"/>
      <x:c r="K226" s="10"/>
      <x:c r="L226" s="10"/>
      <x:c r="M226" s="10">
        <x:f t="shared" si="3"/>
        <x:v>0</x:v>
      </x:c>
    </x:row>
    <x:row r="227" ht="27.600000381469727">
      <x:c r="A227" s="10">
        <x:v>226</x:v>
      </x:c>
      <x:c r="B227" s="10" t="s">
        <x:v>29</x:v>
      </x:c>
      <x:c r="C227" s="10" t="s">
        <x:v>304</x:v>
      </x:c>
      <x:c r="D227" s="10" t="s">
        <x:v>62</x:v>
      </x:c>
      <x:c r="E227" s="10" t="s">
        <x:v>307</x:v>
      </x:c>
      <x:c r="F227" s="10" t="s">
        <x:v>3</x:v>
      </x:c>
      <x:c r="G227" s="10" t="s">
        <x:v>52</x:v>
      </x:c>
      <x:c r="H227" s="10" t="s">
        <x:v>64</x:v>
      </x:c>
      <x:c r="I227" s="10"/>
      <x:c r="J227" s="10"/>
      <x:c r="K227" s="10"/>
      <x:c r="L227" s="10"/>
      <x:c r="M227" s="10">
        <x:f t="shared" si="3"/>
        <x:v>0</x:v>
      </x:c>
    </x:row>
    <x:row r="228" ht="27.600000381469727">
      <x:c r="A228" s="10">
        <x:v>227</x:v>
      </x:c>
      <x:c r="B228" s="10" t="s">
        <x:v>29</x:v>
      </x:c>
      <x:c r="C228" s="10" t="s">
        <x:v>304</x:v>
      </x:c>
      <x:c r="D228" s="10" t="s">
        <x:v>62</x:v>
      </x:c>
      <x:c r="E228" s="10" t="s">
        <x:v>308</x:v>
      </x:c>
      <x:c r="F228" s="10" t="s">
        <x:v>3</x:v>
      </x:c>
      <x:c r="G228" s="10" t="s">
        <x:v>52</x:v>
      </x:c>
      <x:c r="H228" s="10" t="s">
        <x:v>64</x:v>
      </x:c>
      <x:c r="I228" s="10"/>
      <x:c r="J228" s="10"/>
      <x:c r="K228" s="10"/>
      <x:c r="L228" s="10"/>
      <x:c r="M228" s="10">
        <x:f t="shared" si="3"/>
        <x:v>0</x:v>
      </x:c>
    </x:row>
    <x:row r="229" ht="27.600000381469727">
      <x:c r="A229" s="10">
        <x:v>228</x:v>
      </x:c>
      <x:c r="B229" s="10" t="s">
        <x:v>29</x:v>
      </x:c>
      <x:c r="C229" s="10" t="s">
        <x:v>304</x:v>
      </x:c>
      <x:c r="D229" s="10" t="s">
        <x:v>62</x:v>
      </x:c>
      <x:c r="E229" s="10" t="s">
        <x:v>309</x:v>
      </x:c>
      <x:c r="F229" s="10" t="s">
        <x:v>3</x:v>
      </x:c>
      <x:c r="G229" s="10" t="s">
        <x:v>52</x:v>
      </x:c>
      <x:c r="H229" s="10" t="s">
        <x:v>64</x:v>
      </x:c>
      <x:c r="I229" s="10"/>
      <x:c r="J229" s="10"/>
      <x:c r="K229" s="10"/>
      <x:c r="L229" s="10"/>
      <x:c r="M229" s="10">
        <x:f t="shared" si="3"/>
        <x:v>0</x:v>
      </x:c>
    </x:row>
    <x:row r="230" ht="27.600000381469727">
      <x:c r="A230" s="10">
        <x:v>229</x:v>
      </x:c>
      <x:c r="B230" s="10" t="s">
        <x:v>29</x:v>
      </x:c>
      <x:c r="C230" s="10" t="s">
        <x:v>304</x:v>
      </x:c>
      <x:c r="D230" s="10" t="s">
        <x:v>62</x:v>
      </x:c>
      <x:c r="E230" s="10" t="s">
        <x:v>310</x:v>
      </x:c>
      <x:c r="F230" s="10" t="s">
        <x:v>3</x:v>
      </x:c>
      <x:c r="G230" s="10" t="s">
        <x:v>52</x:v>
      </x:c>
      <x:c r="H230" s="10" t="s">
        <x:v>64</x:v>
      </x:c>
      <x:c r="I230" s="10"/>
      <x:c r="J230" s="10"/>
      <x:c r="K230" s="10"/>
      <x:c r="L230" s="10"/>
      <x:c r="M230" s="10">
        <x:f t="shared" si="3"/>
        <x:v>0</x:v>
      </x:c>
    </x:row>
    <x:row r="231" ht="27.600000381469727">
      <x:c r="A231" s="10">
        <x:v>230</x:v>
      </x:c>
      <x:c r="B231" s="10" t="s">
        <x:v>29</x:v>
      </x:c>
      <x:c r="C231" s="10" t="s">
        <x:v>304</x:v>
      </x:c>
      <x:c r="D231" s="10" t="s">
        <x:v>78</x:v>
      </x:c>
      <x:c r="E231" s="10" t="s">
        <x:v>311</x:v>
      </x:c>
      <x:c r="F231" s="10" t="s">
        <x:v>3</x:v>
      </x:c>
      <x:c r="G231" s="10" t="s">
        <x:v>64</x:v>
      </x:c>
      <x:c r="H231" s="10" t="s">
        <x:v>64</x:v>
      </x:c>
      <x:c r="I231" s="10"/>
      <x:c r="J231" s="10"/>
      <x:c r="K231" s="10"/>
      <x:c r="L231" s="10"/>
      <x:c r="M231" s="10">
        <x:f t="shared" si="3"/>
        <x:v>0</x:v>
      </x:c>
    </x:row>
    <x:row r="232" ht="27.600000381469727">
      <x:c r="A232" s="10">
        <x:v>231</x:v>
      </x:c>
      <x:c r="B232" s="10" t="s">
        <x:v>29</x:v>
      </x:c>
      <x:c r="C232" s="10" t="s">
        <x:v>304</x:v>
      </x:c>
      <x:c r="D232" s="10" t="s">
        <x:v>78</x:v>
      </x:c>
      <x:c r="E232" s="10" t="s">
        <x:v>82</x:v>
      </x:c>
      <x:c r="F232" s="10" t="s">
        <x:v>3</x:v>
      </x:c>
      <x:c r="G232" s="10" t="s">
        <x:v>64</x:v>
      </x:c>
      <x:c r="H232" s="10" t="s">
        <x:v>64</x:v>
      </x:c>
      <x:c r="I232" s="10"/>
      <x:c r="J232" s="10"/>
      <x:c r="K232" s="10"/>
      <x:c r="L232" s="10"/>
      <x:c r="M232" s="10">
        <x:f t="shared" si="3"/>
        <x:v>0</x:v>
      </x:c>
    </x:row>
    <x:row r="233" ht="27.600000381469727">
      <x:c r="A233" s="10">
        <x:v>232</x:v>
      </x:c>
      <x:c r="B233" s="10" t="s">
        <x:v>29</x:v>
      </x:c>
      <x:c r="C233" s="10" t="s">
        <x:v>304</x:v>
      </x:c>
      <x:c r="D233" s="10" t="s">
        <x:v>78</x:v>
      </x:c>
      <x:c r="E233" s="10" t="s">
        <x:v>312</x:v>
      </x:c>
      <x:c r="F233" s="10" t="s">
        <x:v>3</x:v>
      </x:c>
      <x:c r="G233" s="10" t="s">
        <x:v>64</x:v>
      </x:c>
      <x:c r="H233" s="10" t="s">
        <x:v>64</x:v>
      </x:c>
      <x:c r="I233" s="10"/>
      <x:c r="J233" s="10"/>
      <x:c r="K233" s="10"/>
      <x:c r="L233" s="10"/>
      <x:c r="M233" s="10">
        <x:f t="shared" si="3"/>
        <x:v>0</x:v>
      </x:c>
    </x:row>
    <x:row r="234" ht="27.600000381469727">
      <x:c r="A234" s="10">
        <x:v>233</x:v>
      </x:c>
      <x:c r="B234" s="10" t="s">
        <x:v>29</x:v>
      </x:c>
      <x:c r="C234" s="10" t="s">
        <x:v>304</x:v>
      </x:c>
      <x:c r="D234" s="10" t="s">
        <x:v>84</x:v>
      </x:c>
      <x:c r="E234" s="10" t="s">
        <x:v>313</x:v>
      </x:c>
      <x:c r="F234" s="10" t="s">
        <x:v>3</x:v>
      </x:c>
      <x:c r="G234" s="10" t="s">
        <x:v>52</x:v>
      </x:c>
      <x:c r="H234" s="10" t="s">
        <x:v>64</x:v>
      </x:c>
      <x:c r="I234" s="10"/>
      <x:c r="J234" s="10"/>
      <x:c r="K234" s="10"/>
      <x:c r="L234" s="10"/>
      <x:c r="M234" s="10">
        <x:f t="shared" si="3"/>
        <x:v>0</x:v>
      </x:c>
    </x:row>
    <x:row r="235" ht="27.600000381469727">
      <x:c r="A235" s="10">
        <x:v>234</x:v>
      </x:c>
      <x:c r="B235" s="10" t="s">
        <x:v>29</x:v>
      </x:c>
      <x:c r="C235" s="10" t="s">
        <x:v>304</x:v>
      </x:c>
      <x:c r="D235" s="10" t="s">
        <x:v>84</x:v>
      </x:c>
      <x:c r="E235" s="10" t="s">
        <x:v>314</x:v>
      </x:c>
      <x:c r="F235" s="10" t="s">
        <x:v>3</x:v>
      </x:c>
      <x:c r="G235" s="10" t="s">
        <x:v>52</x:v>
      </x:c>
      <x:c r="H235" s="10" t="s">
        <x:v>64</x:v>
      </x:c>
      <x:c r="I235" s="10"/>
      <x:c r="J235" s="10"/>
      <x:c r="K235" s="10"/>
      <x:c r="L235" s="10"/>
      <x:c r="M235" s="10">
        <x:f t="shared" si="3"/>
        <x:v>0</x:v>
      </x:c>
    </x:row>
    <x:row r="236" ht="27.600000381469727">
      <x:c r="A236" s="10">
        <x:v>235</x:v>
      </x:c>
      <x:c r="B236" s="10" t="s">
        <x:v>29</x:v>
      </x:c>
      <x:c r="C236" s="10" t="s">
        <x:v>304</x:v>
      </x:c>
      <x:c r="D236" s="10" t="s">
        <x:v>84</x:v>
      </x:c>
      <x:c r="E236" s="10" t="s">
        <x:v>315</x:v>
      </x:c>
      <x:c r="F236" s="10" t="s">
        <x:v>3</x:v>
      </x:c>
      <x:c r="G236" s="10" t="s">
        <x:v>52</x:v>
      </x:c>
      <x:c r="H236" s="10" t="s">
        <x:v>64</x:v>
      </x:c>
      <x:c r="I236" s="10"/>
      <x:c r="J236" s="10"/>
      <x:c r="K236" s="10"/>
      <x:c r="L236" s="10"/>
      <x:c r="M236" s="10">
        <x:f t="shared" si="3"/>
        <x:v>0</x:v>
      </x:c>
    </x:row>
    <x:row r="237" ht="27.600000381469727">
      <x:c r="A237" s="10">
        <x:v>236</x:v>
      </x:c>
      <x:c r="B237" s="10" t="s">
        <x:v>30</x:v>
      </x:c>
      <x:c r="C237" s="10" t="s">
        <x:v>316</x:v>
      </x:c>
      <x:c r="D237" s="10" t="s">
        <x:v>62</x:v>
      </x:c>
      <x:c r="E237" s="10" t="s">
        <x:v>317</x:v>
      </x:c>
      <x:c r="F237" s="10" t="s">
        <x:v>3</x:v>
      </x:c>
      <x:c r="G237" s="10" t="s">
        <x:v>64</x:v>
      </x:c>
      <x:c r="H237" s="10" t="s">
        <x:v>64</x:v>
      </x:c>
      <x:c r="I237" s="10"/>
      <x:c r="J237" s="10"/>
      <x:c r="K237" s="10"/>
      <x:c r="L237" s="10"/>
      <x:c r="M237" s="10">
        <x:f t="shared" si="3"/>
        <x:v>0</x:v>
      </x:c>
    </x:row>
    <x:row r="238" ht="27.600000381469727">
      <x:c r="A238" s="10">
        <x:v>237</x:v>
      </x:c>
      <x:c r="B238" s="10" t="s">
        <x:v>30</x:v>
      </x:c>
      <x:c r="C238" s="10" t="s">
        <x:v>316</x:v>
      </x:c>
      <x:c r="D238" s="10" t="s">
        <x:v>62</x:v>
      </x:c>
      <x:c r="E238" s="10" t="s">
        <x:v>318</x:v>
      </x:c>
      <x:c r="F238" s="10" t="s">
        <x:v>3</x:v>
      </x:c>
      <x:c r="G238" s="10" t="s">
        <x:v>64</x:v>
      </x:c>
      <x:c r="H238" s="10" t="s">
        <x:v>64</x:v>
      </x:c>
      <x:c r="I238" s="10"/>
      <x:c r="J238" s="10"/>
      <x:c r="K238" s="10"/>
      <x:c r="L238" s="10"/>
      <x:c r="M238" s="10">
        <x:f t="shared" si="3"/>
        <x:v>0</x:v>
      </x:c>
    </x:row>
    <x:row r="239" ht="27.600000381469727">
      <x:c r="A239" s="10">
        <x:v>238</x:v>
      </x:c>
      <x:c r="B239" s="10" t="s">
        <x:v>30</x:v>
      </x:c>
      <x:c r="C239" s="10" t="s">
        <x:v>316</x:v>
      </x:c>
      <x:c r="D239" s="10" t="s">
        <x:v>62</x:v>
      </x:c>
      <x:c r="E239" s="10" t="s">
        <x:v>319</x:v>
      </x:c>
      <x:c r="F239" s="10" t="s">
        <x:v>3</x:v>
      </x:c>
      <x:c r="G239" s="10" t="s">
        <x:v>64</x:v>
      </x:c>
      <x:c r="H239" s="10" t="s">
        <x:v>64</x:v>
      </x:c>
      <x:c r="I239" s="10"/>
      <x:c r="J239" s="10"/>
      <x:c r="K239" s="10"/>
      <x:c r="L239" s="10"/>
      <x:c r="M239" s="10">
        <x:f t="shared" si="3"/>
        <x:v>0</x:v>
      </x:c>
    </x:row>
    <x:row r="240" ht="27.600000381469727">
      <x:c r="A240" s="10">
        <x:v>239</x:v>
      </x:c>
      <x:c r="B240" s="10" t="s">
        <x:v>30</x:v>
      </x:c>
      <x:c r="C240" s="10" t="s">
        <x:v>316</x:v>
      </x:c>
      <x:c r="D240" s="10" t="s">
        <x:v>62</x:v>
      </x:c>
      <x:c r="E240" s="10" t="s">
        <x:v>320</x:v>
      </x:c>
      <x:c r="F240" s="10" t="s">
        <x:v>3</x:v>
      </x:c>
      <x:c r="G240" s="10" t="s">
        <x:v>64</x:v>
      </x:c>
      <x:c r="H240" s="10" t="s">
        <x:v>64</x:v>
      </x:c>
      <x:c r="I240" s="10"/>
      <x:c r="J240" s="10"/>
      <x:c r="K240" s="10"/>
      <x:c r="L240" s="10"/>
      <x:c r="M240" s="10">
        <x:f t="shared" si="3"/>
        <x:v>0</x:v>
      </x:c>
    </x:row>
    <x:row r="241" ht="27.600000381469727">
      <x:c r="A241" s="10">
        <x:v>240</x:v>
      </x:c>
      <x:c r="B241" s="10" t="s">
        <x:v>30</x:v>
      </x:c>
      <x:c r="C241" s="10" t="s">
        <x:v>316</x:v>
      </x:c>
      <x:c r="D241" s="10" t="s">
        <x:v>62</x:v>
      </x:c>
      <x:c r="E241" s="10" t="s">
        <x:v>321</x:v>
      </x:c>
      <x:c r="F241" s="10" t="s">
        <x:v>3</x:v>
      </x:c>
      <x:c r="G241" s="10" t="s">
        <x:v>64</x:v>
      </x:c>
      <x:c r="H241" s="10" t="s">
        <x:v>64</x:v>
      </x:c>
      <x:c r="I241" s="10"/>
      <x:c r="J241" s="10"/>
      <x:c r="K241" s="10"/>
      <x:c r="L241" s="10"/>
      <x:c r="M241" s="10">
        <x:f t="shared" si="3"/>
        <x:v>0</x:v>
      </x:c>
    </x:row>
    <x:row r="242" ht="27.600000381469727">
      <x:c r="A242" s="10">
        <x:v>241</x:v>
      </x:c>
      <x:c r="B242" s="10" t="s">
        <x:v>30</x:v>
      </x:c>
      <x:c r="C242" s="10" t="s">
        <x:v>316</x:v>
      </x:c>
      <x:c r="D242" s="10" t="s">
        <x:v>62</x:v>
      </x:c>
      <x:c r="E242" s="10" t="s">
        <x:v>322</x:v>
      </x:c>
      <x:c r="F242" s="10" t="s">
        <x:v>3</x:v>
      </x:c>
      <x:c r="G242" s="10" t="s">
        <x:v>64</x:v>
      </x:c>
      <x:c r="H242" s="10" t="s">
        <x:v>64</x:v>
      </x:c>
      <x:c r="I242" s="10"/>
      <x:c r="J242" s="10"/>
      <x:c r="K242" s="10"/>
      <x:c r="L242" s="10"/>
      <x:c r="M242" s="10">
        <x:f t="shared" si="3"/>
        <x:v>0</x:v>
      </x:c>
    </x:row>
    <x:row r="243" ht="27.600000381469727">
      <x:c r="A243" s="10">
        <x:v>242</x:v>
      </x:c>
      <x:c r="B243" s="10" t="s">
        <x:v>30</x:v>
      </x:c>
      <x:c r="C243" s="10" t="s">
        <x:v>316</x:v>
      </x:c>
      <x:c r="D243" s="10" t="s">
        <x:v>62</x:v>
      </x:c>
      <x:c r="E243" s="10" t="s">
        <x:v>323</x:v>
      </x:c>
      <x:c r="F243" s="10" t="s">
        <x:v>3</x:v>
      </x:c>
      <x:c r="G243" s="10" t="s">
        <x:v>64</x:v>
      </x:c>
      <x:c r="H243" s="10" t="s">
        <x:v>64</x:v>
      </x:c>
      <x:c r="I243" s="10"/>
      <x:c r="J243" s="10"/>
      <x:c r="K243" s="10"/>
      <x:c r="L243" s="10"/>
      <x:c r="M243" s="10">
        <x:f t="shared" si="3"/>
        <x:v>0</x:v>
      </x:c>
    </x:row>
    <x:row r="244" ht="27.600000381469727">
      <x:c r="A244" s="10">
        <x:v>243</x:v>
      </x:c>
      <x:c r="B244" s="10" t="s">
        <x:v>30</x:v>
      </x:c>
      <x:c r="C244" s="10" t="s">
        <x:v>316</x:v>
      </x:c>
      <x:c r="D244" s="10" t="s">
        <x:v>62</x:v>
      </x:c>
      <x:c r="E244" s="10" t="s">
        <x:v>324</x:v>
      </x:c>
      <x:c r="F244" s="10" t="s">
        <x:v>3</x:v>
      </x:c>
      <x:c r="G244" s="10" t="s">
        <x:v>64</x:v>
      </x:c>
      <x:c r="H244" s="10" t="s">
        <x:v>64</x:v>
      </x:c>
      <x:c r="I244" s="10"/>
      <x:c r="J244" s="10"/>
      <x:c r="K244" s="10"/>
      <x:c r="L244" s="10"/>
      <x:c r="M244" s="10">
        <x:f t="shared" si="3"/>
        <x:v>0</x:v>
      </x:c>
    </x:row>
    <x:row r="245" ht="27.600000381469727">
      <x:c r="A245" s="10">
        <x:v>244</x:v>
      </x:c>
      <x:c r="B245" s="10" t="s">
        <x:v>30</x:v>
      </x:c>
      <x:c r="C245" s="10" t="s">
        <x:v>316</x:v>
      </x:c>
      <x:c r="D245" s="10" t="s">
        <x:v>78</x:v>
      </x:c>
      <x:c r="E245" s="10" t="s">
        <x:v>325</x:v>
      </x:c>
      <x:c r="F245" s="10" t="s">
        <x:v>3</x:v>
      </x:c>
      <x:c r="G245" s="10" t="s">
        <x:v>64</x:v>
      </x:c>
      <x:c r="H245" s="10" t="s">
        <x:v>64</x:v>
      </x:c>
      <x:c r="I245" s="10"/>
      <x:c r="J245" s="10"/>
      <x:c r="K245" s="10"/>
      <x:c r="L245" s="10"/>
      <x:c r="M245" s="10">
        <x:f t="shared" si="3"/>
        <x:v>0</x:v>
      </x:c>
    </x:row>
    <x:row r="246" ht="27.600000381469727">
      <x:c r="A246" s="10">
        <x:v>245</x:v>
      </x:c>
      <x:c r="B246" s="10" t="s">
        <x:v>30</x:v>
      </x:c>
      <x:c r="C246" s="10" t="s">
        <x:v>316</x:v>
      </x:c>
      <x:c r="D246" s="10" t="s">
        <x:v>78</x:v>
      </x:c>
      <x:c r="E246" s="10" t="s">
        <x:v>326</x:v>
      </x:c>
      <x:c r="F246" s="10" t="s">
        <x:v>3</x:v>
      </x:c>
      <x:c r="G246" s="10" t="s">
        <x:v>64</x:v>
      </x:c>
      <x:c r="H246" s="10" t="s">
        <x:v>64</x:v>
      </x:c>
      <x:c r="I246" s="10"/>
      <x:c r="J246" s="10"/>
      <x:c r="K246" s="10"/>
      <x:c r="L246" s="10"/>
      <x:c r="M246" s="10">
        <x:f t="shared" si="3"/>
        <x:v>0</x:v>
      </x:c>
    </x:row>
    <x:row r="247" ht="27.600000381469727">
      <x:c r="A247" s="10">
        <x:v>246</x:v>
      </x:c>
      <x:c r="B247" s="10" t="s">
        <x:v>30</x:v>
      </x:c>
      <x:c r="C247" s="10" t="s">
        <x:v>316</x:v>
      </x:c>
      <x:c r="D247" s="10" t="s">
        <x:v>78</x:v>
      </x:c>
      <x:c r="E247" s="10" t="s">
        <x:v>327</x:v>
      </x:c>
      <x:c r="F247" s="10" t="s">
        <x:v>3</x:v>
      </x:c>
      <x:c r="G247" s="10" t="s">
        <x:v>64</x:v>
      </x:c>
      <x:c r="H247" s="10" t="s">
        <x:v>64</x:v>
      </x:c>
      <x:c r="I247" s="10"/>
      <x:c r="J247" s="10"/>
      <x:c r="K247" s="10"/>
      <x:c r="L247" s="10"/>
      <x:c r="M247" s="10">
        <x:f t="shared" si="3"/>
        <x:v>0</x:v>
      </x:c>
    </x:row>
    <x:row r="248" ht="27.600000381469727">
      <x:c r="A248" s="10">
        <x:v>247</x:v>
      </x:c>
      <x:c r="B248" s="10" t="s">
        <x:v>30</x:v>
      </x:c>
      <x:c r="C248" s="10" t="s">
        <x:v>316</x:v>
      </x:c>
      <x:c r="D248" s="10" t="s">
        <x:v>78</x:v>
      </x:c>
      <x:c r="E248" s="10" t="s">
        <x:v>328</x:v>
      </x:c>
      <x:c r="F248" s="10" t="s">
        <x:v>3</x:v>
      </x:c>
      <x:c r="G248" s="10" t="s">
        <x:v>64</x:v>
      </x:c>
      <x:c r="H248" s="10" t="s">
        <x:v>64</x:v>
      </x:c>
      <x:c r="I248" s="10"/>
      <x:c r="J248" s="10"/>
      <x:c r="K248" s="10"/>
      <x:c r="L248" s="10"/>
      <x:c r="M248" s="10">
        <x:f t="shared" si="3"/>
        <x:v>0</x:v>
      </x:c>
    </x:row>
    <x:row r="249" ht="27.600000381469727">
      <x:c r="A249" s="10">
        <x:v>248</x:v>
      </x:c>
      <x:c r="B249" s="10" t="s">
        <x:v>30</x:v>
      </x:c>
      <x:c r="C249" s="10" t="s">
        <x:v>316</x:v>
      </x:c>
      <x:c r="D249" s="10" t="s">
        <x:v>78</x:v>
      </x:c>
      <x:c r="E249" s="10" t="s">
        <x:v>329</x:v>
      </x:c>
      <x:c r="F249" s="10" t="s">
        <x:v>3</x:v>
      </x:c>
      <x:c r="G249" s="10" t="s">
        <x:v>64</x:v>
      </x:c>
      <x:c r="H249" s="10" t="s">
        <x:v>64</x:v>
      </x:c>
      <x:c r="I249" s="10"/>
      <x:c r="J249" s="10"/>
      <x:c r="K249" s="10"/>
      <x:c r="L249" s="10"/>
      <x:c r="M249" s="10">
        <x:f t="shared" si="3"/>
        <x:v>0</x:v>
      </x:c>
    </x:row>
    <x:row r="250" ht="27.600000381469727">
      <x:c r="A250" s="10">
        <x:v>249</x:v>
      </x:c>
      <x:c r="B250" s="10" t="s">
        <x:v>30</x:v>
      </x:c>
      <x:c r="C250" s="10" t="s">
        <x:v>316</x:v>
      </x:c>
      <x:c r="D250" s="10" t="s">
        <x:v>84</x:v>
      </x:c>
      <x:c r="E250" s="10" t="s">
        <x:v>330</x:v>
      </x:c>
      <x:c r="F250" s="10" t="s">
        <x:v>3</x:v>
      </x:c>
      <x:c r="G250" s="10" t="s">
        <x:v>64</x:v>
      </x:c>
      <x:c r="H250" s="10" t="s">
        <x:v>64</x:v>
      </x:c>
      <x:c r="I250" s="10"/>
      <x:c r="J250" s="10"/>
      <x:c r="K250" s="10"/>
      <x:c r="L250" s="10"/>
      <x:c r="M250" s="10">
        <x:f t="shared" si="3"/>
        <x:v>0</x:v>
      </x:c>
    </x:row>
    <x:row r="251" ht="27.600000381469727">
      <x:c r="A251" s="10">
        <x:v>250</x:v>
      </x:c>
      <x:c r="B251" s="10" t="s">
        <x:v>30</x:v>
      </x:c>
      <x:c r="C251" s="10" t="s">
        <x:v>316</x:v>
      </x:c>
      <x:c r="D251" s="10" t="s">
        <x:v>84</x:v>
      </x:c>
      <x:c r="E251" s="10" t="s">
        <x:v>331</x:v>
      </x:c>
      <x:c r="F251" s="10" t="s">
        <x:v>3</x:v>
      </x:c>
      <x:c r="G251" s="10" t="s">
        <x:v>64</x:v>
      </x:c>
      <x:c r="H251" s="10" t="s">
        <x:v>64</x:v>
      </x:c>
      <x:c r="I251" s="10"/>
      <x:c r="J251" s="10"/>
      <x:c r="K251" s="10"/>
      <x:c r="L251" s="10"/>
      <x:c r="M251" s="10">
        <x:f t="shared" si="3"/>
        <x:v>0</x:v>
      </x:c>
    </x:row>
    <x:row r="252" ht="27.600000381469727">
      <x:c r="A252" s="10">
        <x:v>251</x:v>
      </x:c>
      <x:c r="B252" s="10" t="s">
        <x:v>30</x:v>
      </x:c>
      <x:c r="C252" s="10" t="s">
        <x:v>316</x:v>
      </x:c>
      <x:c r="D252" s="10" t="s">
        <x:v>84</x:v>
      </x:c>
      <x:c r="E252" s="10" t="s">
        <x:v>332</x:v>
      </x:c>
      <x:c r="F252" s="10" t="s">
        <x:v>3</x:v>
      </x:c>
      <x:c r="G252" s="10" t="s">
        <x:v>64</x:v>
      </x:c>
      <x:c r="H252" s="10" t="s">
        <x:v>64</x:v>
      </x:c>
      <x:c r="I252" s="10"/>
      <x:c r="J252" s="10"/>
      <x:c r="K252" s="10"/>
      <x:c r="L252" s="10"/>
      <x:c r="M252" s="10">
        <x:f t="shared" si="3"/>
        <x:v>0</x:v>
      </x:c>
    </x:row>
    <x:row r="253" ht="27.600000381469727">
      <x:c r="A253" s="10">
        <x:v>252</x:v>
      </x:c>
      <x:c r="B253" s="10" t="s">
        <x:v>30</x:v>
      </x:c>
      <x:c r="C253" s="10" t="s">
        <x:v>316</x:v>
      </x:c>
      <x:c r="D253" s="10" t="s">
        <x:v>84</x:v>
      </x:c>
      <x:c r="E253" s="10" t="s">
        <x:v>333</x:v>
      </x:c>
      <x:c r="F253" s="10" t="s">
        <x:v>3</x:v>
      </x:c>
      <x:c r="G253" s="10" t="s">
        <x:v>64</x:v>
      </x:c>
      <x:c r="H253" s="10" t="s">
        <x:v>64</x:v>
      </x:c>
      <x:c r="I253" s="10"/>
      <x:c r="J253" s="10"/>
      <x:c r="K253" s="10"/>
      <x:c r="L253" s="10"/>
      <x:c r="M253" s="10">
        <x:f t="shared" si="3"/>
        <x:v>0</x:v>
      </x:c>
    </x:row>
    <x:row r="254" ht="27.600000381469727">
      <x:c r="A254" s="10">
        <x:v>253</x:v>
      </x:c>
      <x:c r="B254" s="10" t="s">
        <x:v>31</x:v>
      </x:c>
      <x:c r="C254" s="10" t="s">
        <x:v>334</x:v>
      </x:c>
      <x:c r="D254" s="10" t="s">
        <x:v>62</x:v>
      </x:c>
      <x:c r="E254" s="10" t="s">
        <x:v>335</x:v>
      </x:c>
      <x:c r="F254" s="10" t="s">
        <x:v>3</x:v>
      </x:c>
      <x:c r="G254" s="10" t="s">
        <x:v>64</x:v>
      </x:c>
      <x:c r="H254" s="10" t="s">
        <x:v>64</x:v>
      </x:c>
      <x:c r="I254" s="10"/>
      <x:c r="J254" s="10"/>
      <x:c r="K254" s="10"/>
      <x:c r="L254" s="10"/>
      <x:c r="M254" s="10">
        <x:f t="shared" si="3"/>
        <x:v>0</x:v>
      </x:c>
    </x:row>
    <x:row r="255" ht="27.600000381469727">
      <x:c r="A255" s="10">
        <x:v>254</x:v>
      </x:c>
      <x:c r="B255" s="10" t="s">
        <x:v>31</x:v>
      </x:c>
      <x:c r="C255" s="10" t="s">
        <x:v>334</x:v>
      </x:c>
      <x:c r="D255" s="10" t="s">
        <x:v>62</x:v>
      </x:c>
      <x:c r="E255" s="10" t="s">
        <x:v>336</x:v>
      </x:c>
      <x:c r="F255" s="10" t="s">
        <x:v>3</x:v>
      </x:c>
      <x:c r="G255" s="10" t="s">
        <x:v>64</x:v>
      </x:c>
      <x:c r="H255" s="10" t="s">
        <x:v>64</x:v>
      </x:c>
      <x:c r="I255" s="10"/>
      <x:c r="J255" s="10"/>
      <x:c r="K255" s="10"/>
      <x:c r="L255" s="10"/>
      <x:c r="M255" s="10">
        <x:f t="shared" si="3"/>
        <x:v>0</x:v>
      </x:c>
    </x:row>
    <x:row r="256" ht="27.600000381469727">
      <x:c r="A256" s="10">
        <x:v>255</x:v>
      </x:c>
      <x:c r="B256" s="10" t="s">
        <x:v>31</x:v>
      </x:c>
      <x:c r="C256" s="10" t="s">
        <x:v>334</x:v>
      </x:c>
      <x:c r="D256" s="10" t="s">
        <x:v>62</x:v>
      </x:c>
      <x:c r="E256" s="10" t="s">
        <x:v>337</x:v>
      </x:c>
      <x:c r="F256" s="10" t="s">
        <x:v>3</x:v>
      </x:c>
      <x:c r="G256" s="10" t="s">
        <x:v>52</x:v>
      </x:c>
      <x:c r="H256" s="10" t="s">
        <x:v>64</x:v>
      </x:c>
      <x:c r="I256" s="10"/>
      <x:c r="J256" s="10"/>
      <x:c r="K256" s="10"/>
      <x:c r="L256" s="10"/>
      <x:c r="M256" s="10">
        <x:f t="shared" si="3"/>
        <x:v>0</x:v>
      </x:c>
    </x:row>
    <x:row r="257" ht="27.600000381469727">
      <x:c r="A257" s="10">
        <x:v>256</x:v>
      </x:c>
      <x:c r="B257" s="10" t="s">
        <x:v>31</x:v>
      </x:c>
      <x:c r="C257" s="10" t="s">
        <x:v>334</x:v>
      </x:c>
      <x:c r="D257" s="10" t="s">
        <x:v>62</x:v>
      </x:c>
      <x:c r="E257" s="10" t="s">
        <x:v>338</x:v>
      </x:c>
      <x:c r="F257" s="10" t="s">
        <x:v>3</x:v>
      </x:c>
      <x:c r="G257" s="10" t="s">
        <x:v>52</x:v>
      </x:c>
      <x:c r="H257" s="10" t="s">
        <x:v>64</x:v>
      </x:c>
      <x:c r="I257" s="10"/>
      <x:c r="J257" s="10"/>
      <x:c r="K257" s="10"/>
      <x:c r="L257" s="10"/>
      <x:c r="M257" s="10">
        <x:f t="shared" si="3"/>
        <x:v>0</x:v>
      </x:c>
    </x:row>
    <x:row r="258" ht="27.600000381469727">
      <x:c r="A258" s="10">
        <x:v>257</x:v>
      </x:c>
      <x:c r="B258" s="10" t="s">
        <x:v>31</x:v>
      </x:c>
      <x:c r="C258" s="10" t="s">
        <x:v>334</x:v>
      </x:c>
      <x:c r="D258" s="10" t="s">
        <x:v>62</x:v>
      </x:c>
      <x:c r="E258" s="10" t="s">
        <x:v>339</x:v>
      </x:c>
      <x:c r="F258" s="10" t="s">
        <x:v>3</x:v>
      </x:c>
      <x:c r="G258" s="10" t="s">
        <x:v>52</x:v>
      </x:c>
      <x:c r="H258" s="10" t="s">
        <x:v>64</x:v>
      </x:c>
      <x:c r="I258" s="10"/>
      <x:c r="J258" s="10"/>
      <x:c r="K258" s="10"/>
      <x:c r="L258" s="10"/>
      <x:c r="M258" s="10" t="n">
        <x:f t="shared" ref="M258:M321" si="4">IF(F258="Hoàn thành",1,0)</x:f>
        <x:v>0</x:v>
      </x:c>
    </x:row>
    <x:row r="259" ht="27.600000381469727">
      <x:c r="A259" s="10">
        <x:v>258</x:v>
      </x:c>
      <x:c r="B259" s="10" t="s">
        <x:v>31</x:v>
      </x:c>
      <x:c r="C259" s="10" t="s">
        <x:v>334</x:v>
      </x:c>
      <x:c r="D259" s="10" t="s">
        <x:v>62</x:v>
      </x:c>
      <x:c r="E259" s="10" t="s">
        <x:v>340</x:v>
      </x:c>
      <x:c r="F259" s="10" t="s">
        <x:v>3</x:v>
      </x:c>
      <x:c r="G259" s="10" t="s">
        <x:v>52</x:v>
      </x:c>
      <x:c r="H259" s="10" t="s">
        <x:v>64</x:v>
      </x:c>
      <x:c r="I259" s="10"/>
      <x:c r="J259" s="10"/>
      <x:c r="K259" s="10"/>
      <x:c r="L259" s="10"/>
      <x:c r="M259" s="10">
        <x:f t="shared" si="4"/>
        <x:v>0</x:v>
      </x:c>
    </x:row>
    <x:row r="260" ht="27.600000381469727">
      <x:c r="A260" s="10">
        <x:v>259</x:v>
      </x:c>
      <x:c r="B260" s="10" t="s">
        <x:v>31</x:v>
      </x:c>
      <x:c r="C260" s="10" t="s">
        <x:v>334</x:v>
      </x:c>
      <x:c r="D260" s="10" t="s">
        <x:v>62</x:v>
      </x:c>
      <x:c r="E260" s="10" t="s">
        <x:v>341</x:v>
      </x:c>
      <x:c r="F260" s="10" t="s">
        <x:v>3</x:v>
      </x:c>
      <x:c r="G260" s="10" t="s">
        <x:v>52</x:v>
      </x:c>
      <x:c r="H260" s="10" t="s">
        <x:v>64</x:v>
      </x:c>
      <x:c r="I260" s="10"/>
      <x:c r="J260" s="10"/>
      <x:c r="K260" s="10"/>
      <x:c r="L260" s="10"/>
      <x:c r="M260" s="10">
        <x:f t="shared" si="4"/>
        <x:v>0</x:v>
      </x:c>
    </x:row>
    <x:row r="261" ht="27.600000381469727">
      <x:c r="A261" s="10">
        <x:v>260</x:v>
      </x:c>
      <x:c r="B261" s="10" t="s">
        <x:v>31</x:v>
      </x:c>
      <x:c r="C261" s="10" t="s">
        <x:v>334</x:v>
      </x:c>
      <x:c r="D261" s="10" t="s">
        <x:v>62</x:v>
      </x:c>
      <x:c r="E261" s="10" t="s">
        <x:v>342</x:v>
      </x:c>
      <x:c r="F261" s="10" t="s">
        <x:v>3</x:v>
      </x:c>
      <x:c r="G261" s="10" t="s">
        <x:v>52</x:v>
      </x:c>
      <x:c r="H261" s="10" t="s">
        <x:v>64</x:v>
      </x:c>
      <x:c r="I261" s="10"/>
      <x:c r="J261" s="10"/>
      <x:c r="K261" s="10"/>
      <x:c r="L261" s="10"/>
      <x:c r="M261" s="10">
        <x:f t="shared" si="4"/>
        <x:v>0</x:v>
      </x:c>
    </x:row>
    <x:row r="262" ht="27.600000381469727">
      <x:c r="A262" s="10">
        <x:v>261</x:v>
      </x:c>
      <x:c r="B262" s="10" t="s">
        <x:v>31</x:v>
      </x:c>
      <x:c r="C262" s="10" t="s">
        <x:v>334</x:v>
      </x:c>
      <x:c r="D262" s="10" t="s">
        <x:v>343</x:v>
      </x:c>
      <x:c r="E262" s="10" t="s">
        <x:v>344</x:v>
      </x:c>
      <x:c r="F262" s="10" t="s">
        <x:v>3</x:v>
      </x:c>
      <x:c r="G262" s="10" t="s">
        <x:v>52</x:v>
      </x:c>
      <x:c r="H262" s="10" t="s">
        <x:v>64</x:v>
      </x:c>
      <x:c r="I262" s="10"/>
      <x:c r="J262" s="10"/>
      <x:c r="K262" s="10"/>
      <x:c r="L262" s="10"/>
      <x:c r="M262" s="10">
        <x:f t="shared" si="4"/>
        <x:v>0</x:v>
      </x:c>
    </x:row>
    <x:row r="263" ht="27.600000381469727">
      <x:c r="A263" s="10">
        <x:v>262</x:v>
      </x:c>
      <x:c r="B263" s="10" t="s">
        <x:v>31</x:v>
      </x:c>
      <x:c r="C263" s="10" t="s">
        <x:v>334</x:v>
      </x:c>
      <x:c r="D263" s="10" t="s">
        <x:v>343</x:v>
      </x:c>
      <x:c r="E263" s="10" t="s">
        <x:v>345</x:v>
      </x:c>
      <x:c r="F263" s="10" t="s">
        <x:v>3</x:v>
      </x:c>
      <x:c r="G263" s="10" t="s">
        <x:v>64</x:v>
      </x:c>
      <x:c r="H263" s="10" t="s">
        <x:v>64</x:v>
      </x:c>
      <x:c r="I263" s="10"/>
      <x:c r="J263" s="10"/>
      <x:c r="K263" s="10"/>
      <x:c r="L263" s="10"/>
      <x:c r="M263" s="10">
        <x:f t="shared" si="4"/>
        <x:v>0</x:v>
      </x:c>
    </x:row>
    <x:row r="264" ht="27.600000381469727">
      <x:c r="A264" s="10">
        <x:v>263</x:v>
      </x:c>
      <x:c r="B264" s="10" t="s">
        <x:v>31</x:v>
      </x:c>
      <x:c r="C264" s="10" t="s">
        <x:v>334</x:v>
      </x:c>
      <x:c r="D264" s="10" t="s">
        <x:v>343</x:v>
      </x:c>
      <x:c r="E264" s="10" t="s">
        <x:v>346</x:v>
      </x:c>
      <x:c r="F264" s="10" t="s">
        <x:v>3</x:v>
      </x:c>
      <x:c r="G264" s="10" t="s">
        <x:v>64</x:v>
      </x:c>
      <x:c r="H264" s="10" t="s">
        <x:v>64</x:v>
      </x:c>
      <x:c r="I264" s="10"/>
      <x:c r="J264" s="10"/>
      <x:c r="K264" s="10"/>
      <x:c r="L264" s="10"/>
      <x:c r="M264" s="10">
        <x:f t="shared" si="4"/>
        <x:v>0</x:v>
      </x:c>
    </x:row>
    <x:row r="265" ht="27.600000381469727">
      <x:c r="A265" s="10">
        <x:v>264</x:v>
      </x:c>
      <x:c r="B265" s="10" t="s">
        <x:v>31</x:v>
      </x:c>
      <x:c r="C265" s="10" t="s">
        <x:v>334</x:v>
      </x:c>
      <x:c r="D265" s="10" t="s">
        <x:v>343</x:v>
      </x:c>
      <x:c r="E265" s="10" t="s">
        <x:v>347</x:v>
      </x:c>
      <x:c r="F265" s="10" t="s">
        <x:v>3</x:v>
      </x:c>
      <x:c r="G265" s="10" t="s">
        <x:v>64</x:v>
      </x:c>
      <x:c r="H265" s="10" t="s">
        <x:v>64</x:v>
      </x:c>
      <x:c r="I265" s="10"/>
      <x:c r="J265" s="10"/>
      <x:c r="K265" s="10"/>
      <x:c r="L265" s="10"/>
      <x:c r="M265" s="10">
        <x:f t="shared" si="4"/>
        <x:v>0</x:v>
      </x:c>
    </x:row>
    <x:row r="266" ht="27.600000381469727">
      <x:c r="A266" s="10">
        <x:v>265</x:v>
      </x:c>
      <x:c r="B266" s="10" t="s">
        <x:v>31</x:v>
      </x:c>
      <x:c r="C266" s="10" t="s">
        <x:v>334</x:v>
      </x:c>
      <x:c r="D266" s="10" t="s">
        <x:v>343</x:v>
      </x:c>
      <x:c r="E266" s="10" t="s">
        <x:v>348</x:v>
      </x:c>
      <x:c r="F266" s="10" t="s">
        <x:v>3</x:v>
      </x:c>
      <x:c r="G266" s="10" t="s">
        <x:v>64</x:v>
      </x:c>
      <x:c r="H266" s="10" t="s">
        <x:v>64</x:v>
      </x:c>
      <x:c r="I266" s="10"/>
      <x:c r="J266" s="10"/>
      <x:c r="K266" s="10"/>
      <x:c r="L266" s="10"/>
      <x:c r="M266" s="10">
        <x:f t="shared" si="4"/>
        <x:v>0</x:v>
      </x:c>
    </x:row>
    <x:row r="267" ht="27.600000381469727">
      <x:c r="A267" s="10">
        <x:v>266</x:v>
      </x:c>
      <x:c r="B267" s="10" t="s">
        <x:v>31</x:v>
      </x:c>
      <x:c r="C267" s="10" t="s">
        <x:v>334</x:v>
      </x:c>
      <x:c r="D267" s="10" t="s">
        <x:v>343</x:v>
      </x:c>
      <x:c r="E267" s="10" t="s">
        <x:v>349</x:v>
      </x:c>
      <x:c r="F267" s="10" t="s">
        <x:v>3</x:v>
      </x:c>
      <x:c r="G267" s="10" t="s">
        <x:v>52</x:v>
      </x:c>
      <x:c r="H267" s="10" t="s">
        <x:v>64</x:v>
      </x:c>
      <x:c r="I267" s="10"/>
      <x:c r="J267" s="10"/>
      <x:c r="K267" s="10"/>
      <x:c r="L267" s="10"/>
      <x:c r="M267" s="10">
        <x:f t="shared" si="4"/>
        <x:v>0</x:v>
      </x:c>
    </x:row>
    <x:row r="268" ht="27.600000381469727">
      <x:c r="A268" s="10">
        <x:v>267</x:v>
      </x:c>
      <x:c r="B268" s="10" t="s">
        <x:v>31</x:v>
      </x:c>
      <x:c r="C268" s="10" t="s">
        <x:v>334</x:v>
      </x:c>
      <x:c r="D268" s="10" t="s">
        <x:v>78</x:v>
      </x:c>
      <x:c r="E268" s="10" t="s">
        <x:v>350</x:v>
      </x:c>
      <x:c r="F268" s="10" t="s">
        <x:v>3</x:v>
      </x:c>
      <x:c r="G268" s="10" t="s">
        <x:v>64</x:v>
      </x:c>
      <x:c r="H268" s="10" t="s">
        <x:v>64</x:v>
      </x:c>
      <x:c r="I268" s="10"/>
      <x:c r="J268" s="10"/>
      <x:c r="K268" s="10"/>
      <x:c r="L268" s="10"/>
      <x:c r="M268" s="10">
        <x:f t="shared" si="4"/>
        <x:v>0</x:v>
      </x:c>
    </x:row>
    <x:row r="269" ht="27.600000381469727">
      <x:c r="A269" s="10">
        <x:v>268</x:v>
      </x:c>
      <x:c r="B269" s="10" t="s">
        <x:v>31</x:v>
      </x:c>
      <x:c r="C269" s="10" t="s">
        <x:v>334</x:v>
      </x:c>
      <x:c r="D269" s="10" t="s">
        <x:v>78</x:v>
      </x:c>
      <x:c r="E269" s="10" t="s">
        <x:v>351</x:v>
      </x:c>
      <x:c r="F269" s="10" t="s">
        <x:v>3</x:v>
      </x:c>
      <x:c r="G269" s="10" t="s">
        <x:v>64</x:v>
      </x:c>
      <x:c r="H269" s="10" t="s">
        <x:v>64</x:v>
      </x:c>
      <x:c r="I269" s="10"/>
      <x:c r="J269" s="10"/>
      <x:c r="K269" s="10"/>
      <x:c r="L269" s="10"/>
      <x:c r="M269" s="10">
        <x:f t="shared" si="4"/>
        <x:v>0</x:v>
      </x:c>
    </x:row>
    <x:row r="270" ht="27.600000381469727">
      <x:c r="A270" s="10">
        <x:v>269</x:v>
      </x:c>
      <x:c r="B270" s="10" t="s">
        <x:v>31</x:v>
      </x:c>
      <x:c r="C270" s="10" t="s">
        <x:v>334</x:v>
      </x:c>
      <x:c r="D270" s="10" t="s">
        <x:v>78</x:v>
      </x:c>
      <x:c r="E270" s="10" t="s">
        <x:v>352</x:v>
      </x:c>
      <x:c r="F270" s="10" t="s">
        <x:v>3</x:v>
      </x:c>
      <x:c r="G270" s="10" t="s">
        <x:v>64</x:v>
      </x:c>
      <x:c r="H270" s="10" t="s">
        <x:v>64</x:v>
      </x:c>
      <x:c r="I270" s="10"/>
      <x:c r="J270" s="10"/>
      <x:c r="K270" s="10"/>
      <x:c r="L270" s="10"/>
      <x:c r="M270" s="10">
        <x:f t="shared" si="4"/>
        <x:v>0</x:v>
      </x:c>
    </x:row>
    <x:row r="271" ht="27.600000381469727">
      <x:c r="A271" s="10">
        <x:v>270</x:v>
      </x:c>
      <x:c r="B271" s="10" t="s">
        <x:v>31</x:v>
      </x:c>
      <x:c r="C271" s="10" t="s">
        <x:v>334</x:v>
      </x:c>
      <x:c r="D271" s="10" t="s">
        <x:v>84</x:v>
      </x:c>
      <x:c r="E271" s="10" t="s">
        <x:v>353</x:v>
      </x:c>
      <x:c r="F271" s="10" t="s">
        <x:v>3</x:v>
      </x:c>
      <x:c r="G271" s="10" t="s">
        <x:v>52</x:v>
      </x:c>
      <x:c r="H271" s="10" t="s">
        <x:v>64</x:v>
      </x:c>
      <x:c r="I271" s="10"/>
      <x:c r="J271" s="10"/>
      <x:c r="K271" s="10"/>
      <x:c r="L271" s="10"/>
      <x:c r="M271" s="10">
        <x:f t="shared" si="4"/>
        <x:v>0</x:v>
      </x:c>
    </x:row>
    <x:row r="272" ht="27.600000381469727">
      <x:c r="A272" s="10">
        <x:v>271</x:v>
      </x:c>
      <x:c r="B272" s="10" t="s">
        <x:v>31</x:v>
      </x:c>
      <x:c r="C272" s="10" t="s">
        <x:v>334</x:v>
      </x:c>
      <x:c r="D272" s="10" t="s">
        <x:v>84</x:v>
      </x:c>
      <x:c r="E272" s="10" t="s">
        <x:v>354</x:v>
      </x:c>
      <x:c r="F272" s="10" t="s">
        <x:v>3</x:v>
      </x:c>
      <x:c r="G272" s="10" t="s">
        <x:v>52</x:v>
      </x:c>
      <x:c r="H272" s="10" t="s">
        <x:v>64</x:v>
      </x:c>
      <x:c r="I272" s="10"/>
      <x:c r="J272" s="10"/>
      <x:c r="K272" s="10"/>
      <x:c r="L272" s="10"/>
      <x:c r="M272" s="10">
        <x:f t="shared" si="4"/>
        <x:v>0</x:v>
      </x:c>
    </x:row>
    <x:row r="273" ht="27.600000381469727">
      <x:c r="A273" s="10">
        <x:v>272</x:v>
      </x:c>
      <x:c r="B273" s="10" t="s">
        <x:v>31</x:v>
      </x:c>
      <x:c r="C273" s="10" t="s">
        <x:v>334</x:v>
      </x:c>
      <x:c r="D273" s="10" t="s">
        <x:v>84</x:v>
      </x:c>
      <x:c r="E273" s="10" t="s">
        <x:v>355</x:v>
      </x:c>
      <x:c r="F273" s="10" t="s">
        <x:v>3</x:v>
      </x:c>
      <x:c r="G273" s="10" t="s">
        <x:v>52</x:v>
      </x:c>
      <x:c r="H273" s="10" t="s">
        <x:v>64</x:v>
      </x:c>
      <x:c r="I273" s="10"/>
      <x:c r="J273" s="10"/>
      <x:c r="K273" s="10"/>
      <x:c r="L273" s="10"/>
      <x:c r="M273" s="10">
        <x:f t="shared" si="4"/>
        <x:v>0</x:v>
      </x:c>
    </x:row>
    <x:row r="274" ht="27.600000381469727">
      <x:c r="A274" s="10">
        <x:v>273</x:v>
      </x:c>
      <x:c r="B274" s="10" t="s">
        <x:v>31</x:v>
      </x:c>
      <x:c r="C274" s="10" t="s">
        <x:v>334</x:v>
      </x:c>
      <x:c r="D274" s="10" t="s">
        <x:v>84</x:v>
      </x:c>
      <x:c r="E274" s="10" t="s">
        <x:v>356</x:v>
      </x:c>
      <x:c r="F274" s="10" t="s">
        <x:v>3</x:v>
      </x:c>
      <x:c r="G274" s="10" t="s">
        <x:v>52</x:v>
      </x:c>
      <x:c r="H274" s="10" t="s">
        <x:v>64</x:v>
      </x:c>
      <x:c r="I274" s="10"/>
      <x:c r="J274" s="10"/>
      <x:c r="K274" s="10"/>
      <x:c r="L274" s="10"/>
      <x:c r="M274" s="10">
        <x:f t="shared" si="4"/>
        <x:v>0</x:v>
      </x:c>
    </x:row>
    <x:row r="275" ht="27.600000381469727">
      <x:c r="A275" s="10">
        <x:v>274</x:v>
      </x:c>
      <x:c r="B275" s="10" t="s">
        <x:v>31</x:v>
      </x:c>
      <x:c r="C275" s="10" t="s">
        <x:v>334</x:v>
      </x:c>
      <x:c r="D275" s="10" t="s">
        <x:v>84</x:v>
      </x:c>
      <x:c r="E275" s="10" t="s">
        <x:v>357</x:v>
      </x:c>
      <x:c r="F275" s="10" t="s">
        <x:v>3</x:v>
      </x:c>
      <x:c r="G275" s="10" t="s">
        <x:v>52</x:v>
      </x:c>
      <x:c r="H275" s="10" t="s">
        <x:v>64</x:v>
      </x:c>
      <x:c r="I275" s="10"/>
      <x:c r="J275" s="10"/>
      <x:c r="K275" s="10"/>
      <x:c r="L275" s="10"/>
      <x:c r="M275" s="10">
        <x:f t="shared" si="4"/>
        <x:v>0</x:v>
      </x:c>
    </x:row>
    <x:row r="276">
      <x:c r="A276" s="10">
        <x:v>275</x:v>
      </x:c>
      <x:c r="B276" s="10" t="s">
        <x:v>31</x:v>
      </x:c>
      <x:c r="C276" s="10" t="s">
        <x:v>358</x:v>
      </x:c>
      <x:c r="D276" s="10" t="s">
        <x:v>62</x:v>
      </x:c>
      <x:c r="E276" s="10" t="s">
        <x:v>359</x:v>
      </x:c>
      <x:c r="F276" s="10" t="s">
        <x:v>3</x:v>
      </x:c>
      <x:c r="G276" s="10" t="s">
        <x:v>64</x:v>
      </x:c>
      <x:c r="H276" s="10" t="s">
        <x:v>64</x:v>
      </x:c>
      <x:c r="I276" s="10"/>
      <x:c r="J276" s="10"/>
      <x:c r="K276" s="10"/>
      <x:c r="L276" s="10"/>
      <x:c r="M276" s="10">
        <x:f t="shared" si="4"/>
        <x:v>0</x:v>
      </x:c>
    </x:row>
    <x:row r="277">
      <x:c r="A277" s="10">
        <x:v>276</x:v>
      </x:c>
      <x:c r="B277" s="10" t="s">
        <x:v>31</x:v>
      </x:c>
      <x:c r="C277" s="10" t="s">
        <x:v>358</x:v>
      </x:c>
      <x:c r="D277" s="10" t="s">
        <x:v>62</x:v>
      </x:c>
      <x:c r="E277" s="10" t="s">
        <x:v>360</x:v>
      </x:c>
      <x:c r="F277" s="10" t="s">
        <x:v>3</x:v>
      </x:c>
      <x:c r="G277" s="10" t="s">
        <x:v>64</x:v>
      </x:c>
      <x:c r="H277" s="10" t="s">
        <x:v>64</x:v>
      </x:c>
      <x:c r="I277" s="10"/>
      <x:c r="J277" s="10"/>
      <x:c r="K277" s="10"/>
      <x:c r="L277" s="10"/>
      <x:c r="M277" s="10">
        <x:f t="shared" si="4"/>
        <x:v>0</x:v>
      </x:c>
    </x:row>
    <x:row r="278">
      <x:c r="A278" s="10">
        <x:v>277</x:v>
      </x:c>
      <x:c r="B278" s="10" t="s">
        <x:v>31</x:v>
      </x:c>
      <x:c r="C278" s="10" t="s">
        <x:v>358</x:v>
      </x:c>
      <x:c r="D278" s="10" t="s">
        <x:v>62</x:v>
      </x:c>
      <x:c r="E278" s="10" t="s">
        <x:v>361</x:v>
      </x:c>
      <x:c r="F278" s="10" t="s">
        <x:v>3</x:v>
      </x:c>
      <x:c r="G278" s="10" t="s">
        <x:v>64</x:v>
      </x:c>
      <x:c r="H278" s="10" t="s">
        <x:v>64</x:v>
      </x:c>
      <x:c r="I278" s="10"/>
      <x:c r="J278" s="10"/>
      <x:c r="K278" s="10"/>
      <x:c r="L278" s="10"/>
      <x:c r="M278" s="10">
        <x:f t="shared" si="4"/>
        <x:v>0</x:v>
      </x:c>
    </x:row>
    <x:row r="279">
      <x:c r="A279" s="10">
        <x:v>278</x:v>
      </x:c>
      <x:c r="B279" s="10" t="s">
        <x:v>31</x:v>
      </x:c>
      <x:c r="C279" s="10" t="s">
        <x:v>358</x:v>
      </x:c>
      <x:c r="D279" s="10" t="s">
        <x:v>62</x:v>
      </x:c>
      <x:c r="E279" s="10" t="s">
        <x:v>362</x:v>
      </x:c>
      <x:c r="F279" s="10" t="s">
        <x:v>3</x:v>
      </x:c>
      <x:c r="G279" s="10" t="s">
        <x:v>64</x:v>
      </x:c>
      <x:c r="H279" s="10" t="s">
        <x:v>64</x:v>
      </x:c>
      <x:c r="I279" s="10"/>
      <x:c r="J279" s="10"/>
      <x:c r="K279" s="10"/>
      <x:c r="L279" s="10"/>
      <x:c r="M279" s="10">
        <x:f t="shared" si="4"/>
        <x:v>0</x:v>
      </x:c>
    </x:row>
    <x:row r="280">
      <x:c r="A280" s="10">
        <x:v>279</x:v>
      </x:c>
      <x:c r="B280" s="10" t="s">
        <x:v>31</x:v>
      </x:c>
      <x:c r="C280" s="10" t="s">
        <x:v>358</x:v>
      </x:c>
      <x:c r="D280" s="10" t="s">
        <x:v>62</x:v>
      </x:c>
      <x:c r="E280" s="10" t="s">
        <x:v>363</x:v>
      </x:c>
      <x:c r="F280" s="10" t="s">
        <x:v>3</x:v>
      </x:c>
      <x:c r="G280" s="10" t="s">
        <x:v>52</x:v>
      </x:c>
      <x:c r="H280" s="10" t="s">
        <x:v>64</x:v>
      </x:c>
      <x:c r="I280" s="10"/>
      <x:c r="J280" s="10"/>
      <x:c r="K280" s="10"/>
      <x:c r="L280" s="10"/>
      <x:c r="M280" s="10">
        <x:f t="shared" si="4"/>
        <x:v>0</x:v>
      </x:c>
    </x:row>
    <x:row r="281">
      <x:c r="A281" s="10">
        <x:v>280</x:v>
      </x:c>
      <x:c r="B281" s="10" t="s">
        <x:v>31</x:v>
      </x:c>
      <x:c r="C281" s="10" t="s">
        <x:v>358</x:v>
      </x:c>
      <x:c r="D281" s="10" t="s">
        <x:v>62</x:v>
      </x:c>
      <x:c r="E281" s="10" t="s">
        <x:v>364</x:v>
      </x:c>
      <x:c r="F281" s="10" t="s">
        <x:v>3</x:v>
      </x:c>
      <x:c r="G281" s="10" t="s">
        <x:v>52</x:v>
      </x:c>
      <x:c r="H281" s="10" t="s">
        <x:v>64</x:v>
      </x:c>
      <x:c r="I281" s="10"/>
      <x:c r="J281" s="10"/>
      <x:c r="K281" s="10"/>
      <x:c r="L281" s="10"/>
      <x:c r="M281" s="10">
        <x:f t="shared" si="4"/>
        <x:v>0</x:v>
      </x:c>
    </x:row>
    <x:row r="282">
      <x:c r="A282" s="10">
        <x:v>281</x:v>
      </x:c>
      <x:c r="B282" s="10" t="s">
        <x:v>31</x:v>
      </x:c>
      <x:c r="C282" s="10" t="s">
        <x:v>358</x:v>
      </x:c>
      <x:c r="D282" s="10" t="s">
        <x:v>62</x:v>
      </x:c>
      <x:c r="E282" s="10" t="s">
        <x:v>365</x:v>
      </x:c>
      <x:c r="F282" s="10" t="s">
        <x:v>3</x:v>
      </x:c>
      <x:c r="G282" s="10" t="s">
        <x:v>52</x:v>
      </x:c>
      <x:c r="H282" s="10" t="s">
        <x:v>64</x:v>
      </x:c>
      <x:c r="I282" s="10"/>
      <x:c r="J282" s="10"/>
      <x:c r="K282" s="10"/>
      <x:c r="L282" s="10"/>
      <x:c r="M282" s="10">
        <x:f t="shared" si="4"/>
        <x:v>0</x:v>
      </x:c>
    </x:row>
    <x:row r="283">
      <x:c r="A283" s="10">
        <x:v>282</x:v>
      </x:c>
      <x:c r="B283" s="10" t="s">
        <x:v>31</x:v>
      </x:c>
      <x:c r="C283" s="10" t="s">
        <x:v>358</x:v>
      </x:c>
      <x:c r="D283" s="10" t="s">
        <x:v>62</x:v>
      </x:c>
      <x:c r="E283" s="10" t="s">
        <x:v>366</x:v>
      </x:c>
      <x:c r="F283" s="10" t="s">
        <x:v>3</x:v>
      </x:c>
      <x:c r="G283" s="10" t="s">
        <x:v>64</x:v>
      </x:c>
      <x:c r="H283" s="10" t="s">
        <x:v>64</x:v>
      </x:c>
      <x:c r="I283" s="10"/>
      <x:c r="J283" s="10"/>
      <x:c r="K283" s="10"/>
      <x:c r="L283" s="10"/>
      <x:c r="M283" s="10">
        <x:f t="shared" si="4"/>
        <x:v>0</x:v>
      </x:c>
    </x:row>
    <x:row r="284">
      <x:c r="A284" s="10">
        <x:v>283</x:v>
      </x:c>
      <x:c r="B284" s="10" t="s">
        <x:v>31</x:v>
      </x:c>
      <x:c r="C284" s="10" t="s">
        <x:v>358</x:v>
      </x:c>
      <x:c r="D284" s="10" t="s">
        <x:v>62</x:v>
      </x:c>
      <x:c r="E284" s="10" t="s">
        <x:v>367</x:v>
      </x:c>
      <x:c r="F284" s="10" t="s">
        <x:v>3</x:v>
      </x:c>
      <x:c r="G284" s="10" t="s">
        <x:v>64</x:v>
      </x:c>
      <x:c r="H284" s="10" t="s">
        <x:v>64</x:v>
      </x:c>
      <x:c r="I284" s="10"/>
      <x:c r="J284" s="10"/>
      <x:c r="K284" s="10"/>
      <x:c r="L284" s="10"/>
      <x:c r="M284" s="10">
        <x:f t="shared" si="4"/>
        <x:v>0</x:v>
      </x:c>
    </x:row>
    <x:row r="285">
      <x:c r="A285" s="10">
        <x:v>284</x:v>
      </x:c>
      <x:c r="B285" s="10" t="s">
        <x:v>31</x:v>
      </x:c>
      <x:c r="C285" s="10" t="s">
        <x:v>358</x:v>
      </x:c>
      <x:c r="D285" s="10" t="s">
        <x:v>62</x:v>
      </x:c>
      <x:c r="E285" s="10" t="s">
        <x:v>368</x:v>
      </x:c>
      <x:c r="F285" s="10" t="s">
        <x:v>3</x:v>
      </x:c>
      <x:c r="G285" s="10" t="s">
        <x:v>52</x:v>
      </x:c>
      <x:c r="H285" s="10" t="s">
        <x:v>64</x:v>
      </x:c>
      <x:c r="I285" s="10"/>
      <x:c r="J285" s="10"/>
      <x:c r="K285" s="10"/>
      <x:c r="L285" s="10"/>
      <x:c r="M285" s="10">
        <x:f t="shared" si="4"/>
        <x:v>0</x:v>
      </x:c>
    </x:row>
    <x:row r="286">
      <x:c r="A286" s="10">
        <x:v>285</x:v>
      </x:c>
      <x:c r="B286" s="10" t="s">
        <x:v>31</x:v>
      </x:c>
      <x:c r="C286" s="10" t="s">
        <x:v>358</x:v>
      </x:c>
      <x:c r="D286" s="10" t="s">
        <x:v>78</x:v>
      </x:c>
      <x:c r="E286" s="10" t="s">
        <x:v>369</x:v>
      </x:c>
      <x:c r="F286" s="10" t="s">
        <x:v>3</x:v>
      </x:c>
      <x:c r="G286" s="10" t="s">
        <x:v>64</x:v>
      </x:c>
      <x:c r="H286" s="10" t="s">
        <x:v>64</x:v>
      </x:c>
      <x:c r="I286" s="10"/>
      <x:c r="J286" s="10"/>
      <x:c r="K286" s="10"/>
      <x:c r="L286" s="10"/>
      <x:c r="M286" s="10">
        <x:f t="shared" si="4"/>
        <x:v>0</x:v>
      </x:c>
    </x:row>
    <x:row r="287">
      <x:c r="A287" s="10">
        <x:v>286</x:v>
      </x:c>
      <x:c r="B287" s="10" t="s">
        <x:v>31</x:v>
      </x:c>
      <x:c r="C287" s="10" t="s">
        <x:v>358</x:v>
      </x:c>
      <x:c r="D287" s="10" t="s">
        <x:v>78</x:v>
      </x:c>
      <x:c r="E287" s="10" t="s">
        <x:v>370</x:v>
      </x:c>
      <x:c r="F287" s="10" t="s">
        <x:v>3</x:v>
      </x:c>
      <x:c r="G287" s="10" t="s">
        <x:v>64</x:v>
      </x:c>
      <x:c r="H287" s="10" t="s">
        <x:v>64</x:v>
      </x:c>
      <x:c r="I287" s="10"/>
      <x:c r="J287" s="10"/>
      <x:c r="K287" s="10"/>
      <x:c r="L287" s="10"/>
      <x:c r="M287" s="10">
        <x:f t="shared" si="4"/>
        <x:v>0</x:v>
      </x:c>
    </x:row>
    <x:row r="288">
      <x:c r="A288" s="10">
        <x:v>287</x:v>
      </x:c>
      <x:c r="B288" s="10" t="s">
        <x:v>31</x:v>
      </x:c>
      <x:c r="C288" s="10" t="s">
        <x:v>358</x:v>
      </x:c>
      <x:c r="D288" s="10" t="s">
        <x:v>84</x:v>
      </x:c>
      <x:c r="E288" s="10" t="s">
        <x:v>371</x:v>
      </x:c>
      <x:c r="F288" s="10" t="s">
        <x:v>3</x:v>
      </x:c>
      <x:c r="G288" s="10" t="s">
        <x:v>52</x:v>
      </x:c>
      <x:c r="H288" s="10" t="s">
        <x:v>64</x:v>
      </x:c>
      <x:c r="I288" s="10"/>
      <x:c r="J288" s="10"/>
      <x:c r="K288" s="10"/>
      <x:c r="L288" s="10"/>
      <x:c r="M288" s="10">
        <x:f t="shared" si="4"/>
        <x:v>0</x:v>
      </x:c>
    </x:row>
    <x:row r="289">
      <x:c r="A289" s="10">
        <x:v>288</x:v>
      </x:c>
      <x:c r="B289" s="10" t="s">
        <x:v>31</x:v>
      </x:c>
      <x:c r="C289" s="10" t="s">
        <x:v>358</x:v>
      </x:c>
      <x:c r="D289" s="10" t="s">
        <x:v>84</x:v>
      </x:c>
      <x:c r="E289" s="10" t="s">
        <x:v>372</x:v>
      </x:c>
      <x:c r="F289" s="10" t="s">
        <x:v>3</x:v>
      </x:c>
      <x:c r="G289" s="10" t="s">
        <x:v>52</x:v>
      </x:c>
      <x:c r="H289" s="10" t="s">
        <x:v>64</x:v>
      </x:c>
      <x:c r="I289" s="10"/>
      <x:c r="J289" s="10"/>
      <x:c r="K289" s="10"/>
      <x:c r="L289" s="10"/>
      <x:c r="M289" s="10">
        <x:f t="shared" si="4"/>
        <x:v>0</x:v>
      </x:c>
    </x:row>
    <x:row r="290">
      <x:c r="A290" s="10">
        <x:v>289</x:v>
      </x:c>
      <x:c r="B290" s="10" t="s">
        <x:v>31</x:v>
      </x:c>
      <x:c r="C290" s="10" t="s">
        <x:v>358</x:v>
      </x:c>
      <x:c r="D290" s="10" t="s">
        <x:v>84</x:v>
      </x:c>
      <x:c r="E290" s="10" t="s">
        <x:v>373</x:v>
      </x:c>
      <x:c r="F290" s="10" t="s">
        <x:v>3</x:v>
      </x:c>
      <x:c r="G290" s="10" t="s">
        <x:v>52</x:v>
      </x:c>
      <x:c r="H290" s="10" t="s">
        <x:v>64</x:v>
      </x:c>
      <x:c r="I290" s="10"/>
      <x:c r="J290" s="10"/>
      <x:c r="K290" s="10"/>
      <x:c r="L290" s="10"/>
      <x:c r="M290" s="10">
        <x:f t="shared" si="4"/>
        <x:v>0</x:v>
      </x:c>
    </x:row>
    <x:row r="291">
      <x:c r="A291" s="10">
        <x:v>290</x:v>
      </x:c>
      <x:c r="B291" s="10" t="s">
        <x:v>31</x:v>
      </x:c>
      <x:c r="C291" s="10" t="s">
        <x:v>358</x:v>
      </x:c>
      <x:c r="D291" s="10" t="s">
        <x:v>84</x:v>
      </x:c>
      <x:c r="E291" s="10" t="s">
        <x:v>374</x:v>
      </x:c>
      <x:c r="F291" s="10" t="s">
        <x:v>3</x:v>
      </x:c>
      <x:c r="G291" s="10" t="s">
        <x:v>52</x:v>
      </x:c>
      <x:c r="H291" s="10" t="s">
        <x:v>64</x:v>
      </x:c>
      <x:c r="I291" s="10"/>
      <x:c r="J291" s="10"/>
      <x:c r="K291" s="10"/>
      <x:c r="L291" s="10"/>
      <x:c r="M291" s="10">
        <x:f t="shared" si="4"/>
        <x:v>0</x:v>
      </x:c>
    </x:row>
    <x:row r="292">
      <x:c r="A292" s="10">
        <x:v>291</x:v>
      </x:c>
      <x:c r="B292" s="10" t="s">
        <x:v>31</x:v>
      </x:c>
      <x:c r="C292" s="10" t="s">
        <x:v>358</x:v>
      </x:c>
      <x:c r="D292" s="10" t="s">
        <x:v>84</x:v>
      </x:c>
      <x:c r="E292" s="10" t="s">
        <x:v>375</x:v>
      </x:c>
      <x:c r="F292" s="10" t="s">
        <x:v>3</x:v>
      </x:c>
      <x:c r="G292" s="10" t="s">
        <x:v>52</x:v>
      </x:c>
      <x:c r="H292" s="10" t="s">
        <x:v>64</x:v>
      </x:c>
      <x:c r="I292" s="10"/>
      <x:c r="J292" s="10"/>
      <x:c r="K292" s="10"/>
      <x:c r="L292" s="10"/>
      <x:c r="M292" s="10">
        <x:f t="shared" si="4"/>
        <x:v>0</x:v>
      </x:c>
    </x:row>
    <x:row r="293" ht="27.600000381469727">
      <x:c r="A293" s="10">
        <x:v>292</x:v>
      </x:c>
      <x:c r="B293" s="10" t="s">
        <x:v>31</x:v>
      </x:c>
      <x:c r="C293" s="10" t="s">
        <x:v>376</x:v>
      </x:c>
      <x:c r="D293" s="10" t="s">
        <x:v>62</x:v>
      </x:c>
      <x:c r="E293" s="10" t="s">
        <x:v>377</x:v>
      </x:c>
      <x:c r="F293" s="10" t="s">
        <x:v>3</x:v>
      </x:c>
      <x:c r="G293" s="10" t="s">
        <x:v>53</x:v>
      </x:c>
      <x:c r="H293" s="10" t="s">
        <x:v>64</x:v>
      </x:c>
      <x:c r="I293" s="10"/>
      <x:c r="J293" s="10"/>
      <x:c r="K293" s="10"/>
      <x:c r="L293" s="10"/>
      <x:c r="M293" s="10">
        <x:f t="shared" si="4"/>
        <x:v>0</x:v>
      </x:c>
    </x:row>
    <x:row r="294" ht="27.600000381469727">
      <x:c r="A294" s="10">
        <x:v>293</x:v>
      </x:c>
      <x:c r="B294" s="10" t="s">
        <x:v>31</x:v>
      </x:c>
      <x:c r="C294" s="10" t="s">
        <x:v>376</x:v>
      </x:c>
      <x:c r="D294" s="10" t="s">
        <x:v>62</x:v>
      </x:c>
      <x:c r="E294" s="10" t="s">
        <x:v>378</x:v>
      </x:c>
      <x:c r="F294" s="10" t="s">
        <x:v>3</x:v>
      </x:c>
      <x:c r="G294" s="10" t="s">
        <x:v>53</x:v>
      </x:c>
      <x:c r="H294" s="10" t="s">
        <x:v>64</x:v>
      </x:c>
      <x:c r="I294" s="10"/>
      <x:c r="J294" s="10"/>
      <x:c r="K294" s="10"/>
      <x:c r="L294" s="10"/>
      <x:c r="M294" s="10">
        <x:f t="shared" si="4"/>
        <x:v>0</x:v>
      </x:c>
    </x:row>
    <x:row r="295" ht="27.600000381469727">
      <x:c r="A295" s="10">
        <x:v>294</x:v>
      </x:c>
      <x:c r="B295" s="10" t="s">
        <x:v>31</x:v>
      </x:c>
      <x:c r="C295" s="10" t="s">
        <x:v>376</x:v>
      </x:c>
      <x:c r="D295" s="10" t="s">
        <x:v>62</x:v>
      </x:c>
      <x:c r="E295" s="10" t="s">
        <x:v>379</x:v>
      </x:c>
      <x:c r="F295" s="10" t="s">
        <x:v>3</x:v>
      </x:c>
      <x:c r="G295" s="10" t="s">
        <x:v>53</x:v>
      </x:c>
      <x:c r="H295" s="10" t="s">
        <x:v>64</x:v>
      </x:c>
      <x:c r="I295" s="10"/>
      <x:c r="J295" s="10"/>
      <x:c r="K295" s="10"/>
      <x:c r="L295" s="10"/>
      <x:c r="M295" s="10">
        <x:f t="shared" si="4"/>
        <x:v>0</x:v>
      </x:c>
    </x:row>
    <x:row r="296" ht="27.600000381469727">
      <x:c r="A296" s="10">
        <x:v>295</x:v>
      </x:c>
      <x:c r="B296" s="10" t="s">
        <x:v>31</x:v>
      </x:c>
      <x:c r="C296" s="10" t="s">
        <x:v>376</x:v>
      </x:c>
      <x:c r="D296" s="10" t="s">
        <x:v>62</x:v>
      </x:c>
      <x:c r="E296" s="10" t="s">
        <x:v>380</x:v>
      </x:c>
      <x:c r="F296" s="10" t="s">
        <x:v>3</x:v>
      </x:c>
      <x:c r="G296" s="10" t="s">
        <x:v>53</x:v>
      </x:c>
      <x:c r="H296" s="10" t="s">
        <x:v>64</x:v>
      </x:c>
      <x:c r="I296" s="10"/>
      <x:c r="J296" s="10"/>
      <x:c r="K296" s="10"/>
      <x:c r="L296" s="10"/>
      <x:c r="M296" s="10">
        <x:f t="shared" si="4"/>
        <x:v>0</x:v>
      </x:c>
    </x:row>
    <x:row r="297" ht="27.600000381469727">
      <x:c r="A297" s="10">
        <x:v>296</x:v>
      </x:c>
      <x:c r="B297" s="10" t="s">
        <x:v>31</x:v>
      </x:c>
      <x:c r="C297" s="10" t="s">
        <x:v>376</x:v>
      </x:c>
      <x:c r="D297" s="10" t="s">
        <x:v>78</x:v>
      </x:c>
      <x:c r="E297" s="10" t="s">
        <x:v>381</x:v>
      </x:c>
      <x:c r="F297" s="10" t="s">
        <x:v>3</x:v>
      </x:c>
      <x:c r="G297" s="10" t="s">
        <x:v>53</x:v>
      </x:c>
      <x:c r="H297" s="10" t="s">
        <x:v>64</x:v>
      </x:c>
      <x:c r="I297" s="10"/>
      <x:c r="J297" s="10"/>
      <x:c r="K297" s="10"/>
      <x:c r="L297" s="10"/>
      <x:c r="M297" s="10">
        <x:f t="shared" si="4"/>
        <x:v>0</x:v>
      </x:c>
    </x:row>
    <x:row r="298" ht="27.600000381469727">
      <x:c r="A298" s="10">
        <x:v>297</x:v>
      </x:c>
      <x:c r="B298" s="10" t="s">
        <x:v>31</x:v>
      </x:c>
      <x:c r="C298" s="10" t="s">
        <x:v>376</x:v>
      </x:c>
      <x:c r="D298" s="10" t="s">
        <x:v>78</x:v>
      </x:c>
      <x:c r="E298" s="10" t="s">
        <x:v>382</x:v>
      </x:c>
      <x:c r="F298" s="10" t="s">
        <x:v>3</x:v>
      </x:c>
      <x:c r="G298" s="10" t="s">
        <x:v>53</x:v>
      </x:c>
      <x:c r="H298" s="10" t="s">
        <x:v>64</x:v>
      </x:c>
      <x:c r="I298" s="10"/>
      <x:c r="J298" s="10"/>
      <x:c r="K298" s="10"/>
      <x:c r="L298" s="10"/>
      <x:c r="M298" s="10">
        <x:f t="shared" si="4"/>
        <x:v>0</x:v>
      </x:c>
    </x:row>
    <x:row r="299" ht="27.600000381469727">
      <x:c r="A299" s="10">
        <x:v>298</x:v>
      </x:c>
      <x:c r="B299" s="10" t="s">
        <x:v>31</x:v>
      </x:c>
      <x:c r="C299" s="10" t="s">
        <x:v>376</x:v>
      </x:c>
      <x:c r="D299" s="10" t="s">
        <x:v>84</x:v>
      </x:c>
      <x:c r="E299" s="10" t="s">
        <x:v>383</x:v>
      </x:c>
      <x:c r="F299" s="10" t="s">
        <x:v>3</x:v>
      </x:c>
      <x:c r="G299" s="10" t="s">
        <x:v>53</x:v>
      </x:c>
      <x:c r="H299" s="10" t="s">
        <x:v>64</x:v>
      </x:c>
      <x:c r="I299" s="10"/>
      <x:c r="J299" s="10"/>
      <x:c r="K299" s="10"/>
      <x:c r="L299" s="10"/>
      <x:c r="M299" s="10">
        <x:f t="shared" si="4"/>
        <x:v>0</x:v>
      </x:c>
    </x:row>
    <x:row r="300" ht="27.600000381469727">
      <x:c r="A300" s="10">
        <x:v>299</x:v>
      </x:c>
      <x:c r="B300" s="10" t="s">
        <x:v>31</x:v>
      </x:c>
      <x:c r="C300" s="10" t="s">
        <x:v>376</x:v>
      </x:c>
      <x:c r="D300" s="10" t="s">
        <x:v>84</x:v>
      </x:c>
      <x:c r="E300" s="10" t="s">
        <x:v>384</x:v>
      </x:c>
      <x:c r="F300" s="10" t="s">
        <x:v>3</x:v>
      </x:c>
      <x:c r="G300" s="10" t="s">
        <x:v>53</x:v>
      </x:c>
      <x:c r="H300" s="10" t="s">
        <x:v>64</x:v>
      </x:c>
      <x:c r="I300" s="10"/>
      <x:c r="J300" s="10"/>
      <x:c r="K300" s="10"/>
      <x:c r="L300" s="10"/>
      <x:c r="M300" s="10">
        <x:f t="shared" si="4"/>
        <x:v>0</x:v>
      </x:c>
    </x:row>
    <x:row r="301">
      <x:c r="A301" s="10">
        <x:v>300</x:v>
      </x:c>
      <x:c r="B301" s="10" t="s">
        <x:v>32</x:v>
      </x:c>
      <x:c r="C301" s="10" t="s">
        <x:v>385</x:v>
      </x:c>
      <x:c r="D301" s="10" t="s">
        <x:v>62</x:v>
      </x:c>
      <x:c r="E301" s="10" t="s">
        <x:v>386</x:v>
      </x:c>
      <x:c r="F301" s="10" t="s">
        <x:v>3</x:v>
      </x:c>
      <x:c r="G301" s="10" t="s">
        <x:v>64</x:v>
      </x:c>
      <x:c r="H301" s="10" t="s">
        <x:v>64</x:v>
      </x:c>
      <x:c r="I301" s="10"/>
      <x:c r="J301" s="10"/>
      <x:c r="K301" s="10"/>
      <x:c r="L301" s="10"/>
      <x:c r="M301" s="10">
        <x:f t="shared" si="4"/>
        <x:v>0</x:v>
      </x:c>
    </x:row>
    <x:row r="302">
      <x:c r="A302" s="10">
        <x:v>301</x:v>
      </x:c>
      <x:c r="B302" s="10" t="s">
        <x:v>32</x:v>
      </x:c>
      <x:c r="C302" s="10" t="s">
        <x:v>385</x:v>
      </x:c>
      <x:c r="D302" s="10" t="s">
        <x:v>62</x:v>
      </x:c>
      <x:c r="E302" s="10" t="s">
        <x:v>387</x:v>
      </x:c>
      <x:c r="F302" s="10" t="s">
        <x:v>3</x:v>
      </x:c>
      <x:c r="G302" s="10" t="s">
        <x:v>64</x:v>
      </x:c>
      <x:c r="H302" s="10" t="s">
        <x:v>64</x:v>
      </x:c>
      <x:c r="I302" s="10"/>
      <x:c r="J302" s="10"/>
      <x:c r="K302" s="10"/>
      <x:c r="L302" s="10"/>
      <x:c r="M302" s="10">
        <x:f t="shared" si="4"/>
        <x:v>0</x:v>
      </x:c>
    </x:row>
    <x:row r="303">
      <x:c r="A303" s="10">
        <x:v>302</x:v>
      </x:c>
      <x:c r="B303" s="10" t="s">
        <x:v>32</x:v>
      </x:c>
      <x:c r="C303" s="10" t="s">
        <x:v>385</x:v>
      </x:c>
      <x:c r="D303" s="10" t="s">
        <x:v>62</x:v>
      </x:c>
      <x:c r="E303" s="10" t="s">
        <x:v>388</x:v>
      </x:c>
      <x:c r="F303" s="10" t="s">
        <x:v>3</x:v>
      </x:c>
      <x:c r="G303" s="10" t="s">
        <x:v>64</x:v>
      </x:c>
      <x:c r="H303" s="10" t="s">
        <x:v>64</x:v>
      </x:c>
      <x:c r="I303" s="10"/>
      <x:c r="J303" s="10"/>
      <x:c r="K303" s="10"/>
      <x:c r="L303" s="10"/>
      <x:c r="M303" s="10">
        <x:f t="shared" si="4"/>
        <x:v>0</x:v>
      </x:c>
    </x:row>
    <x:row r="304">
      <x:c r="A304" s="10">
        <x:v>303</x:v>
      </x:c>
      <x:c r="B304" s="10" t="s">
        <x:v>32</x:v>
      </x:c>
      <x:c r="C304" s="10" t="s">
        <x:v>385</x:v>
      </x:c>
      <x:c r="D304" s="10" t="s">
        <x:v>62</x:v>
      </x:c>
      <x:c r="E304" s="10" t="s">
        <x:v>389</x:v>
      </x:c>
      <x:c r="F304" s="10" t="s">
        <x:v>3</x:v>
      </x:c>
      <x:c r="G304" s="10" t="s">
        <x:v>64</x:v>
      </x:c>
      <x:c r="H304" s="10" t="s">
        <x:v>64</x:v>
      </x:c>
      <x:c r="I304" s="10"/>
      <x:c r="J304" s="10"/>
      <x:c r="K304" s="10"/>
      <x:c r="L304" s="10"/>
      <x:c r="M304" s="10">
        <x:f t="shared" si="4"/>
        <x:v>0</x:v>
      </x:c>
    </x:row>
    <x:row r="305">
      <x:c r="A305" s="10">
        <x:v>304</x:v>
      </x:c>
      <x:c r="B305" s="10" t="s">
        <x:v>32</x:v>
      </x:c>
      <x:c r="C305" s="10" t="s">
        <x:v>385</x:v>
      </x:c>
      <x:c r="D305" s="10" t="s">
        <x:v>62</x:v>
      </x:c>
      <x:c r="E305" s="10" t="s">
        <x:v>390</x:v>
      </x:c>
      <x:c r="F305" s="10" t="s">
        <x:v>3</x:v>
      </x:c>
      <x:c r="G305" s="10" t="s">
        <x:v>52</x:v>
      </x:c>
      <x:c r="H305" s="10" t="s">
        <x:v>64</x:v>
      </x:c>
      <x:c r="I305" s="10"/>
      <x:c r="J305" s="10"/>
      <x:c r="K305" s="10"/>
      <x:c r="L305" s="10"/>
      <x:c r="M305" s="10">
        <x:f t="shared" si="4"/>
        <x:v>0</x:v>
      </x:c>
    </x:row>
    <x:row r="306">
      <x:c r="A306" s="10">
        <x:v>305</x:v>
      </x:c>
      <x:c r="B306" s="10" t="s">
        <x:v>32</x:v>
      </x:c>
      <x:c r="C306" s="10" t="s">
        <x:v>385</x:v>
      </x:c>
      <x:c r="D306" s="10" t="s">
        <x:v>62</x:v>
      </x:c>
      <x:c r="E306" s="10" t="s">
        <x:v>391</x:v>
      </x:c>
      <x:c r="F306" s="10" t="s">
        <x:v>3</x:v>
      </x:c>
      <x:c r="G306" s="10" t="s">
        <x:v>52</x:v>
      </x:c>
      <x:c r="H306" s="10" t="s">
        <x:v>64</x:v>
      </x:c>
      <x:c r="I306" s="10"/>
      <x:c r="J306" s="10"/>
      <x:c r="K306" s="10"/>
      <x:c r="L306" s="10"/>
      <x:c r="M306" s="10">
        <x:f t="shared" si="4"/>
        <x:v>0</x:v>
      </x:c>
    </x:row>
    <x:row r="307">
      <x:c r="A307" s="10">
        <x:v>306</x:v>
      </x:c>
      <x:c r="B307" s="10" t="s">
        <x:v>32</x:v>
      </x:c>
      <x:c r="C307" s="10" t="s">
        <x:v>385</x:v>
      </x:c>
      <x:c r="D307" s="10" t="s">
        <x:v>62</x:v>
      </x:c>
      <x:c r="E307" s="10" t="s">
        <x:v>392</x:v>
      </x:c>
      <x:c r="F307" s="10" t="s">
        <x:v>3</x:v>
      </x:c>
      <x:c r="G307" s="10" t="s">
        <x:v>64</x:v>
      </x:c>
      <x:c r="H307" s="10" t="s">
        <x:v>64</x:v>
      </x:c>
      <x:c r="I307" s="10"/>
      <x:c r="J307" s="10"/>
      <x:c r="K307" s="10"/>
      <x:c r="L307" s="10"/>
      <x:c r="M307" s="10">
        <x:f t="shared" si="4"/>
        <x:v>0</x:v>
      </x:c>
    </x:row>
    <x:row r="308">
      <x:c r="A308" s="10">
        <x:v>307</x:v>
      </x:c>
      <x:c r="B308" s="10" t="s">
        <x:v>32</x:v>
      </x:c>
      <x:c r="C308" s="10" t="s">
        <x:v>385</x:v>
      </x:c>
      <x:c r="D308" s="10" t="s">
        <x:v>62</x:v>
      </x:c>
      <x:c r="E308" s="10" t="s">
        <x:v>393</x:v>
      </x:c>
      <x:c r="F308" s="10" t="s">
        <x:v>3</x:v>
      </x:c>
      <x:c r="G308" s="10" t="s">
        <x:v>52</x:v>
      </x:c>
      <x:c r="H308" s="10" t="s">
        <x:v>64</x:v>
      </x:c>
      <x:c r="I308" s="10"/>
      <x:c r="J308" s="10"/>
      <x:c r="K308" s="10"/>
      <x:c r="L308" s="10"/>
      <x:c r="M308" s="10">
        <x:f t="shared" si="4"/>
        <x:v>0</x:v>
      </x:c>
    </x:row>
    <x:row r="309">
      <x:c r="A309" s="10">
        <x:v>308</x:v>
      </x:c>
      <x:c r="B309" s="10" t="s">
        <x:v>32</x:v>
      </x:c>
      <x:c r="C309" s="10" t="s">
        <x:v>385</x:v>
      </x:c>
      <x:c r="D309" s="10" t="s">
        <x:v>62</x:v>
      </x:c>
      <x:c r="E309" s="10" t="s">
        <x:v>368</x:v>
      </x:c>
      <x:c r="F309" s="10" t="s">
        <x:v>3</x:v>
      </x:c>
      <x:c r="G309" s="10" t="s">
        <x:v>64</x:v>
      </x:c>
      <x:c r="H309" s="10" t="s">
        <x:v>64</x:v>
      </x:c>
      <x:c r="I309" s="10"/>
      <x:c r="J309" s="10"/>
      <x:c r="K309" s="10"/>
      <x:c r="L309" s="10"/>
      <x:c r="M309" s="10">
        <x:f t="shared" si="4"/>
        <x:v>0</x:v>
      </x:c>
    </x:row>
    <x:row r="310">
      <x:c r="A310" s="10">
        <x:v>309</x:v>
      </x:c>
      <x:c r="B310" s="10" t="s">
        <x:v>32</x:v>
      </x:c>
      <x:c r="C310" s="10" t="s">
        <x:v>385</x:v>
      </x:c>
      <x:c r="D310" s="10" t="s">
        <x:v>78</x:v>
      </x:c>
      <x:c r="E310" s="10" t="s">
        <x:v>394</x:v>
      </x:c>
      <x:c r="F310" s="10" t="s">
        <x:v>3</x:v>
      </x:c>
      <x:c r="G310" s="10" t="s">
        <x:v>64</x:v>
      </x:c>
      <x:c r="H310" s="10" t="s">
        <x:v>64</x:v>
      </x:c>
      <x:c r="I310" s="10"/>
      <x:c r="J310" s="10"/>
      <x:c r="K310" s="10"/>
      <x:c r="L310" s="10"/>
      <x:c r="M310" s="10">
        <x:f t="shared" si="4"/>
        <x:v>0</x:v>
      </x:c>
    </x:row>
    <x:row r="311">
      <x:c r="A311" s="10">
        <x:v>310</x:v>
      </x:c>
      <x:c r="B311" s="10" t="s">
        <x:v>32</x:v>
      </x:c>
      <x:c r="C311" s="10" t="s">
        <x:v>385</x:v>
      </x:c>
      <x:c r="D311" s="10" t="s">
        <x:v>78</x:v>
      </x:c>
      <x:c r="E311" s="10" t="s">
        <x:v>395</x:v>
      </x:c>
      <x:c r="F311" s="10" t="s">
        <x:v>3</x:v>
      </x:c>
      <x:c r="G311" s="10" t="s">
        <x:v>64</x:v>
      </x:c>
      <x:c r="H311" s="10" t="s">
        <x:v>64</x:v>
      </x:c>
      <x:c r="I311" s="10"/>
      <x:c r="J311" s="10"/>
      <x:c r="K311" s="10"/>
      <x:c r="L311" s="10"/>
      <x:c r="M311" s="10">
        <x:f t="shared" si="4"/>
        <x:v>0</x:v>
      </x:c>
    </x:row>
    <x:row r="312">
      <x:c r="A312" s="10">
        <x:v>311</x:v>
      </x:c>
      <x:c r="B312" s="10" t="s">
        <x:v>32</x:v>
      </x:c>
      <x:c r="C312" s="10" t="s">
        <x:v>385</x:v>
      </x:c>
      <x:c r="D312" s="10" t="s">
        <x:v>78</x:v>
      </x:c>
      <x:c r="E312" s="10" t="s">
        <x:v>396</x:v>
      </x:c>
      <x:c r="F312" s="10" t="s">
        <x:v>3</x:v>
      </x:c>
      <x:c r="G312" s="10" t="s">
        <x:v>64</x:v>
      </x:c>
      <x:c r="H312" s="10" t="s">
        <x:v>64</x:v>
      </x:c>
      <x:c r="I312" s="10"/>
      <x:c r="J312" s="10"/>
      <x:c r="K312" s="10"/>
      <x:c r="L312" s="10"/>
      <x:c r="M312" s="10">
        <x:f t="shared" si="4"/>
        <x:v>0</x:v>
      </x:c>
    </x:row>
    <x:row r="313">
      <x:c r="A313" s="10">
        <x:v>312</x:v>
      </x:c>
      <x:c r="B313" s="10" t="s">
        <x:v>32</x:v>
      </x:c>
      <x:c r="C313" s="10" t="s">
        <x:v>385</x:v>
      </x:c>
      <x:c r="D313" s="10" t="s">
        <x:v>84</x:v>
      </x:c>
      <x:c r="E313" s="10" t="s">
        <x:v>397</x:v>
      </x:c>
      <x:c r="F313" s="10" t="s">
        <x:v>3</x:v>
      </x:c>
      <x:c r="G313" s="10" t="s">
        <x:v>52</x:v>
      </x:c>
      <x:c r="H313" s="10" t="s">
        <x:v>64</x:v>
      </x:c>
      <x:c r="I313" s="10"/>
      <x:c r="J313" s="10"/>
      <x:c r="K313" s="10"/>
      <x:c r="L313" s="10"/>
      <x:c r="M313" s="10">
        <x:f t="shared" si="4"/>
        <x:v>0</x:v>
      </x:c>
    </x:row>
    <x:row r="314">
      <x:c r="A314" s="10">
        <x:v>313</x:v>
      </x:c>
      <x:c r="B314" s="10" t="s">
        <x:v>32</x:v>
      </x:c>
      <x:c r="C314" s="10" t="s">
        <x:v>385</x:v>
      </x:c>
      <x:c r="D314" s="10" t="s">
        <x:v>84</x:v>
      </x:c>
      <x:c r="E314" s="10" t="s">
        <x:v>398</x:v>
      </x:c>
      <x:c r="F314" s="10" t="s">
        <x:v>3</x:v>
      </x:c>
      <x:c r="G314" s="10" t="s">
        <x:v>52</x:v>
      </x:c>
      <x:c r="H314" s="10" t="s">
        <x:v>64</x:v>
      </x:c>
      <x:c r="I314" s="10"/>
      <x:c r="J314" s="10"/>
      <x:c r="K314" s="10"/>
      <x:c r="L314" s="10"/>
      <x:c r="M314" s="10">
        <x:f t="shared" si="4"/>
        <x:v>0</x:v>
      </x:c>
    </x:row>
    <x:row r="315">
      <x:c r="A315" s="10">
        <x:v>314</x:v>
      </x:c>
      <x:c r="B315" s="10" t="s">
        <x:v>32</x:v>
      </x:c>
      <x:c r="C315" s="10" t="s">
        <x:v>385</x:v>
      </x:c>
      <x:c r="D315" s="10" t="s">
        <x:v>84</x:v>
      </x:c>
      <x:c r="E315" s="10" t="s">
        <x:v>399</x:v>
      </x:c>
      <x:c r="F315" s="10" t="s">
        <x:v>3</x:v>
      </x:c>
      <x:c r="G315" s="10" t="s">
        <x:v>52</x:v>
      </x:c>
      <x:c r="H315" s="10" t="s">
        <x:v>64</x:v>
      </x:c>
      <x:c r="I315" s="10"/>
      <x:c r="J315" s="10"/>
      <x:c r="K315" s="10"/>
      <x:c r="L315" s="10"/>
      <x:c r="M315" s="10">
        <x:f t="shared" si="4"/>
        <x:v>0</x:v>
      </x:c>
    </x:row>
    <x:row r="316">
      <x:c r="A316" s="10">
        <x:v>315</x:v>
      </x:c>
      <x:c r="B316" s="10" t="s">
        <x:v>32</x:v>
      </x:c>
      <x:c r="C316" s="10" t="s">
        <x:v>385</x:v>
      </x:c>
      <x:c r="D316" s="10" t="s">
        <x:v>84</x:v>
      </x:c>
      <x:c r="E316" s="10" t="s">
        <x:v>400</x:v>
      </x:c>
      <x:c r="F316" s="10" t="s">
        <x:v>3</x:v>
      </x:c>
      <x:c r="G316" s="10" t="s">
        <x:v>52</x:v>
      </x:c>
      <x:c r="H316" s="10" t="s">
        <x:v>64</x:v>
      </x:c>
      <x:c r="I316" s="10"/>
      <x:c r="J316" s="10"/>
      <x:c r="K316" s="10"/>
      <x:c r="L316" s="10"/>
      <x:c r="M316" s="10">
        <x:f t="shared" si="4"/>
        <x:v>0</x:v>
      </x:c>
    </x:row>
    <x:row r="317" ht="27.600000381469727">
      <x:c r="A317" s="10">
        <x:v>316</x:v>
      </x:c>
      <x:c r="B317" s="10" t="s">
        <x:v>32</x:v>
      </x:c>
      <x:c r="C317" s="10" t="s">
        <x:v>401</x:v>
      </x:c>
      <x:c r="D317" s="10" t="s">
        <x:v>62</x:v>
      </x:c>
      <x:c r="E317" s="10" t="s">
        <x:v>402</x:v>
      </x:c>
      <x:c r="F317" s="10" t="s">
        <x:v>3</x:v>
      </x:c>
      <x:c r="G317" s="10" t="s">
        <x:v>52</x:v>
      </x:c>
      <x:c r="H317" s="10" t="s">
        <x:v>64</x:v>
      </x:c>
      <x:c r="I317" s="10"/>
      <x:c r="J317" s="10"/>
      <x:c r="K317" s="10"/>
      <x:c r="L317" s="10"/>
      <x:c r="M317" s="10">
        <x:f t="shared" si="4"/>
        <x:v>0</x:v>
      </x:c>
    </x:row>
    <x:row r="318" ht="27.600000381469727">
      <x:c r="A318" s="10">
        <x:v>317</x:v>
      </x:c>
      <x:c r="B318" s="10" t="s">
        <x:v>32</x:v>
      </x:c>
      <x:c r="C318" s="10" t="s">
        <x:v>401</x:v>
      </x:c>
      <x:c r="D318" s="10" t="s">
        <x:v>62</x:v>
      </x:c>
      <x:c r="E318" s="10" t="s">
        <x:v>403</x:v>
      </x:c>
      <x:c r="F318" s="10" t="s">
        <x:v>3</x:v>
      </x:c>
      <x:c r="G318" s="10" t="s">
        <x:v>52</x:v>
      </x:c>
      <x:c r="H318" s="10" t="s">
        <x:v>64</x:v>
      </x:c>
      <x:c r="I318" s="10"/>
      <x:c r="J318" s="10"/>
      <x:c r="K318" s="10"/>
      <x:c r="L318" s="10"/>
      <x:c r="M318" s="10">
        <x:f t="shared" si="4"/>
        <x:v>0</x:v>
      </x:c>
    </x:row>
    <x:row r="319" ht="27.600000381469727">
      <x:c r="A319" s="10">
        <x:v>318</x:v>
      </x:c>
      <x:c r="B319" s="10" t="s">
        <x:v>32</x:v>
      </x:c>
      <x:c r="C319" s="10" t="s">
        <x:v>401</x:v>
      </x:c>
      <x:c r="D319" s="10" t="s">
        <x:v>62</x:v>
      </x:c>
      <x:c r="E319" s="10" t="s">
        <x:v>404</x:v>
      </x:c>
      <x:c r="F319" s="10" t="s">
        <x:v>3</x:v>
      </x:c>
      <x:c r="G319" s="10" t="s">
        <x:v>52</x:v>
      </x:c>
      <x:c r="H319" s="10" t="s">
        <x:v>64</x:v>
      </x:c>
      <x:c r="I319" s="10"/>
      <x:c r="J319" s="10"/>
      <x:c r="K319" s="10"/>
      <x:c r="L319" s="10"/>
      <x:c r="M319" s="10">
        <x:f t="shared" si="4"/>
        <x:v>0</x:v>
      </x:c>
    </x:row>
    <x:row r="320" ht="27.600000381469727">
      <x:c r="A320" s="10">
        <x:v>319</x:v>
      </x:c>
      <x:c r="B320" s="10" t="s">
        <x:v>32</x:v>
      </x:c>
      <x:c r="C320" s="10" t="s">
        <x:v>401</x:v>
      </x:c>
      <x:c r="D320" s="10" t="s">
        <x:v>62</x:v>
      </x:c>
      <x:c r="E320" s="10" t="s">
        <x:v>405</x:v>
      </x:c>
      <x:c r="F320" s="10" t="s">
        <x:v>3</x:v>
      </x:c>
      <x:c r="G320" s="10" t="s">
        <x:v>52</x:v>
      </x:c>
      <x:c r="H320" s="10" t="s">
        <x:v>64</x:v>
      </x:c>
      <x:c r="I320" s="10"/>
      <x:c r="J320" s="10"/>
      <x:c r="K320" s="10"/>
      <x:c r="L320" s="10"/>
      <x:c r="M320" s="10">
        <x:f t="shared" si="4"/>
        <x:v>0</x:v>
      </x:c>
    </x:row>
    <x:row r="321" ht="27.600000381469727">
      <x:c r="A321" s="10">
        <x:v>320</x:v>
      </x:c>
      <x:c r="B321" s="10" t="s">
        <x:v>32</x:v>
      </x:c>
      <x:c r="C321" s="10" t="s">
        <x:v>401</x:v>
      </x:c>
      <x:c r="D321" s="10" t="s">
        <x:v>62</x:v>
      </x:c>
      <x:c r="E321" s="10" t="s">
        <x:v>406</x:v>
      </x:c>
      <x:c r="F321" s="10" t="s">
        <x:v>3</x:v>
      </x:c>
      <x:c r="G321" s="10" t="s">
        <x:v>52</x:v>
      </x:c>
      <x:c r="H321" s="10" t="s">
        <x:v>64</x:v>
      </x:c>
      <x:c r="I321" s="10"/>
      <x:c r="J321" s="10"/>
      <x:c r="K321" s="10"/>
      <x:c r="L321" s="10"/>
      <x:c r="M321" s="10">
        <x:f t="shared" si="4"/>
        <x:v>0</x:v>
      </x:c>
    </x:row>
    <x:row r="322" ht="27.600000381469727">
      <x:c r="A322" s="10">
        <x:v>321</x:v>
      </x:c>
      <x:c r="B322" s="10" t="s">
        <x:v>32</x:v>
      </x:c>
      <x:c r="C322" s="10" t="s">
        <x:v>401</x:v>
      </x:c>
      <x:c r="D322" s="10" t="s">
        <x:v>62</x:v>
      </x:c>
      <x:c r="E322" s="10" t="s">
        <x:v>407</x:v>
      </x:c>
      <x:c r="F322" s="10" t="s">
        <x:v>3</x:v>
      </x:c>
      <x:c r="G322" s="10" t="s">
        <x:v>52</x:v>
      </x:c>
      <x:c r="H322" s="10" t="s">
        <x:v>64</x:v>
      </x:c>
      <x:c r="I322" s="10"/>
      <x:c r="J322" s="10"/>
      <x:c r="K322" s="10"/>
      <x:c r="L322" s="10"/>
      <x:c r="M322" s="10" t="n">
        <x:f t="shared" ref="M322:M385" si="5">IF(F322="Hoàn thành",1,0)</x:f>
        <x:v>0</x:v>
      </x:c>
    </x:row>
    <x:row r="323" ht="27.600000381469727">
      <x:c r="A323" s="10">
        <x:v>322</x:v>
      </x:c>
      <x:c r="B323" s="10" t="s">
        <x:v>32</x:v>
      </x:c>
      <x:c r="C323" s="10" t="s">
        <x:v>401</x:v>
      </x:c>
      <x:c r="D323" s="10" t="s">
        <x:v>62</x:v>
      </x:c>
      <x:c r="E323" s="10" t="s">
        <x:v>408</x:v>
      </x:c>
      <x:c r="F323" s="10" t="s">
        <x:v>3</x:v>
      </x:c>
      <x:c r="G323" s="10" t="s">
        <x:v>52</x:v>
      </x:c>
      <x:c r="H323" s="10" t="s">
        <x:v>64</x:v>
      </x:c>
      <x:c r="I323" s="10"/>
      <x:c r="J323" s="10"/>
      <x:c r="K323" s="10"/>
      <x:c r="L323" s="10"/>
      <x:c r="M323" s="10">
        <x:f t="shared" si="5"/>
        <x:v>0</x:v>
      </x:c>
    </x:row>
    <x:row r="324" ht="27.600000381469727">
      <x:c r="A324" s="10">
        <x:v>323</x:v>
      </x:c>
      <x:c r="B324" s="10" t="s">
        <x:v>32</x:v>
      </x:c>
      <x:c r="C324" s="10" t="s">
        <x:v>401</x:v>
      </x:c>
      <x:c r="D324" s="10" t="s">
        <x:v>62</x:v>
      </x:c>
      <x:c r="E324" s="10" t="s">
        <x:v>409</x:v>
      </x:c>
      <x:c r="F324" s="10" t="s">
        <x:v>3</x:v>
      </x:c>
      <x:c r="G324" s="10" t="s">
        <x:v>52</x:v>
      </x:c>
      <x:c r="H324" s="10" t="s">
        <x:v>64</x:v>
      </x:c>
      <x:c r="I324" s="10"/>
      <x:c r="J324" s="10"/>
      <x:c r="K324" s="10"/>
      <x:c r="L324" s="10"/>
      <x:c r="M324" s="10">
        <x:f t="shared" si="5"/>
        <x:v>0</x:v>
      </x:c>
    </x:row>
    <x:row r="325" ht="27.600000381469727">
      <x:c r="A325" s="10">
        <x:v>324</x:v>
      </x:c>
      <x:c r="B325" s="10" t="s">
        <x:v>32</x:v>
      </x:c>
      <x:c r="C325" s="10" t="s">
        <x:v>401</x:v>
      </x:c>
      <x:c r="D325" s="10" t="s">
        <x:v>62</x:v>
      </x:c>
      <x:c r="E325" s="10" t="s">
        <x:v>410</x:v>
      </x:c>
      <x:c r="F325" s="10" t="s">
        <x:v>3</x:v>
      </x:c>
      <x:c r="G325" s="10" t="s">
        <x:v>52</x:v>
      </x:c>
      <x:c r="H325" s="10" t="s">
        <x:v>64</x:v>
      </x:c>
      <x:c r="I325" s="10"/>
      <x:c r="J325" s="10"/>
      <x:c r="K325" s="10"/>
      <x:c r="L325" s="10"/>
      <x:c r="M325" s="10">
        <x:f t="shared" si="5"/>
        <x:v>0</x:v>
      </x:c>
    </x:row>
    <x:row r="326" ht="27.600000381469727">
      <x:c r="A326" s="10">
        <x:v>325</x:v>
      </x:c>
      <x:c r="B326" s="10" t="s">
        <x:v>32</x:v>
      </x:c>
      <x:c r="C326" s="10" t="s">
        <x:v>401</x:v>
      </x:c>
      <x:c r="D326" s="10" t="s">
        <x:v>78</x:v>
      </x:c>
      <x:c r="E326" s="10" t="s">
        <x:v>411</x:v>
      </x:c>
      <x:c r="F326" s="10" t="s">
        <x:v>3</x:v>
      </x:c>
      <x:c r="G326" s="10" t="s">
        <x:v>64</x:v>
      </x:c>
      <x:c r="H326" s="10" t="s">
        <x:v>64</x:v>
      </x:c>
      <x:c r="I326" s="10"/>
      <x:c r="J326" s="10"/>
      <x:c r="K326" s="10"/>
      <x:c r="L326" s="10"/>
      <x:c r="M326" s="10">
        <x:f t="shared" si="5"/>
        <x:v>0</x:v>
      </x:c>
    </x:row>
    <x:row r="327" ht="27.600000381469727">
      <x:c r="A327" s="10">
        <x:v>326</x:v>
      </x:c>
      <x:c r="B327" s="10" t="s">
        <x:v>32</x:v>
      </x:c>
      <x:c r="C327" s="10" t="s">
        <x:v>401</x:v>
      </x:c>
      <x:c r="D327" s="10" t="s">
        <x:v>78</x:v>
      </x:c>
      <x:c r="E327" s="10" t="s">
        <x:v>412</x:v>
      </x:c>
      <x:c r="F327" s="10" t="s">
        <x:v>3</x:v>
      </x:c>
      <x:c r="G327" s="10" t="s">
        <x:v>64</x:v>
      </x:c>
      <x:c r="H327" s="10" t="s">
        <x:v>64</x:v>
      </x:c>
      <x:c r="I327" s="10"/>
      <x:c r="J327" s="10"/>
      <x:c r="K327" s="10"/>
      <x:c r="L327" s="10"/>
      <x:c r="M327" s="10">
        <x:f t="shared" si="5"/>
        <x:v>0</x:v>
      </x:c>
    </x:row>
    <x:row r="328" ht="27.600000381469727">
      <x:c r="A328" s="10">
        <x:v>327</x:v>
      </x:c>
      <x:c r="B328" s="10" t="s">
        <x:v>32</x:v>
      </x:c>
      <x:c r="C328" s="10" t="s">
        <x:v>401</x:v>
      </x:c>
      <x:c r="D328" s="10" t="s">
        <x:v>78</x:v>
      </x:c>
      <x:c r="E328" s="10" t="s">
        <x:v>413</x:v>
      </x:c>
      <x:c r="F328" s="10" t="s">
        <x:v>3</x:v>
      </x:c>
      <x:c r="G328" s="10" t="s">
        <x:v>64</x:v>
      </x:c>
      <x:c r="H328" s="10" t="s">
        <x:v>64</x:v>
      </x:c>
      <x:c r="I328" s="10"/>
      <x:c r="J328" s="10"/>
      <x:c r="K328" s="10"/>
      <x:c r="L328" s="10"/>
      <x:c r="M328" s="10">
        <x:f t="shared" si="5"/>
        <x:v>0</x:v>
      </x:c>
    </x:row>
    <x:row r="329" ht="27.600000381469727">
      <x:c r="A329" s="10">
        <x:v>328</x:v>
      </x:c>
      <x:c r="B329" s="10" t="s">
        <x:v>32</x:v>
      </x:c>
      <x:c r="C329" s="10" t="s">
        <x:v>401</x:v>
      </x:c>
      <x:c r="D329" s="10" t="s">
        <x:v>84</x:v>
      </x:c>
      <x:c r="E329" s="10" t="s">
        <x:v>414</x:v>
      </x:c>
      <x:c r="F329" s="10" t="s">
        <x:v>3</x:v>
      </x:c>
      <x:c r="G329" s="10" t="s">
        <x:v>52</x:v>
      </x:c>
      <x:c r="H329" s="10" t="s">
        <x:v>64</x:v>
      </x:c>
      <x:c r="I329" s="10"/>
      <x:c r="J329" s="10"/>
      <x:c r="K329" s="10"/>
      <x:c r="L329" s="10"/>
      <x:c r="M329" s="10">
        <x:f t="shared" si="5"/>
        <x:v>0</x:v>
      </x:c>
    </x:row>
    <x:row r="330" ht="27.600000381469727">
      <x:c r="A330" s="10">
        <x:v>329</x:v>
      </x:c>
      <x:c r="B330" s="10" t="s">
        <x:v>32</x:v>
      </x:c>
      <x:c r="C330" s="10" t="s">
        <x:v>401</x:v>
      </x:c>
      <x:c r="D330" s="10" t="s">
        <x:v>84</x:v>
      </x:c>
      <x:c r="E330" s="10" t="s">
        <x:v>415</x:v>
      </x:c>
      <x:c r="F330" s="10" t="s">
        <x:v>3</x:v>
      </x:c>
      <x:c r="G330" s="10" t="s">
        <x:v>52</x:v>
      </x:c>
      <x:c r="H330" s="10" t="s">
        <x:v>64</x:v>
      </x:c>
      <x:c r="I330" s="10"/>
      <x:c r="J330" s="10"/>
      <x:c r="K330" s="10"/>
      <x:c r="L330" s="10"/>
      <x:c r="M330" s="10">
        <x:f t="shared" si="5"/>
        <x:v>0</x:v>
      </x:c>
    </x:row>
    <x:row r="331" ht="27.600000381469727">
      <x:c r="A331" s="10">
        <x:v>330</x:v>
      </x:c>
      <x:c r="B331" s="10" t="s">
        <x:v>32</x:v>
      </x:c>
      <x:c r="C331" s="10" t="s">
        <x:v>401</x:v>
      </x:c>
      <x:c r="D331" s="10" t="s">
        <x:v>84</x:v>
      </x:c>
      <x:c r="E331" s="10" t="s">
        <x:v>416</x:v>
      </x:c>
      <x:c r="F331" s="10" t="s">
        <x:v>3</x:v>
      </x:c>
      <x:c r="G331" s="10" t="s">
        <x:v>52</x:v>
      </x:c>
      <x:c r="H331" s="10" t="s">
        <x:v>64</x:v>
      </x:c>
      <x:c r="I331" s="10"/>
      <x:c r="J331" s="10"/>
      <x:c r="K331" s="10"/>
      <x:c r="L331" s="10"/>
      <x:c r="M331" s="10">
        <x:f t="shared" si="5"/>
        <x:v>0</x:v>
      </x:c>
    </x:row>
    <x:row r="332" ht="27.600000381469727">
      <x:c r="A332" s="10">
        <x:v>331</x:v>
      </x:c>
      <x:c r="B332" s="10" t="s">
        <x:v>32</x:v>
      </x:c>
      <x:c r="C332" s="10" t="s">
        <x:v>417</x:v>
      </x:c>
      <x:c r="D332" s="10" t="s">
        <x:v>62</x:v>
      </x:c>
      <x:c r="E332" s="10" t="s">
        <x:v>418</x:v>
      </x:c>
      <x:c r="F332" s="10" t="s">
        <x:v>3</x:v>
      </x:c>
      <x:c r="G332" s="10" t="s">
        <x:v>52</x:v>
      </x:c>
      <x:c r="H332" s="10" t="s">
        <x:v>52</x:v>
      </x:c>
      <x:c r="I332" s="10"/>
      <x:c r="J332" s="10"/>
      <x:c r="K332" s="10"/>
      <x:c r="L332" s="10"/>
      <x:c r="M332" s="10">
        <x:f t="shared" si="5"/>
        <x:v>0</x:v>
      </x:c>
    </x:row>
    <x:row r="333" ht="27.600000381469727">
      <x:c r="A333" s="10">
        <x:v>332</x:v>
      </x:c>
      <x:c r="B333" s="10" t="s">
        <x:v>32</x:v>
      </x:c>
      <x:c r="C333" s="10" t="s">
        <x:v>417</x:v>
      </x:c>
      <x:c r="D333" s="10" t="s">
        <x:v>62</x:v>
      </x:c>
      <x:c r="E333" s="10" t="s">
        <x:v>419</x:v>
      </x:c>
      <x:c r="F333" s="10" t="s">
        <x:v>3</x:v>
      </x:c>
      <x:c r="G333" s="10" t="s">
        <x:v>52</x:v>
      </x:c>
      <x:c r="H333" s="10" t="s">
        <x:v>52</x:v>
      </x:c>
      <x:c r="I333" s="10"/>
      <x:c r="J333" s="10"/>
      <x:c r="K333" s="10"/>
      <x:c r="L333" s="10"/>
      <x:c r="M333" s="10">
        <x:f t="shared" si="5"/>
        <x:v>0</x:v>
      </x:c>
    </x:row>
    <x:row r="334" ht="27.600000381469727">
      <x:c r="A334" s="10">
        <x:v>333</x:v>
      </x:c>
      <x:c r="B334" s="10" t="s">
        <x:v>32</x:v>
      </x:c>
      <x:c r="C334" s="10" t="s">
        <x:v>417</x:v>
      </x:c>
      <x:c r="D334" s="10" t="s">
        <x:v>62</x:v>
      </x:c>
      <x:c r="E334" s="10" t="s">
        <x:v>420</x:v>
      </x:c>
      <x:c r="F334" s="10" t="s">
        <x:v>3</x:v>
      </x:c>
      <x:c r="G334" s="10" t="s">
        <x:v>52</x:v>
      </x:c>
      <x:c r="H334" s="10" t="s">
        <x:v>52</x:v>
      </x:c>
      <x:c r="I334" s="10"/>
      <x:c r="J334" s="10"/>
      <x:c r="K334" s="10"/>
      <x:c r="L334" s="10"/>
      <x:c r="M334" s="10">
        <x:f t="shared" si="5"/>
        <x:v>0</x:v>
      </x:c>
    </x:row>
    <x:row r="335" ht="27.600000381469727">
      <x:c r="A335" s="10">
        <x:v>334</x:v>
      </x:c>
      <x:c r="B335" s="10" t="s">
        <x:v>32</x:v>
      </x:c>
      <x:c r="C335" s="10" t="s">
        <x:v>417</x:v>
      </x:c>
      <x:c r="D335" s="10" t="s">
        <x:v>62</x:v>
      </x:c>
      <x:c r="E335" s="10" t="s">
        <x:v>421</x:v>
      </x:c>
      <x:c r="F335" s="10" t="s">
        <x:v>3</x:v>
      </x:c>
      <x:c r="G335" s="10" t="s">
        <x:v>52</x:v>
      </x:c>
      <x:c r="H335" s="10" t="s">
        <x:v>52</x:v>
      </x:c>
      <x:c r="I335" s="10"/>
      <x:c r="J335" s="10"/>
      <x:c r="K335" s="10"/>
      <x:c r="L335" s="10"/>
      <x:c r="M335" s="10">
        <x:f t="shared" si="5"/>
        <x:v>0</x:v>
      </x:c>
    </x:row>
    <x:row r="336" ht="27.600000381469727">
      <x:c r="A336" s="10">
        <x:v>335</x:v>
      </x:c>
      <x:c r="B336" s="10" t="s">
        <x:v>32</x:v>
      </x:c>
      <x:c r="C336" s="10" t="s">
        <x:v>417</x:v>
      </x:c>
      <x:c r="D336" s="10" t="s">
        <x:v>62</x:v>
      </x:c>
      <x:c r="E336" s="10" t="s">
        <x:v>422</x:v>
      </x:c>
      <x:c r="F336" s="10" t="s">
        <x:v>3</x:v>
      </x:c>
      <x:c r="G336" s="10" t="s">
        <x:v>52</x:v>
      </x:c>
      <x:c r="H336" s="10" t="s">
        <x:v>52</x:v>
      </x:c>
      <x:c r="I336" s="10"/>
      <x:c r="J336" s="10"/>
      <x:c r="K336" s="10"/>
      <x:c r="L336" s="10"/>
      <x:c r="M336" s="10">
        <x:f t="shared" si="5"/>
        <x:v>0</x:v>
      </x:c>
    </x:row>
    <x:row r="337" ht="27.600000381469727">
      <x:c r="A337" s="10">
        <x:v>336</x:v>
      </x:c>
      <x:c r="B337" s="10" t="s">
        <x:v>32</x:v>
      </x:c>
      <x:c r="C337" s="10" t="s">
        <x:v>417</x:v>
      </x:c>
      <x:c r="D337" s="10" t="s">
        <x:v>62</x:v>
      </x:c>
      <x:c r="E337" s="10" t="s">
        <x:v>423</x:v>
      </x:c>
      <x:c r="F337" s="10" t="s">
        <x:v>3</x:v>
      </x:c>
      <x:c r="G337" s="10" t="s">
        <x:v>52</x:v>
      </x:c>
      <x:c r="H337" s="10" t="s">
        <x:v>52</x:v>
      </x:c>
      <x:c r="I337" s="10"/>
      <x:c r="J337" s="10"/>
      <x:c r="K337" s="10"/>
      <x:c r="L337" s="10"/>
      <x:c r="M337" s="10">
        <x:f t="shared" si="5"/>
        <x:v>0</x:v>
      </x:c>
    </x:row>
    <x:row r="338" ht="27.600000381469727">
      <x:c r="A338" s="10">
        <x:v>337</x:v>
      </x:c>
      <x:c r="B338" s="10" t="s">
        <x:v>32</x:v>
      </x:c>
      <x:c r="C338" s="10" t="s">
        <x:v>417</x:v>
      </x:c>
      <x:c r="D338" s="10" t="s">
        <x:v>62</x:v>
      </x:c>
      <x:c r="E338" s="10" t="s">
        <x:v>424</x:v>
      </x:c>
      <x:c r="F338" s="10" t="s">
        <x:v>3</x:v>
      </x:c>
      <x:c r="G338" s="10" t="s">
        <x:v>52</x:v>
      </x:c>
      <x:c r="H338" s="10" t="s">
        <x:v>52</x:v>
      </x:c>
      <x:c r="I338" s="10"/>
      <x:c r="J338" s="10"/>
      <x:c r="K338" s="10"/>
      <x:c r="L338" s="10"/>
      <x:c r="M338" s="10">
        <x:f t="shared" si="5"/>
        <x:v>0</x:v>
      </x:c>
    </x:row>
    <x:row r="339" ht="27.600000381469727">
      <x:c r="A339" s="10">
        <x:v>338</x:v>
      </x:c>
      <x:c r="B339" s="10" t="s">
        <x:v>32</x:v>
      </x:c>
      <x:c r="C339" s="10" t="s">
        <x:v>417</x:v>
      </x:c>
      <x:c r="D339" s="10" t="s">
        <x:v>62</x:v>
      </x:c>
      <x:c r="E339" s="10" t="s">
        <x:v>425</x:v>
      </x:c>
      <x:c r="F339" s="10" t="s">
        <x:v>3</x:v>
      </x:c>
      <x:c r="G339" s="10" t="s">
        <x:v>52</x:v>
      </x:c>
      <x:c r="H339" s="10" t="s">
        <x:v>52</x:v>
      </x:c>
      <x:c r="I339" s="10"/>
      <x:c r="J339" s="10"/>
      <x:c r="K339" s="10"/>
      <x:c r="L339" s="10"/>
      <x:c r="M339" s="10">
        <x:f t="shared" si="5"/>
        <x:v>0</x:v>
      </x:c>
    </x:row>
    <x:row r="340" ht="27.600000381469727">
      <x:c r="A340" s="10">
        <x:v>339</x:v>
      </x:c>
      <x:c r="B340" s="10" t="s">
        <x:v>32</x:v>
      </x:c>
      <x:c r="C340" s="10" t="s">
        <x:v>417</x:v>
      </x:c>
      <x:c r="D340" s="10" t="s">
        <x:v>78</x:v>
      </x:c>
      <x:c r="E340" s="10" t="s">
        <x:v>426</x:v>
      </x:c>
      <x:c r="F340" s="10" t="s">
        <x:v>3</x:v>
      </x:c>
      <x:c r="G340" s="10" t="s">
        <x:v>64</x:v>
      </x:c>
      <x:c r="H340" s="10" t="s">
        <x:v>64</x:v>
      </x:c>
      <x:c r="I340" s="10"/>
      <x:c r="J340" s="10"/>
      <x:c r="K340" s="10"/>
      <x:c r="L340" s="10"/>
      <x:c r="M340" s="10">
        <x:f t="shared" si="5"/>
        <x:v>0</x:v>
      </x:c>
    </x:row>
    <x:row r="341" ht="27.600000381469727">
      <x:c r="A341" s="10">
        <x:v>340</x:v>
      </x:c>
      <x:c r="B341" s="10" t="s">
        <x:v>32</x:v>
      </x:c>
      <x:c r="C341" s="10" t="s">
        <x:v>417</x:v>
      </x:c>
      <x:c r="D341" s="10" t="s">
        <x:v>78</x:v>
      </x:c>
      <x:c r="E341" s="10" t="s">
        <x:v>427</x:v>
      </x:c>
      <x:c r="F341" s="10" t="s">
        <x:v>3</x:v>
      </x:c>
      <x:c r="G341" s="10" t="s">
        <x:v>64</x:v>
      </x:c>
      <x:c r="H341" s="10" t="s">
        <x:v>64</x:v>
      </x:c>
      <x:c r="I341" s="10"/>
      <x:c r="J341" s="10"/>
      <x:c r="K341" s="10"/>
      <x:c r="L341" s="10"/>
      <x:c r="M341" s="10">
        <x:f t="shared" si="5"/>
        <x:v>0</x:v>
      </x:c>
    </x:row>
    <x:row r="342" ht="27.600000381469727">
      <x:c r="A342" s="10">
        <x:v>341</x:v>
      </x:c>
      <x:c r="B342" s="10" t="s">
        <x:v>32</x:v>
      </x:c>
      <x:c r="C342" s="10" t="s">
        <x:v>417</x:v>
      </x:c>
      <x:c r="D342" s="10" t="s">
        <x:v>78</x:v>
      </x:c>
      <x:c r="E342" s="10" t="s">
        <x:v>428</x:v>
      </x:c>
      <x:c r="F342" s="10" t="s">
        <x:v>3</x:v>
      </x:c>
      <x:c r="G342" s="10" t="s">
        <x:v>64</x:v>
      </x:c>
      <x:c r="H342" s="10" t="s">
        <x:v>64</x:v>
      </x:c>
      <x:c r="I342" s="10"/>
      <x:c r="J342" s="10"/>
      <x:c r="K342" s="10"/>
      <x:c r="L342" s="10"/>
      <x:c r="M342" s="10">
        <x:f t="shared" si="5"/>
        <x:v>0</x:v>
      </x:c>
    </x:row>
    <x:row r="343" ht="27.600000381469727">
      <x:c r="A343" s="10">
        <x:v>342</x:v>
      </x:c>
      <x:c r="B343" s="10" t="s">
        <x:v>32</x:v>
      </x:c>
      <x:c r="C343" s="10" t="s">
        <x:v>417</x:v>
      </x:c>
      <x:c r="D343" s="10" t="s">
        <x:v>84</x:v>
      </x:c>
      <x:c r="E343" s="10" t="s">
        <x:v>429</x:v>
      </x:c>
      <x:c r="F343" s="10" t="s">
        <x:v>3</x:v>
      </x:c>
      <x:c r="G343" s="10" t="s">
        <x:v>52</x:v>
      </x:c>
      <x:c r="H343" s="10" t="s">
        <x:v>64</x:v>
      </x:c>
      <x:c r="I343" s="10"/>
      <x:c r="J343" s="10"/>
      <x:c r="K343" s="10"/>
      <x:c r="L343" s="10"/>
      <x:c r="M343" s="10">
        <x:f t="shared" si="5"/>
        <x:v>0</x:v>
      </x:c>
    </x:row>
    <x:row r="344" ht="27.600000381469727">
      <x:c r="A344" s="10">
        <x:v>343</x:v>
      </x:c>
      <x:c r="B344" s="10" t="s">
        <x:v>32</x:v>
      </x:c>
      <x:c r="C344" s="10" t="s">
        <x:v>417</x:v>
      </x:c>
      <x:c r="D344" s="10" t="s">
        <x:v>84</x:v>
      </x:c>
      <x:c r="E344" s="10" t="s">
        <x:v>430</x:v>
      </x:c>
      <x:c r="F344" s="10" t="s">
        <x:v>3</x:v>
      </x:c>
      <x:c r="G344" s="10" t="s">
        <x:v>52</x:v>
      </x:c>
      <x:c r="H344" s="10" t="s">
        <x:v>64</x:v>
      </x:c>
      <x:c r="I344" s="10"/>
      <x:c r="J344" s="10"/>
      <x:c r="K344" s="10"/>
      <x:c r="L344" s="10"/>
      <x:c r="M344" s="10">
        <x:f t="shared" si="5"/>
        <x:v>0</x:v>
      </x:c>
    </x:row>
    <x:row r="345" ht="27.600000381469727">
      <x:c r="A345" s="10">
        <x:v>344</x:v>
      </x:c>
      <x:c r="B345" s="10" t="s">
        <x:v>32</x:v>
      </x:c>
      <x:c r="C345" s="10" t="s">
        <x:v>417</x:v>
      </x:c>
      <x:c r="D345" s="10" t="s">
        <x:v>84</x:v>
      </x:c>
      <x:c r="E345" s="10" t="s">
        <x:v>431</x:v>
      </x:c>
      <x:c r="F345" s="10" t="s">
        <x:v>3</x:v>
      </x:c>
      <x:c r="G345" s="10" t="s">
        <x:v>52</x:v>
      </x:c>
      <x:c r="H345" s="10" t="s">
        <x:v>64</x:v>
      </x:c>
      <x:c r="I345" s="10"/>
      <x:c r="J345" s="10"/>
      <x:c r="K345" s="10"/>
      <x:c r="L345" s="10"/>
      <x:c r="M345" s="10">
        <x:f t="shared" si="5"/>
        <x:v>0</x:v>
      </x:c>
    </x:row>
    <x:row r="346" ht="27.600000381469727">
      <x:c r="A346" s="10">
        <x:v>345</x:v>
      </x:c>
      <x:c r="B346" s="10" t="s">
        <x:v>32</x:v>
      </x:c>
      <x:c r="C346" s="10" t="s">
        <x:v>432</x:v>
      </x:c>
      <x:c r="D346" s="10" t="s">
        <x:v>62</x:v>
      </x:c>
      <x:c r="E346" s="10" t="s">
        <x:v>433</x:v>
      </x:c>
      <x:c r="F346" s="10" t="s">
        <x:v>3</x:v>
      </x:c>
      <x:c r="G346" s="10" t="s">
        <x:v>52</x:v>
      </x:c>
      <x:c r="H346" s="10" t="s">
        <x:v>64</x:v>
      </x:c>
      <x:c r="I346" s="10"/>
      <x:c r="J346" s="10"/>
      <x:c r="K346" s="10"/>
      <x:c r="L346" s="10"/>
      <x:c r="M346" s="10">
        <x:f t="shared" si="5"/>
        <x:v>0</x:v>
      </x:c>
    </x:row>
    <x:row r="347" ht="27.600000381469727">
      <x:c r="A347" s="10">
        <x:v>346</x:v>
      </x:c>
      <x:c r="B347" s="10" t="s">
        <x:v>32</x:v>
      </x:c>
      <x:c r="C347" s="10" t="s">
        <x:v>432</x:v>
      </x:c>
      <x:c r="D347" s="10" t="s">
        <x:v>62</x:v>
      </x:c>
      <x:c r="E347" s="10" t="s">
        <x:v>434</x:v>
      </x:c>
      <x:c r="F347" s="10" t="s">
        <x:v>3</x:v>
      </x:c>
      <x:c r="G347" s="10" t="s">
        <x:v>52</x:v>
      </x:c>
      <x:c r="H347" s="10" t="s">
        <x:v>64</x:v>
      </x:c>
      <x:c r="I347" s="10"/>
      <x:c r="J347" s="10"/>
      <x:c r="K347" s="10"/>
      <x:c r="L347" s="10"/>
      <x:c r="M347" s="10">
        <x:f t="shared" si="5"/>
        <x:v>0</x:v>
      </x:c>
    </x:row>
    <x:row r="348" ht="27.600000381469727">
      <x:c r="A348" s="10">
        <x:v>347</x:v>
      </x:c>
      <x:c r="B348" s="10" t="s">
        <x:v>32</x:v>
      </x:c>
      <x:c r="C348" s="10" t="s">
        <x:v>432</x:v>
      </x:c>
      <x:c r="D348" s="10" t="s">
        <x:v>62</x:v>
      </x:c>
      <x:c r="E348" s="10" t="s">
        <x:v>435</x:v>
      </x:c>
      <x:c r="F348" s="10" t="s">
        <x:v>3</x:v>
      </x:c>
      <x:c r="G348" s="10" t="s">
        <x:v>52</x:v>
      </x:c>
      <x:c r="H348" s="10" t="s">
        <x:v>64</x:v>
      </x:c>
      <x:c r="I348" s="10"/>
      <x:c r="J348" s="10"/>
      <x:c r="K348" s="10"/>
      <x:c r="L348" s="10"/>
      <x:c r="M348" s="10">
        <x:f t="shared" si="5"/>
        <x:v>0</x:v>
      </x:c>
    </x:row>
    <x:row r="349" ht="27.600000381469727">
      <x:c r="A349" s="10">
        <x:v>348</x:v>
      </x:c>
      <x:c r="B349" s="10" t="s">
        <x:v>32</x:v>
      </x:c>
      <x:c r="C349" s="10" t="s">
        <x:v>432</x:v>
      </x:c>
      <x:c r="D349" s="10" t="s">
        <x:v>62</x:v>
      </x:c>
      <x:c r="E349" s="10" t="s">
        <x:v>436</x:v>
      </x:c>
      <x:c r="F349" s="10" t="s">
        <x:v>3</x:v>
      </x:c>
      <x:c r="G349" s="10" t="s">
        <x:v>52</x:v>
      </x:c>
      <x:c r="H349" s="10" t="s">
        <x:v>64</x:v>
      </x:c>
      <x:c r="I349" s="10"/>
      <x:c r="J349" s="10"/>
      <x:c r="K349" s="10"/>
      <x:c r="L349" s="10"/>
      <x:c r="M349" s="10">
        <x:f t="shared" si="5"/>
        <x:v>0</x:v>
      </x:c>
    </x:row>
    <x:row r="350" ht="27.600000381469727">
      <x:c r="A350" s="10">
        <x:v>349</x:v>
      </x:c>
      <x:c r="B350" s="10" t="s">
        <x:v>32</x:v>
      </x:c>
      <x:c r="C350" s="10" t="s">
        <x:v>432</x:v>
      </x:c>
      <x:c r="D350" s="10" t="s">
        <x:v>62</x:v>
      </x:c>
      <x:c r="E350" s="10" t="s">
        <x:v>437</x:v>
      </x:c>
      <x:c r="F350" s="10" t="s">
        <x:v>3</x:v>
      </x:c>
      <x:c r="G350" s="10" t="s">
        <x:v>52</x:v>
      </x:c>
      <x:c r="H350" s="10" t="s">
        <x:v>64</x:v>
      </x:c>
      <x:c r="I350" s="10"/>
      <x:c r="J350" s="10"/>
      <x:c r="K350" s="10"/>
      <x:c r="L350" s="10"/>
      <x:c r="M350" s="10">
        <x:f t="shared" si="5"/>
        <x:v>0</x:v>
      </x:c>
    </x:row>
    <x:row r="351" ht="27.600000381469727">
      <x:c r="A351" s="10">
        <x:v>350</x:v>
      </x:c>
      <x:c r="B351" s="10" t="s">
        <x:v>32</x:v>
      </x:c>
      <x:c r="C351" s="10" t="s">
        <x:v>432</x:v>
      </x:c>
      <x:c r="D351" s="10" t="s">
        <x:v>62</x:v>
      </x:c>
      <x:c r="E351" s="10" t="s">
        <x:v>438</x:v>
      </x:c>
      <x:c r="F351" s="10" t="s">
        <x:v>3</x:v>
      </x:c>
      <x:c r="G351" s="10" t="s">
        <x:v>52</x:v>
      </x:c>
      <x:c r="H351" s="10" t="s">
        <x:v>64</x:v>
      </x:c>
      <x:c r="I351" s="10"/>
      <x:c r="J351" s="10"/>
      <x:c r="K351" s="10"/>
      <x:c r="L351" s="10"/>
      <x:c r="M351" s="10">
        <x:f t="shared" si="5"/>
        <x:v>0</x:v>
      </x:c>
    </x:row>
    <x:row r="352" ht="27.600000381469727">
      <x:c r="A352" s="10">
        <x:v>351</x:v>
      </x:c>
      <x:c r="B352" s="10" t="s">
        <x:v>32</x:v>
      </x:c>
      <x:c r="C352" s="10" t="s">
        <x:v>432</x:v>
      </x:c>
      <x:c r="D352" s="10" t="s">
        <x:v>78</x:v>
      </x:c>
      <x:c r="E352" s="10" t="s">
        <x:v>439</x:v>
      </x:c>
      <x:c r="F352" s="10" t="s">
        <x:v>3</x:v>
      </x:c>
      <x:c r="G352" s="10" t="s">
        <x:v>64</x:v>
      </x:c>
      <x:c r="H352" s="10" t="s">
        <x:v>64</x:v>
      </x:c>
      <x:c r="I352" s="10"/>
      <x:c r="J352" s="10"/>
      <x:c r="K352" s="10"/>
      <x:c r="L352" s="10"/>
      <x:c r="M352" s="10">
        <x:f t="shared" si="5"/>
        <x:v>0</x:v>
      </x:c>
    </x:row>
    <x:row r="353" ht="27.600000381469727">
      <x:c r="A353" s="10">
        <x:v>352</x:v>
      </x:c>
      <x:c r="B353" s="10" t="s">
        <x:v>32</x:v>
      </x:c>
      <x:c r="C353" s="10" t="s">
        <x:v>432</x:v>
      </x:c>
      <x:c r="D353" s="10" t="s">
        <x:v>78</x:v>
      </x:c>
      <x:c r="E353" s="10" t="s">
        <x:v>440</x:v>
      </x:c>
      <x:c r="F353" s="10" t="s">
        <x:v>3</x:v>
      </x:c>
      <x:c r="G353" s="10" t="s">
        <x:v>64</x:v>
      </x:c>
      <x:c r="H353" s="10" t="s">
        <x:v>64</x:v>
      </x:c>
      <x:c r="I353" s="10"/>
      <x:c r="J353" s="10"/>
      <x:c r="K353" s="10"/>
      <x:c r="L353" s="10"/>
      <x:c r="M353" s="10">
        <x:f t="shared" si="5"/>
        <x:v>0</x:v>
      </x:c>
    </x:row>
    <x:row r="354" ht="27.600000381469727">
      <x:c r="A354" s="10">
        <x:v>353</x:v>
      </x:c>
      <x:c r="B354" s="10" t="s">
        <x:v>32</x:v>
      </x:c>
      <x:c r="C354" s="10" t="s">
        <x:v>432</x:v>
      </x:c>
      <x:c r="D354" s="10" t="s">
        <x:v>84</x:v>
      </x:c>
      <x:c r="E354" s="10" t="s">
        <x:v>441</x:v>
      </x:c>
      <x:c r="F354" s="10" t="s">
        <x:v>3</x:v>
      </x:c>
      <x:c r="G354" s="10" t="s">
        <x:v>52</x:v>
      </x:c>
      <x:c r="H354" s="10" t="s">
        <x:v>64</x:v>
      </x:c>
      <x:c r="I354" s="10"/>
      <x:c r="J354" s="10"/>
      <x:c r="K354" s="10"/>
      <x:c r="L354" s="10"/>
      <x:c r="M354" s="10">
        <x:f t="shared" si="5"/>
        <x:v>0</x:v>
      </x:c>
    </x:row>
    <x:row r="355" ht="27.600000381469727">
      <x:c r="A355" s="10">
        <x:v>354</x:v>
      </x:c>
      <x:c r="B355" s="10" t="s">
        <x:v>32</x:v>
      </x:c>
      <x:c r="C355" s="10" t="s">
        <x:v>432</x:v>
      </x:c>
      <x:c r="D355" s="10" t="s">
        <x:v>84</x:v>
      </x:c>
      <x:c r="E355" s="10" t="s">
        <x:v>442</x:v>
      </x:c>
      <x:c r="F355" s="10" t="s">
        <x:v>3</x:v>
      </x:c>
      <x:c r="G355" s="10" t="s">
        <x:v>52</x:v>
      </x:c>
      <x:c r="H355" s="10" t="s">
        <x:v>64</x:v>
      </x:c>
      <x:c r="I355" s="10"/>
      <x:c r="J355" s="10"/>
      <x:c r="K355" s="10"/>
      <x:c r="L355" s="10"/>
      <x:c r="M355" s="10">
        <x:f t="shared" si="5"/>
        <x:v>0</x:v>
      </x:c>
    </x:row>
    <x:row r="356" ht="27.600000381469727">
      <x:c r="A356" s="10">
        <x:v>355</x:v>
      </x:c>
      <x:c r="B356" s="10" t="s">
        <x:v>32</x:v>
      </x:c>
      <x:c r="C356" s="10" t="s">
        <x:v>432</x:v>
      </x:c>
      <x:c r="D356" s="10" t="s">
        <x:v>84</x:v>
      </x:c>
      <x:c r="E356" s="10" t="s">
        <x:v>443</x:v>
      </x:c>
      <x:c r="F356" s="10" t="s">
        <x:v>3</x:v>
      </x:c>
      <x:c r="G356" s="10" t="s">
        <x:v>52</x:v>
      </x:c>
      <x:c r="H356" s="10" t="s">
        <x:v>64</x:v>
      </x:c>
      <x:c r="I356" s="10"/>
      <x:c r="J356" s="10"/>
      <x:c r="K356" s="10"/>
      <x:c r="L356" s="10"/>
      <x:c r="M356" s="10">
        <x:f t="shared" si="5"/>
        <x:v>0</x:v>
      </x:c>
    </x:row>
    <x:row r="357" ht="27.600000381469727">
      <x:c r="A357" s="10">
        <x:v>356</x:v>
      </x:c>
      <x:c r="B357" s="10" t="s">
        <x:v>32</x:v>
      </x:c>
      <x:c r="C357" s="10" t="s">
        <x:v>444</x:v>
      </x:c>
      <x:c r="D357" s="10" t="s">
        <x:v>62</x:v>
      </x:c>
      <x:c r="E357" s="10" t="s">
        <x:v>445</x:v>
      </x:c>
      <x:c r="F357" s="10" t="s">
        <x:v>3</x:v>
      </x:c>
      <x:c r="G357" s="10" t="s">
        <x:v>64</x:v>
      </x:c>
      <x:c r="H357" s="10" t="s">
        <x:v>64</x:v>
      </x:c>
      <x:c r="I357" s="10"/>
      <x:c r="J357" s="10"/>
      <x:c r="K357" s="10"/>
      <x:c r="L357" s="10"/>
      <x:c r="M357" s="10">
        <x:f t="shared" si="5"/>
        <x:v>0</x:v>
      </x:c>
    </x:row>
    <x:row r="358" ht="27.600000381469727">
      <x:c r="A358" s="10">
        <x:v>357</x:v>
      </x:c>
      <x:c r="B358" s="10" t="s">
        <x:v>32</x:v>
      </x:c>
      <x:c r="C358" s="10" t="s">
        <x:v>444</x:v>
      </x:c>
      <x:c r="D358" s="10" t="s">
        <x:v>62</x:v>
      </x:c>
      <x:c r="E358" s="10" t="s">
        <x:v>446</x:v>
      </x:c>
      <x:c r="F358" s="10" t="s">
        <x:v>3</x:v>
      </x:c>
      <x:c r="G358" s="10" t="s">
        <x:v>64</x:v>
      </x:c>
      <x:c r="H358" s="10" t="s">
        <x:v>64</x:v>
      </x:c>
      <x:c r="I358" s="10"/>
      <x:c r="J358" s="10"/>
      <x:c r="K358" s="10"/>
      <x:c r="L358" s="10"/>
      <x:c r="M358" s="10">
        <x:f t="shared" si="5"/>
        <x:v>0</x:v>
      </x:c>
    </x:row>
    <x:row r="359" ht="27.600000381469727">
      <x:c r="A359" s="10">
        <x:v>358</x:v>
      </x:c>
      <x:c r="B359" s="10" t="s">
        <x:v>32</x:v>
      </x:c>
      <x:c r="C359" s="10" t="s">
        <x:v>444</x:v>
      </x:c>
      <x:c r="D359" s="10" t="s">
        <x:v>62</x:v>
      </x:c>
      <x:c r="E359" s="10" t="s">
        <x:v>447</x:v>
      </x:c>
      <x:c r="F359" s="10" t="s">
        <x:v>3</x:v>
      </x:c>
      <x:c r="G359" s="10" t="s">
        <x:v>64</x:v>
      </x:c>
      <x:c r="H359" s="10" t="s">
        <x:v>64</x:v>
      </x:c>
      <x:c r="I359" s="10"/>
      <x:c r="J359" s="10"/>
      <x:c r="K359" s="10"/>
      <x:c r="L359" s="10"/>
      <x:c r="M359" s="10">
        <x:f t="shared" si="5"/>
        <x:v>0</x:v>
      </x:c>
    </x:row>
    <x:row r="360" ht="27.600000381469727">
      <x:c r="A360" s="10">
        <x:v>359</x:v>
      </x:c>
      <x:c r="B360" s="10" t="s">
        <x:v>32</x:v>
      </x:c>
      <x:c r="C360" s="10" t="s">
        <x:v>444</x:v>
      </x:c>
      <x:c r="D360" s="10" t="s">
        <x:v>62</x:v>
      </x:c>
      <x:c r="E360" s="10" t="s">
        <x:v>448</x:v>
      </x:c>
      <x:c r="F360" s="10" t="s">
        <x:v>3</x:v>
      </x:c>
      <x:c r="G360" s="10" t="s">
        <x:v>64</x:v>
      </x:c>
      <x:c r="H360" s="10" t="s">
        <x:v>64</x:v>
      </x:c>
      <x:c r="I360" s="10"/>
      <x:c r="J360" s="10"/>
      <x:c r="K360" s="10"/>
      <x:c r="L360" s="10"/>
      <x:c r="M360" s="10">
        <x:f t="shared" si="5"/>
        <x:v>0</x:v>
      </x:c>
    </x:row>
    <x:row r="361" ht="27.600000381469727">
      <x:c r="A361" s="10">
        <x:v>360</x:v>
      </x:c>
      <x:c r="B361" s="10" t="s">
        <x:v>32</x:v>
      </x:c>
      <x:c r="C361" s="10" t="s">
        <x:v>444</x:v>
      </x:c>
      <x:c r="D361" s="10" t="s">
        <x:v>62</x:v>
      </x:c>
      <x:c r="E361" s="10" t="s">
        <x:v>449</x:v>
      </x:c>
      <x:c r="F361" s="10" t="s">
        <x:v>3</x:v>
      </x:c>
      <x:c r="G361" s="10" t="s">
        <x:v>64</x:v>
      </x:c>
      <x:c r="H361" s="10" t="s">
        <x:v>64</x:v>
      </x:c>
      <x:c r="I361" s="10"/>
      <x:c r="J361" s="10"/>
      <x:c r="K361" s="10"/>
      <x:c r="L361" s="10"/>
      <x:c r="M361" s="10">
        <x:f t="shared" si="5"/>
        <x:v>0</x:v>
      </x:c>
    </x:row>
    <x:row r="362" ht="27.600000381469727">
      <x:c r="A362" s="10">
        <x:v>361</x:v>
      </x:c>
      <x:c r="B362" s="10" t="s">
        <x:v>32</x:v>
      </x:c>
      <x:c r="C362" s="10" t="s">
        <x:v>444</x:v>
      </x:c>
      <x:c r="D362" s="10" t="s">
        <x:v>78</x:v>
      </x:c>
      <x:c r="E362" s="10" t="s">
        <x:v>450</x:v>
      </x:c>
      <x:c r="F362" s="10" t="s">
        <x:v>3</x:v>
      </x:c>
      <x:c r="G362" s="10" t="s">
        <x:v>64</x:v>
      </x:c>
      <x:c r="H362" s="10" t="s">
        <x:v>64</x:v>
      </x:c>
      <x:c r="I362" s="10"/>
      <x:c r="J362" s="10"/>
      <x:c r="K362" s="10"/>
      <x:c r="L362" s="10"/>
      <x:c r="M362" s="10">
        <x:f t="shared" si="5"/>
        <x:v>0</x:v>
      </x:c>
    </x:row>
    <x:row r="363" ht="27.600000381469727">
      <x:c r="A363" s="10">
        <x:v>362</x:v>
      </x:c>
      <x:c r="B363" s="10" t="s">
        <x:v>32</x:v>
      </x:c>
      <x:c r="C363" s="10" t="s">
        <x:v>444</x:v>
      </x:c>
      <x:c r="D363" s="10" t="s">
        <x:v>78</x:v>
      </x:c>
      <x:c r="E363" s="10" t="s">
        <x:v>451</x:v>
      </x:c>
      <x:c r="F363" s="10" t="s">
        <x:v>3</x:v>
      </x:c>
      <x:c r="G363" s="10" t="s">
        <x:v>64</x:v>
      </x:c>
      <x:c r="H363" s="10" t="s">
        <x:v>64</x:v>
      </x:c>
      <x:c r="I363" s="10"/>
      <x:c r="J363" s="10"/>
      <x:c r="K363" s="10"/>
      <x:c r="L363" s="10"/>
      <x:c r="M363" s="10">
        <x:f t="shared" si="5"/>
        <x:v>0</x:v>
      </x:c>
    </x:row>
    <x:row r="364" ht="27.600000381469727">
      <x:c r="A364" s="10">
        <x:v>363</x:v>
      </x:c>
      <x:c r="B364" s="10" t="s">
        <x:v>32</x:v>
      </x:c>
      <x:c r="C364" s="10" t="s">
        <x:v>444</x:v>
      </x:c>
      <x:c r="D364" s="10" t="s">
        <x:v>84</x:v>
      </x:c>
      <x:c r="E364" s="10" t="s">
        <x:v>452</x:v>
      </x:c>
      <x:c r="F364" s="10" t="s">
        <x:v>3</x:v>
      </x:c>
      <x:c r="G364" s="10" t="s">
        <x:v>64</x:v>
      </x:c>
      <x:c r="H364" s="10" t="s">
        <x:v>64</x:v>
      </x:c>
      <x:c r="I364" s="10"/>
      <x:c r="J364" s="10"/>
      <x:c r="K364" s="10"/>
      <x:c r="L364" s="10"/>
      <x:c r="M364" s="10">
        <x:f t="shared" si="5"/>
        <x:v>0</x:v>
      </x:c>
    </x:row>
    <x:row r="365" ht="27.600000381469727">
      <x:c r="A365" s="10">
        <x:v>364</x:v>
      </x:c>
      <x:c r="B365" s="10" t="s">
        <x:v>32</x:v>
      </x:c>
      <x:c r="C365" s="10" t="s">
        <x:v>444</x:v>
      </x:c>
      <x:c r="D365" s="10" t="s">
        <x:v>84</x:v>
      </x:c>
      <x:c r="E365" s="10" t="s">
        <x:v>453</x:v>
      </x:c>
      <x:c r="F365" s="10" t="s">
        <x:v>3</x:v>
      </x:c>
      <x:c r="G365" s="10" t="s">
        <x:v>64</x:v>
      </x:c>
      <x:c r="H365" s="10" t="s">
        <x:v>64</x:v>
      </x:c>
      <x:c r="I365" s="10"/>
      <x:c r="J365" s="10"/>
      <x:c r="K365" s="10"/>
      <x:c r="L365" s="10"/>
      <x:c r="M365" s="10">
        <x:f t="shared" si="5"/>
        <x:v>0</x:v>
      </x:c>
    </x:row>
    <x:row r="366" ht="27.600000381469727">
      <x:c r="A366" s="10">
        <x:v>365</x:v>
      </x:c>
      <x:c r="B366" s="10" t="s">
        <x:v>32</x:v>
      </x:c>
      <x:c r="C366" s="10" t="s">
        <x:v>454</x:v>
      </x:c>
      <x:c r="D366" s="10" t="s">
        <x:v>62</x:v>
      </x:c>
      <x:c r="E366" s="10" t="s">
        <x:v>455</x:v>
      </x:c>
      <x:c r="F366" s="10" t="s">
        <x:v>3</x:v>
      </x:c>
      <x:c r="G366" s="10" t="s">
        <x:v>64</x:v>
      </x:c>
      <x:c r="H366" s="10" t="s">
        <x:v>52</x:v>
      </x:c>
      <x:c r="I366" s="10"/>
      <x:c r="J366" s="10"/>
      <x:c r="K366" s="10"/>
      <x:c r="L366" s="10"/>
      <x:c r="M366" s="10">
        <x:f t="shared" si="5"/>
        <x:v>0</x:v>
      </x:c>
    </x:row>
    <x:row r="367" ht="27.600000381469727">
      <x:c r="A367" s="10">
        <x:v>366</x:v>
      </x:c>
      <x:c r="B367" s="10" t="s">
        <x:v>32</x:v>
      </x:c>
      <x:c r="C367" s="10" t="s">
        <x:v>454</x:v>
      </x:c>
      <x:c r="D367" s="10" t="s">
        <x:v>62</x:v>
      </x:c>
      <x:c r="E367" s="10" t="s">
        <x:v>456</x:v>
      </x:c>
      <x:c r="F367" s="10" t="s">
        <x:v>3</x:v>
      </x:c>
      <x:c r="G367" s="10" t="s">
        <x:v>64</x:v>
      </x:c>
      <x:c r="H367" s="10" t="s">
        <x:v>52</x:v>
      </x:c>
      <x:c r="I367" s="10"/>
      <x:c r="J367" s="10"/>
      <x:c r="K367" s="10"/>
      <x:c r="L367" s="10"/>
      <x:c r="M367" s="10">
        <x:f t="shared" si="5"/>
        <x:v>0</x:v>
      </x:c>
    </x:row>
    <x:row r="368" ht="27.600000381469727">
      <x:c r="A368" s="10">
        <x:v>367</x:v>
      </x:c>
      <x:c r="B368" s="10" t="s">
        <x:v>32</x:v>
      </x:c>
      <x:c r="C368" s="10" t="s">
        <x:v>454</x:v>
      </x:c>
      <x:c r="D368" s="10" t="s">
        <x:v>62</x:v>
      </x:c>
      <x:c r="E368" s="10" t="s">
        <x:v>457</x:v>
      </x:c>
      <x:c r="F368" s="10" t="s">
        <x:v>3</x:v>
      </x:c>
      <x:c r="G368" s="10" t="s">
        <x:v>64</x:v>
      </x:c>
      <x:c r="H368" s="10" t="s">
        <x:v>52</x:v>
      </x:c>
      <x:c r="I368" s="10"/>
      <x:c r="J368" s="10"/>
      <x:c r="K368" s="10"/>
      <x:c r="L368" s="10"/>
      <x:c r="M368" s="10">
        <x:f t="shared" si="5"/>
        <x:v>0</x:v>
      </x:c>
    </x:row>
    <x:row r="369" ht="27.600000381469727">
      <x:c r="A369" s="10">
        <x:v>368</x:v>
      </x:c>
      <x:c r="B369" s="10" t="s">
        <x:v>32</x:v>
      </x:c>
      <x:c r="C369" s="10" t="s">
        <x:v>454</x:v>
      </x:c>
      <x:c r="D369" s="10" t="s">
        <x:v>62</x:v>
      </x:c>
      <x:c r="E369" s="10" t="s">
        <x:v>458</x:v>
      </x:c>
      <x:c r="F369" s="10" t="s">
        <x:v>3</x:v>
      </x:c>
      <x:c r="G369" s="10" t="s">
        <x:v>52</x:v>
      </x:c>
      <x:c r="H369" s="10" t="s">
        <x:v>52</x:v>
      </x:c>
      <x:c r="I369" s="10"/>
      <x:c r="J369" s="10"/>
      <x:c r="K369" s="10"/>
      <x:c r="L369" s="10"/>
      <x:c r="M369" s="10">
        <x:f t="shared" si="5"/>
        <x:v>0</x:v>
      </x:c>
    </x:row>
    <x:row r="370" ht="27.600000381469727">
      <x:c r="A370" s="10">
        <x:v>369</x:v>
      </x:c>
      <x:c r="B370" s="10" t="s">
        <x:v>32</x:v>
      </x:c>
      <x:c r="C370" s="10" t="s">
        <x:v>454</x:v>
      </x:c>
      <x:c r="D370" s="10" t="s">
        <x:v>62</x:v>
      </x:c>
      <x:c r="E370" s="10" t="s">
        <x:v>459</x:v>
      </x:c>
      <x:c r="F370" s="10" t="s">
        <x:v>3</x:v>
      </x:c>
      <x:c r="G370" s="10" t="s">
        <x:v>64</x:v>
      </x:c>
      <x:c r="H370" s="10" t="s">
        <x:v>52</x:v>
      </x:c>
      <x:c r="I370" s="10"/>
      <x:c r="J370" s="10"/>
      <x:c r="K370" s="10"/>
      <x:c r="L370" s="10"/>
      <x:c r="M370" s="10">
        <x:f t="shared" si="5"/>
        <x:v>0</x:v>
      </x:c>
    </x:row>
    <x:row r="371" ht="27.600000381469727">
      <x:c r="A371" s="10">
        <x:v>370</x:v>
      </x:c>
      <x:c r="B371" s="10" t="s">
        <x:v>32</x:v>
      </x:c>
      <x:c r="C371" s="10" t="s">
        <x:v>454</x:v>
      </x:c>
      <x:c r="D371" s="10" t="s">
        <x:v>62</x:v>
      </x:c>
      <x:c r="E371" s="10" t="s">
        <x:v>460</x:v>
      </x:c>
      <x:c r="F371" s="10" t="s">
        <x:v>3</x:v>
      </x:c>
      <x:c r="G371" s="10" t="s">
        <x:v>52</x:v>
      </x:c>
      <x:c r="H371" s="10" t="s">
        <x:v>52</x:v>
      </x:c>
      <x:c r="I371" s="10"/>
      <x:c r="J371" s="10"/>
      <x:c r="K371" s="10"/>
      <x:c r="L371" s="10"/>
      <x:c r="M371" s="10">
        <x:f t="shared" si="5"/>
        <x:v>0</x:v>
      </x:c>
    </x:row>
    <x:row r="372" ht="27.600000381469727">
      <x:c r="A372" s="10">
        <x:v>371</x:v>
      </x:c>
      <x:c r="B372" s="10" t="s">
        <x:v>32</x:v>
      </x:c>
      <x:c r="C372" s="10" t="s">
        <x:v>454</x:v>
      </x:c>
      <x:c r="D372" s="10" t="s">
        <x:v>62</x:v>
      </x:c>
      <x:c r="E372" s="10" t="s">
        <x:v>461</x:v>
      </x:c>
      <x:c r="F372" s="10" t="s">
        <x:v>3</x:v>
      </x:c>
      <x:c r="G372" s="10" t="s">
        <x:v>52</x:v>
      </x:c>
      <x:c r="H372" s="10" t="s">
        <x:v>52</x:v>
      </x:c>
      <x:c r="I372" s="10"/>
      <x:c r="J372" s="10"/>
      <x:c r="K372" s="10"/>
      <x:c r="L372" s="10"/>
      <x:c r="M372" s="10">
        <x:f t="shared" si="5"/>
        <x:v>0</x:v>
      </x:c>
    </x:row>
    <x:row r="373" ht="27.600000381469727">
      <x:c r="A373" s="10">
        <x:v>372</x:v>
      </x:c>
      <x:c r="B373" s="10" t="s">
        <x:v>32</x:v>
      </x:c>
      <x:c r="C373" s="10" t="s">
        <x:v>454</x:v>
      </x:c>
      <x:c r="D373" s="10" t="s">
        <x:v>62</x:v>
      </x:c>
      <x:c r="E373" s="10" t="s">
        <x:v>462</x:v>
      </x:c>
      <x:c r="F373" s="10" t="s">
        <x:v>3</x:v>
      </x:c>
      <x:c r="G373" s="10" t="s">
        <x:v>64</x:v>
      </x:c>
      <x:c r="H373" s="10" t="s">
        <x:v>52</x:v>
      </x:c>
      <x:c r="I373" s="10"/>
      <x:c r="J373" s="10"/>
      <x:c r="K373" s="10"/>
      <x:c r="L373" s="10"/>
      <x:c r="M373" s="10">
        <x:f t="shared" si="5"/>
        <x:v>0</x:v>
      </x:c>
    </x:row>
    <x:row r="374" ht="27.600000381469727">
      <x:c r="A374" s="10">
        <x:v>373</x:v>
      </x:c>
      <x:c r="B374" s="10" t="s">
        <x:v>32</x:v>
      </x:c>
      <x:c r="C374" s="10" t="s">
        <x:v>454</x:v>
      </x:c>
      <x:c r="D374" s="10" t="s">
        <x:v>78</x:v>
      </x:c>
      <x:c r="E374" s="10" t="s">
        <x:v>463</x:v>
      </x:c>
      <x:c r="F374" s="10" t="s">
        <x:v>3</x:v>
      </x:c>
      <x:c r="G374" s="10" t="s">
        <x:v>64</x:v>
      </x:c>
      <x:c r="H374" s="10" t="s">
        <x:v>64</x:v>
      </x:c>
      <x:c r="I374" s="10"/>
      <x:c r="J374" s="10"/>
      <x:c r="K374" s="10"/>
      <x:c r="L374" s="10"/>
      <x:c r="M374" s="10">
        <x:f t="shared" si="5"/>
        <x:v>0</x:v>
      </x:c>
    </x:row>
    <x:row r="375" ht="27.600000381469727">
      <x:c r="A375" s="10">
        <x:v>374</x:v>
      </x:c>
      <x:c r="B375" s="10" t="s">
        <x:v>32</x:v>
      </x:c>
      <x:c r="C375" s="10" t="s">
        <x:v>454</x:v>
      </x:c>
      <x:c r="D375" s="10" t="s">
        <x:v>78</x:v>
      </x:c>
      <x:c r="E375" s="10" t="s">
        <x:v>464</x:v>
      </x:c>
      <x:c r="F375" s="10" t="s">
        <x:v>3</x:v>
      </x:c>
      <x:c r="G375" s="10" t="s">
        <x:v>64</x:v>
      </x:c>
      <x:c r="H375" s="10" t="s">
        <x:v>64</x:v>
      </x:c>
      <x:c r="I375" s="10"/>
      <x:c r="J375" s="10"/>
      <x:c r="K375" s="10"/>
      <x:c r="L375" s="10"/>
      <x:c r="M375" s="10">
        <x:f t="shared" si="5"/>
        <x:v>0</x:v>
      </x:c>
    </x:row>
    <x:row r="376" ht="27.600000381469727">
      <x:c r="A376" s="10">
        <x:v>375</x:v>
      </x:c>
      <x:c r="B376" s="10" t="s">
        <x:v>32</x:v>
      </x:c>
      <x:c r="C376" s="10" t="s">
        <x:v>454</x:v>
      </x:c>
      <x:c r="D376" s="10" t="s">
        <x:v>84</x:v>
      </x:c>
      <x:c r="E376" s="10" t="s">
        <x:v>465</x:v>
      </x:c>
      <x:c r="F376" s="10" t="s">
        <x:v>3</x:v>
      </x:c>
      <x:c r="G376" s="10" t="s">
        <x:v>52</x:v>
      </x:c>
      <x:c r="H376" s="10" t="s">
        <x:v>64</x:v>
      </x:c>
      <x:c r="I376" s="10"/>
      <x:c r="J376" s="10"/>
      <x:c r="K376" s="10"/>
      <x:c r="L376" s="10"/>
      <x:c r="M376" s="10">
        <x:f t="shared" si="5"/>
        <x:v>0</x:v>
      </x:c>
    </x:row>
    <x:row r="377" ht="27.600000381469727">
      <x:c r="A377" s="10">
        <x:v>376</x:v>
      </x:c>
      <x:c r="B377" s="10" t="s">
        <x:v>32</x:v>
      </x:c>
      <x:c r="C377" s="10" t="s">
        <x:v>454</x:v>
      </x:c>
      <x:c r="D377" s="10" t="s">
        <x:v>84</x:v>
      </x:c>
      <x:c r="E377" s="10" t="s">
        <x:v>466</x:v>
      </x:c>
      <x:c r="F377" s="10" t="s">
        <x:v>3</x:v>
      </x:c>
      <x:c r="G377" s="10" t="s">
        <x:v>52</x:v>
      </x:c>
      <x:c r="H377" s="10" t="s">
        <x:v>64</x:v>
      </x:c>
      <x:c r="I377" s="10"/>
      <x:c r="J377" s="10"/>
      <x:c r="K377" s="10"/>
      <x:c r="L377" s="10"/>
      <x:c r="M377" s="10">
        <x:f t="shared" si="5"/>
        <x:v>0</x:v>
      </x:c>
    </x:row>
    <x:row r="378">
      <x:c r="A378" s="10">
        <x:v>377</x:v>
      </x:c>
      <x:c r="B378" s="10" t="s">
        <x:v>32</x:v>
      </x:c>
      <x:c r="C378" s="10" t="s">
        <x:v>467</x:v>
      </x:c>
      <x:c r="D378" s="10" t="s">
        <x:v>62</x:v>
      </x:c>
      <x:c r="E378" s="10" t="s">
        <x:v>468</x:v>
      </x:c>
      <x:c r="F378" s="10" t="s">
        <x:v>3</x:v>
      </x:c>
      <x:c r="G378" s="10" t="s">
        <x:v>52</x:v>
      </x:c>
      <x:c r="H378" s="10" t="s">
        <x:v>64</x:v>
      </x:c>
      <x:c r="I378" s="10"/>
      <x:c r="J378" s="10"/>
      <x:c r="K378" s="10"/>
      <x:c r="L378" s="10"/>
      <x:c r="M378" s="10">
        <x:f t="shared" si="5"/>
        <x:v>0</x:v>
      </x:c>
    </x:row>
    <x:row r="379">
      <x:c r="A379" s="10">
        <x:v>378</x:v>
      </x:c>
      <x:c r="B379" s="10" t="s">
        <x:v>32</x:v>
      </x:c>
      <x:c r="C379" s="10" t="s">
        <x:v>467</x:v>
      </x:c>
      <x:c r="D379" s="10" t="s">
        <x:v>62</x:v>
      </x:c>
      <x:c r="E379" s="10" t="s">
        <x:v>469</x:v>
      </x:c>
      <x:c r="F379" s="10" t="s">
        <x:v>3</x:v>
      </x:c>
      <x:c r="G379" s="10" t="s">
        <x:v>52</x:v>
      </x:c>
      <x:c r="H379" s="10" t="s">
        <x:v>64</x:v>
      </x:c>
      <x:c r="I379" s="10"/>
      <x:c r="J379" s="10"/>
      <x:c r="K379" s="10"/>
      <x:c r="L379" s="10"/>
      <x:c r="M379" s="10">
        <x:f t="shared" si="5"/>
        <x:v>0</x:v>
      </x:c>
    </x:row>
    <x:row r="380">
      <x:c r="A380" s="10">
        <x:v>379</x:v>
      </x:c>
      <x:c r="B380" s="10" t="s">
        <x:v>32</x:v>
      </x:c>
      <x:c r="C380" s="10" t="s">
        <x:v>467</x:v>
      </x:c>
      <x:c r="D380" s="10" t="s">
        <x:v>62</x:v>
      </x:c>
      <x:c r="E380" s="10" t="s">
        <x:v>470</x:v>
      </x:c>
      <x:c r="F380" s="10" t="s">
        <x:v>3</x:v>
      </x:c>
      <x:c r="G380" s="10" t="s">
        <x:v>52</x:v>
      </x:c>
      <x:c r="H380" s="10" t="s">
        <x:v>64</x:v>
      </x:c>
      <x:c r="I380" s="10"/>
      <x:c r="J380" s="10"/>
      <x:c r="K380" s="10"/>
      <x:c r="L380" s="10"/>
      <x:c r="M380" s="10">
        <x:f t="shared" si="5"/>
        <x:v>0</x:v>
      </x:c>
    </x:row>
    <x:row r="381">
      <x:c r="A381" s="10">
        <x:v>380</x:v>
      </x:c>
      <x:c r="B381" s="10" t="s">
        <x:v>32</x:v>
      </x:c>
      <x:c r="C381" s="10" t="s">
        <x:v>467</x:v>
      </x:c>
      <x:c r="D381" s="10" t="s">
        <x:v>62</x:v>
      </x:c>
      <x:c r="E381" s="10" t="s">
        <x:v>471</x:v>
      </x:c>
      <x:c r="F381" s="10" t="s">
        <x:v>3</x:v>
      </x:c>
      <x:c r="G381" s="10" t="s">
        <x:v>52</x:v>
      </x:c>
      <x:c r="H381" s="10" t="s">
        <x:v>64</x:v>
      </x:c>
      <x:c r="I381" s="10"/>
      <x:c r="J381" s="10"/>
      <x:c r="K381" s="10"/>
      <x:c r="L381" s="10"/>
      <x:c r="M381" s="10">
        <x:f t="shared" si="5"/>
        <x:v>0</x:v>
      </x:c>
    </x:row>
    <x:row r="382">
      <x:c r="A382" s="10">
        <x:v>381</x:v>
      </x:c>
      <x:c r="B382" s="10" t="s">
        <x:v>32</x:v>
      </x:c>
      <x:c r="C382" s="10" t="s">
        <x:v>467</x:v>
      </x:c>
      <x:c r="D382" s="10" t="s">
        <x:v>62</x:v>
      </x:c>
      <x:c r="E382" s="10" t="s">
        <x:v>472</x:v>
      </x:c>
      <x:c r="F382" s="10" t="s">
        <x:v>3</x:v>
      </x:c>
      <x:c r="G382" s="10" t="s">
        <x:v>52</x:v>
      </x:c>
      <x:c r="H382" s="10" t="s">
        <x:v>64</x:v>
      </x:c>
      <x:c r="I382" s="10"/>
      <x:c r="J382" s="10"/>
      <x:c r="K382" s="10"/>
      <x:c r="L382" s="10"/>
      <x:c r="M382" s="10">
        <x:f t="shared" si="5"/>
        <x:v>0</x:v>
      </x:c>
    </x:row>
    <x:row r="383" ht="27.600000381469727">
      <x:c r="A383" s="10">
        <x:v>382</x:v>
      </x:c>
      <x:c r="B383" s="10" t="s">
        <x:v>32</x:v>
      </x:c>
      <x:c r="C383" s="10" t="s">
        <x:v>467</x:v>
      </x:c>
      <x:c r="D383" s="10" t="s">
        <x:v>62</x:v>
      </x:c>
      <x:c r="E383" s="10" t="s">
        <x:v>473</x:v>
      </x:c>
      <x:c r="F383" s="10" t="s">
        <x:v>3</x:v>
      </x:c>
      <x:c r="G383" s="10" t="s">
        <x:v>52</x:v>
      </x:c>
      <x:c r="H383" s="10" t="s">
        <x:v>64</x:v>
      </x:c>
      <x:c r="I383" s="10"/>
      <x:c r="J383" s="10"/>
      <x:c r="K383" s="10"/>
      <x:c r="L383" s="10"/>
      <x:c r="M383" s="10">
        <x:f t="shared" si="5"/>
        <x:v>0</x:v>
      </x:c>
    </x:row>
    <x:row r="384" ht="27.600000381469727">
      <x:c r="A384" s="10">
        <x:v>383</x:v>
      </x:c>
      <x:c r="B384" s="10" t="s">
        <x:v>32</x:v>
      </x:c>
      <x:c r="C384" s="10" t="s">
        <x:v>467</x:v>
      </x:c>
      <x:c r="D384" s="10" t="s">
        <x:v>62</x:v>
      </x:c>
      <x:c r="E384" s="10" t="s">
        <x:v>474</x:v>
      </x:c>
      <x:c r="F384" s="10" t="s">
        <x:v>3</x:v>
      </x:c>
      <x:c r="G384" s="10" t="s">
        <x:v>52</x:v>
      </x:c>
      <x:c r="H384" s="10" t="s">
        <x:v>64</x:v>
      </x:c>
      <x:c r="I384" s="10"/>
      <x:c r="J384" s="10"/>
      <x:c r="K384" s="10"/>
      <x:c r="L384" s="10"/>
      <x:c r="M384" s="10">
        <x:f t="shared" si="5"/>
        <x:v>0</x:v>
      </x:c>
    </x:row>
    <x:row r="385">
      <x:c r="A385" s="10">
        <x:v>384</x:v>
      </x:c>
      <x:c r="B385" s="10" t="s">
        <x:v>32</x:v>
      </x:c>
      <x:c r="C385" s="10" t="s">
        <x:v>467</x:v>
      </x:c>
      <x:c r="D385" s="10" t="s">
        <x:v>62</x:v>
      </x:c>
      <x:c r="E385" s="10" t="s">
        <x:v>475</x:v>
      </x:c>
      <x:c r="F385" s="10" t="s">
        <x:v>3</x:v>
      </x:c>
      <x:c r="G385" s="10" t="s">
        <x:v>52</x:v>
      </x:c>
      <x:c r="H385" s="10" t="s">
        <x:v>64</x:v>
      </x:c>
      <x:c r="I385" s="10"/>
      <x:c r="J385" s="10"/>
      <x:c r="K385" s="10"/>
      <x:c r="L385" s="10"/>
      <x:c r="M385" s="10">
        <x:f t="shared" si="5"/>
        <x:v>0</x:v>
      </x:c>
    </x:row>
    <x:row r="386">
      <x:c r="A386" s="10">
        <x:v>385</x:v>
      </x:c>
      <x:c r="B386" s="10" t="s">
        <x:v>32</x:v>
      </x:c>
      <x:c r="C386" s="10" t="s">
        <x:v>467</x:v>
      </x:c>
      <x:c r="D386" s="10" t="s">
        <x:v>62</x:v>
      </x:c>
      <x:c r="E386" s="10" t="s">
        <x:v>476</x:v>
      </x:c>
      <x:c r="F386" s="10" t="s">
        <x:v>3</x:v>
      </x:c>
      <x:c r="G386" s="10" t="s">
        <x:v>52</x:v>
      </x:c>
      <x:c r="H386" s="10" t="s">
        <x:v>64</x:v>
      </x:c>
      <x:c r="I386" s="10"/>
      <x:c r="J386" s="10"/>
      <x:c r="K386" s="10"/>
      <x:c r="L386" s="10"/>
      <x:c r="M386" s="10" t="n">
        <x:f t="shared" ref="M386:M449" si="6">IF(F386="Hoàn thành",1,0)</x:f>
        <x:v>0</x:v>
      </x:c>
    </x:row>
    <x:row r="387">
      <x:c r="A387" s="10">
        <x:v>386</x:v>
      </x:c>
      <x:c r="B387" s="10" t="s">
        <x:v>32</x:v>
      </x:c>
      <x:c r="C387" s="10" t="s">
        <x:v>467</x:v>
      </x:c>
      <x:c r="D387" s="10" t="s">
        <x:v>78</x:v>
      </x:c>
      <x:c r="E387" s="10" t="s">
        <x:v>394</x:v>
      </x:c>
      <x:c r="F387" s="10" t="s">
        <x:v>3</x:v>
      </x:c>
      <x:c r="G387" s="10" t="s">
        <x:v>64</x:v>
      </x:c>
      <x:c r="H387" s="10" t="s">
        <x:v>64</x:v>
      </x:c>
      <x:c r="I387" s="10"/>
      <x:c r="J387" s="10"/>
      <x:c r="K387" s="10"/>
      <x:c r="L387" s="10"/>
      <x:c r="M387" s="10">
        <x:f t="shared" si="6"/>
        <x:v>0</x:v>
      </x:c>
    </x:row>
    <x:row r="388">
      <x:c r="A388" s="10">
        <x:v>387</x:v>
      </x:c>
      <x:c r="B388" s="10" t="s">
        <x:v>32</x:v>
      </x:c>
      <x:c r="C388" s="10" t="s">
        <x:v>467</x:v>
      </x:c>
      <x:c r="D388" s="10" t="s">
        <x:v>78</x:v>
      </x:c>
      <x:c r="E388" s="10" t="s">
        <x:v>477</x:v>
      </x:c>
      <x:c r="F388" s="10" t="s">
        <x:v>3</x:v>
      </x:c>
      <x:c r="G388" s="10" t="s">
        <x:v>64</x:v>
      </x:c>
      <x:c r="H388" s="10" t="s">
        <x:v>64</x:v>
      </x:c>
      <x:c r="I388" s="10"/>
      <x:c r="J388" s="10"/>
      <x:c r="K388" s="10"/>
      <x:c r="L388" s="10"/>
      <x:c r="M388" s="10">
        <x:f t="shared" si="6"/>
        <x:v>0</x:v>
      </x:c>
    </x:row>
    <x:row r="389">
      <x:c r="A389" s="10">
        <x:v>388</x:v>
      </x:c>
      <x:c r="B389" s="10" t="s">
        <x:v>32</x:v>
      </x:c>
      <x:c r="C389" s="10" t="s">
        <x:v>467</x:v>
      </x:c>
      <x:c r="D389" s="10" t="s">
        <x:v>78</x:v>
      </x:c>
      <x:c r="E389" s="10" t="s">
        <x:v>478</x:v>
      </x:c>
      <x:c r="F389" s="10" t="s">
        <x:v>3</x:v>
      </x:c>
      <x:c r="G389" s="10" t="s">
        <x:v>64</x:v>
      </x:c>
      <x:c r="H389" s="10" t="s">
        <x:v>64</x:v>
      </x:c>
      <x:c r="I389" s="10"/>
      <x:c r="J389" s="10"/>
      <x:c r="K389" s="10"/>
      <x:c r="L389" s="10"/>
      <x:c r="M389" s="10">
        <x:f t="shared" si="6"/>
        <x:v>0</x:v>
      </x:c>
    </x:row>
    <x:row r="390">
      <x:c r="A390" s="10">
        <x:v>389</x:v>
      </x:c>
      <x:c r="B390" s="10" t="s">
        <x:v>32</x:v>
      </x:c>
      <x:c r="C390" s="10" t="s">
        <x:v>467</x:v>
      </x:c>
      <x:c r="D390" s="10" t="s">
        <x:v>84</x:v>
      </x:c>
      <x:c r="E390" s="10" t="s">
        <x:v>479</x:v>
      </x:c>
      <x:c r="F390" s="10" t="s">
        <x:v>3</x:v>
      </x:c>
      <x:c r="G390" s="10" t="s">
        <x:v>52</x:v>
      </x:c>
      <x:c r="H390" s="10" t="s">
        <x:v>64</x:v>
      </x:c>
      <x:c r="I390" s="10"/>
      <x:c r="J390" s="10"/>
      <x:c r="K390" s="10"/>
      <x:c r="L390" s="10"/>
      <x:c r="M390" s="10">
        <x:f t="shared" si="6"/>
        <x:v>0</x:v>
      </x:c>
    </x:row>
    <x:row r="391">
      <x:c r="A391" s="10">
        <x:v>390</x:v>
      </x:c>
      <x:c r="B391" s="10" t="s">
        <x:v>32</x:v>
      </x:c>
      <x:c r="C391" s="10" t="s">
        <x:v>467</x:v>
      </x:c>
      <x:c r="D391" s="10" t="s">
        <x:v>84</x:v>
      </x:c>
      <x:c r="E391" s="10" t="s">
        <x:v>480</x:v>
      </x:c>
      <x:c r="F391" s="10" t="s">
        <x:v>3</x:v>
      </x:c>
      <x:c r="G391" s="10" t="s">
        <x:v>52</x:v>
      </x:c>
      <x:c r="H391" s="10" t="s">
        <x:v>64</x:v>
      </x:c>
      <x:c r="I391" s="10"/>
      <x:c r="J391" s="10"/>
      <x:c r="K391" s="10"/>
      <x:c r="L391" s="10"/>
      <x:c r="M391" s="10">
        <x:f t="shared" si="6"/>
        <x:v>0</x:v>
      </x:c>
    </x:row>
    <x:row r="392">
      <x:c r="A392" s="10">
        <x:v>391</x:v>
      </x:c>
      <x:c r="B392" s="10" t="s">
        <x:v>32</x:v>
      </x:c>
      <x:c r="C392" s="10" t="s">
        <x:v>467</x:v>
      </x:c>
      <x:c r="D392" s="10" t="s">
        <x:v>84</x:v>
      </x:c>
      <x:c r="E392" s="10" t="s">
        <x:v>481</x:v>
      </x:c>
      <x:c r="F392" s="10" t="s">
        <x:v>3</x:v>
      </x:c>
      <x:c r="G392" s="10" t="s">
        <x:v>52</x:v>
      </x:c>
      <x:c r="H392" s="10" t="s">
        <x:v>64</x:v>
      </x:c>
      <x:c r="I392" s="10"/>
      <x:c r="J392" s="10"/>
      <x:c r="K392" s="10"/>
      <x:c r="L392" s="10"/>
      <x:c r="M392" s="10">
        <x:f t="shared" si="6"/>
        <x:v>0</x:v>
      </x:c>
    </x:row>
    <x:row r="393">
      <x:c r="A393" s="10">
        <x:v>392</x:v>
      </x:c>
      <x:c r="B393" s="10" t="s">
        <x:v>32</x:v>
      </x:c>
      <x:c r="C393" s="10" t="s">
        <x:v>467</x:v>
      </x:c>
      <x:c r="D393" s="10" t="s">
        <x:v>84</x:v>
      </x:c>
      <x:c r="E393" s="10" t="s">
        <x:v>482</x:v>
      </x:c>
      <x:c r="F393" s="10" t="s">
        <x:v>3</x:v>
      </x:c>
      <x:c r="G393" s="10" t="s">
        <x:v>52</x:v>
      </x:c>
      <x:c r="H393" s="10" t="s">
        <x:v>64</x:v>
      </x:c>
      <x:c r="I393" s="10"/>
      <x:c r="J393" s="10"/>
      <x:c r="K393" s="10"/>
      <x:c r="L393" s="10"/>
      <x:c r="M393" s="10">
        <x:f t="shared" si="6"/>
        <x:v>0</x:v>
      </x:c>
    </x:row>
    <x:row r="394" ht="27.600000381469727">
      <x:c r="A394" s="10">
        <x:v>393</x:v>
      </x:c>
      <x:c r="B394" s="10" t="s">
        <x:v>32</x:v>
      </x:c>
      <x:c r="C394" s="10" t="s">
        <x:v>483</x:v>
      </x:c>
      <x:c r="D394" s="10" t="s">
        <x:v>62</x:v>
      </x:c>
      <x:c r="E394" s="10" t="s">
        <x:v>484</x:v>
      </x:c>
      <x:c r="F394" s="10" t="s">
        <x:v>3</x:v>
      </x:c>
      <x:c r="G394" s="10" t="s">
        <x:v>53</x:v>
      </x:c>
      <x:c r="H394" s="10" t="s">
        <x:v>64</x:v>
      </x:c>
      <x:c r="I394" s="10"/>
      <x:c r="J394" s="10"/>
      <x:c r="K394" s="10"/>
      <x:c r="L394" s="10"/>
      <x:c r="M394" s="10">
        <x:f t="shared" si="6"/>
        <x:v>0</x:v>
      </x:c>
    </x:row>
    <x:row r="395" ht="27.600000381469727">
      <x:c r="A395" s="10">
        <x:v>394</x:v>
      </x:c>
      <x:c r="B395" s="10" t="s">
        <x:v>32</x:v>
      </x:c>
      <x:c r="C395" s="10" t="s">
        <x:v>483</x:v>
      </x:c>
      <x:c r="D395" s="10" t="s">
        <x:v>62</x:v>
      </x:c>
      <x:c r="E395" s="10" t="s">
        <x:v>485</x:v>
      </x:c>
      <x:c r="F395" s="10" t="s">
        <x:v>3</x:v>
      </x:c>
      <x:c r="G395" s="10" t="s">
        <x:v>53</x:v>
      </x:c>
      <x:c r="H395" s="10" t="s">
        <x:v>64</x:v>
      </x:c>
      <x:c r="I395" s="10"/>
      <x:c r="J395" s="10"/>
      <x:c r="K395" s="10"/>
      <x:c r="L395" s="10"/>
      <x:c r="M395" s="10">
        <x:f t="shared" si="6"/>
        <x:v>0</x:v>
      </x:c>
    </x:row>
    <x:row r="396" ht="27.600000381469727">
      <x:c r="A396" s="10">
        <x:v>395</x:v>
      </x:c>
      <x:c r="B396" s="10" t="s">
        <x:v>32</x:v>
      </x:c>
      <x:c r="C396" s="10" t="s">
        <x:v>483</x:v>
      </x:c>
      <x:c r="D396" s="10" t="s">
        <x:v>62</x:v>
      </x:c>
      <x:c r="E396" s="10" t="s">
        <x:v>486</x:v>
      </x:c>
      <x:c r="F396" s="10" t="s">
        <x:v>3</x:v>
      </x:c>
      <x:c r="G396" s="10" t="s">
        <x:v>53</x:v>
      </x:c>
      <x:c r="H396" s="10" t="s">
        <x:v>64</x:v>
      </x:c>
      <x:c r="I396" s="10"/>
      <x:c r="J396" s="10"/>
      <x:c r="K396" s="10"/>
      <x:c r="L396" s="10"/>
      <x:c r="M396" s="10">
        <x:f t="shared" si="6"/>
        <x:v>0</x:v>
      </x:c>
    </x:row>
    <x:row r="397" ht="27.600000381469727">
      <x:c r="A397" s="10">
        <x:v>396</x:v>
      </x:c>
      <x:c r="B397" s="10" t="s">
        <x:v>32</x:v>
      </x:c>
      <x:c r="C397" s="10" t="s">
        <x:v>483</x:v>
      </x:c>
      <x:c r="D397" s="10" t="s">
        <x:v>62</x:v>
      </x:c>
      <x:c r="E397" s="10" t="s">
        <x:v>487</x:v>
      </x:c>
      <x:c r="F397" s="10" t="s">
        <x:v>3</x:v>
      </x:c>
      <x:c r="G397" s="10" t="s">
        <x:v>53</x:v>
      </x:c>
      <x:c r="H397" s="10" t="s">
        <x:v>64</x:v>
      </x:c>
      <x:c r="I397" s="10"/>
      <x:c r="J397" s="10"/>
      <x:c r="K397" s="10"/>
      <x:c r="L397" s="10"/>
      <x:c r="M397" s="10">
        <x:f t="shared" si="6"/>
        <x:v>0</x:v>
      </x:c>
    </x:row>
    <x:row r="398" ht="27.600000381469727">
      <x:c r="A398" s="10">
        <x:v>397</x:v>
      </x:c>
      <x:c r="B398" s="10" t="s">
        <x:v>32</x:v>
      </x:c>
      <x:c r="C398" s="10" t="s">
        <x:v>483</x:v>
      </x:c>
      <x:c r="D398" s="10" t="s">
        <x:v>78</x:v>
      </x:c>
      <x:c r="E398" s="10" t="s">
        <x:v>488</x:v>
      </x:c>
      <x:c r="F398" s="10" t="s">
        <x:v>3</x:v>
      </x:c>
      <x:c r="G398" s="10" t="s">
        <x:v>53</x:v>
      </x:c>
      <x:c r="H398" s="10" t="s">
        <x:v>64</x:v>
      </x:c>
      <x:c r="I398" s="10"/>
      <x:c r="J398" s="10"/>
      <x:c r="K398" s="10"/>
      <x:c r="L398" s="10"/>
      <x:c r="M398" s="10">
        <x:f t="shared" si="6"/>
        <x:v>0</x:v>
      </x:c>
    </x:row>
    <x:row r="399" ht="27.600000381469727">
      <x:c r="A399" s="10">
        <x:v>398</x:v>
      </x:c>
      <x:c r="B399" s="10" t="s">
        <x:v>32</x:v>
      </x:c>
      <x:c r="C399" s="10" t="s">
        <x:v>483</x:v>
      </x:c>
      <x:c r="D399" s="10" t="s">
        <x:v>78</x:v>
      </x:c>
      <x:c r="E399" s="10" t="s">
        <x:v>489</x:v>
      </x:c>
      <x:c r="F399" s="10" t="s">
        <x:v>3</x:v>
      </x:c>
      <x:c r="G399" s="10" t="s">
        <x:v>53</x:v>
      </x:c>
      <x:c r="H399" s="10" t="s">
        <x:v>64</x:v>
      </x:c>
      <x:c r="I399" s="10"/>
      <x:c r="J399" s="10"/>
      <x:c r="K399" s="10"/>
      <x:c r="L399" s="10"/>
      <x:c r="M399" s="10">
        <x:f t="shared" si="6"/>
        <x:v>0</x:v>
      </x:c>
    </x:row>
    <x:row r="400" ht="27.600000381469727">
      <x:c r="A400" s="10">
        <x:v>399</x:v>
      </x:c>
      <x:c r="B400" s="10" t="s">
        <x:v>32</x:v>
      </x:c>
      <x:c r="C400" s="10" t="s">
        <x:v>483</x:v>
      </x:c>
      <x:c r="D400" s="10" t="s">
        <x:v>84</x:v>
      </x:c>
      <x:c r="E400" s="10" t="s">
        <x:v>490</x:v>
      </x:c>
      <x:c r="F400" s="10" t="s">
        <x:v>3</x:v>
      </x:c>
      <x:c r="G400" s="10" t="s">
        <x:v>53</x:v>
      </x:c>
      <x:c r="H400" s="10" t="s">
        <x:v>64</x:v>
      </x:c>
      <x:c r="I400" s="10"/>
      <x:c r="J400" s="10"/>
      <x:c r="K400" s="10"/>
      <x:c r="L400" s="10"/>
      <x:c r="M400" s="10">
        <x:f t="shared" si="6"/>
        <x:v>0</x:v>
      </x:c>
    </x:row>
    <x:row r="401" ht="27.600000381469727">
      <x:c r="A401" s="10">
        <x:v>400</x:v>
      </x:c>
      <x:c r="B401" s="10" t="s">
        <x:v>32</x:v>
      </x:c>
      <x:c r="C401" s="10" t="s">
        <x:v>483</x:v>
      </x:c>
      <x:c r="D401" s="10" t="s">
        <x:v>84</x:v>
      </x:c>
      <x:c r="E401" s="10" t="s">
        <x:v>491</x:v>
      </x:c>
      <x:c r="F401" s="10" t="s">
        <x:v>3</x:v>
      </x:c>
      <x:c r="G401" s="10" t="s">
        <x:v>53</x:v>
      </x:c>
      <x:c r="H401" s="10" t="s">
        <x:v>64</x:v>
      </x:c>
      <x:c r="I401" s="10"/>
      <x:c r="J401" s="10"/>
      <x:c r="K401" s="10"/>
      <x:c r="L401" s="10"/>
      <x:c r="M401" s="10">
        <x:f t="shared" si="6"/>
        <x:v>0</x:v>
      </x:c>
    </x:row>
    <x:row r="402" ht="27.600000381469727">
      <x:c r="A402" s="10">
        <x:v>401</x:v>
      </x:c>
      <x:c r="B402" s="10" t="s">
        <x:v>33</x:v>
      </x:c>
      <x:c r="C402" s="10" t="s">
        <x:v>492</x:v>
      </x:c>
      <x:c r="D402" s="10" t="s">
        <x:v>62</x:v>
      </x:c>
      <x:c r="E402" s="10" t="s">
        <x:v>493</x:v>
      </x:c>
      <x:c r="F402" s="10" t="s">
        <x:v>3</x:v>
      </x:c>
      <x:c r="G402" s="10" t="s">
        <x:v>64</x:v>
      </x:c>
      <x:c r="H402" s="10" t="s">
        <x:v>64</x:v>
      </x:c>
      <x:c r="I402" s="10"/>
      <x:c r="J402" s="10"/>
      <x:c r="K402" s="10"/>
      <x:c r="L402" s="10"/>
      <x:c r="M402" s="10">
        <x:f t="shared" si="6"/>
        <x:v>0</x:v>
      </x:c>
    </x:row>
    <x:row r="403" ht="27.600000381469727">
      <x:c r="A403" s="10">
        <x:v>402</x:v>
      </x:c>
      <x:c r="B403" s="10" t="s">
        <x:v>33</x:v>
      </x:c>
      <x:c r="C403" s="10" t="s">
        <x:v>492</x:v>
      </x:c>
      <x:c r="D403" s="10" t="s">
        <x:v>62</x:v>
      </x:c>
      <x:c r="E403" s="10" t="s">
        <x:v>494</x:v>
      </x:c>
      <x:c r="F403" s="10" t="s">
        <x:v>3</x:v>
      </x:c>
      <x:c r="G403" s="10" t="s">
        <x:v>64</x:v>
      </x:c>
      <x:c r="H403" s="10" t="s">
        <x:v>64</x:v>
      </x:c>
      <x:c r="I403" s="10"/>
      <x:c r="J403" s="10"/>
      <x:c r="K403" s="10"/>
      <x:c r="L403" s="10"/>
      <x:c r="M403" s="10">
        <x:f t="shared" si="6"/>
        <x:v>0</x:v>
      </x:c>
    </x:row>
    <x:row r="404" ht="27.600000381469727">
      <x:c r="A404" s="10">
        <x:v>403</x:v>
      </x:c>
      <x:c r="B404" s="10" t="s">
        <x:v>33</x:v>
      </x:c>
      <x:c r="C404" s="10" t="s">
        <x:v>492</x:v>
      </x:c>
      <x:c r="D404" s="10" t="s">
        <x:v>62</x:v>
      </x:c>
      <x:c r="E404" s="10" t="s">
        <x:v>495</x:v>
      </x:c>
      <x:c r="F404" s="10" t="s">
        <x:v>3</x:v>
      </x:c>
      <x:c r="G404" s="10" t="s">
        <x:v>64</x:v>
      </x:c>
      <x:c r="H404" s="10" t="s">
        <x:v>64</x:v>
      </x:c>
      <x:c r="I404" s="10"/>
      <x:c r="J404" s="10"/>
      <x:c r="K404" s="10"/>
      <x:c r="L404" s="10"/>
      <x:c r="M404" s="10">
        <x:f t="shared" si="6"/>
        <x:v>0</x:v>
      </x:c>
    </x:row>
    <x:row r="405" ht="27.600000381469727">
      <x:c r="A405" s="10">
        <x:v>404</x:v>
      </x:c>
      <x:c r="B405" s="10" t="s">
        <x:v>33</x:v>
      </x:c>
      <x:c r="C405" s="10" t="s">
        <x:v>492</x:v>
      </x:c>
      <x:c r="D405" s="10" t="s">
        <x:v>62</x:v>
      </x:c>
      <x:c r="E405" s="10" t="s">
        <x:v>496</x:v>
      </x:c>
      <x:c r="F405" s="10" t="s">
        <x:v>3</x:v>
      </x:c>
      <x:c r="G405" s="10" t="s">
        <x:v>52</x:v>
      </x:c>
      <x:c r="H405" s="10" t="s">
        <x:v>64</x:v>
      </x:c>
      <x:c r="I405" s="10"/>
      <x:c r="J405" s="10"/>
      <x:c r="K405" s="10"/>
      <x:c r="L405" s="10"/>
      <x:c r="M405" s="10">
        <x:f t="shared" si="6"/>
        <x:v>0</x:v>
      </x:c>
    </x:row>
    <x:row r="406" ht="27.600000381469727">
      <x:c r="A406" s="10">
        <x:v>405</x:v>
      </x:c>
      <x:c r="B406" s="10" t="s">
        <x:v>33</x:v>
      </x:c>
      <x:c r="C406" s="10" t="s">
        <x:v>492</x:v>
      </x:c>
      <x:c r="D406" s="10" t="s">
        <x:v>62</x:v>
      </x:c>
      <x:c r="E406" s="10" t="s">
        <x:v>497</x:v>
      </x:c>
      <x:c r="F406" s="10" t="s">
        <x:v>3</x:v>
      </x:c>
      <x:c r="G406" s="10" t="s">
        <x:v>64</x:v>
      </x:c>
      <x:c r="H406" s="10" t="s">
        <x:v>64</x:v>
      </x:c>
      <x:c r="I406" s="10"/>
      <x:c r="J406" s="10"/>
      <x:c r="K406" s="10"/>
      <x:c r="L406" s="10"/>
      <x:c r="M406" s="10">
        <x:f t="shared" si="6"/>
        <x:v>0</x:v>
      </x:c>
    </x:row>
    <x:row r="407" ht="27.600000381469727">
      <x:c r="A407" s="10">
        <x:v>406</x:v>
      </x:c>
      <x:c r="B407" s="10" t="s">
        <x:v>33</x:v>
      </x:c>
      <x:c r="C407" s="10" t="s">
        <x:v>492</x:v>
      </x:c>
      <x:c r="D407" s="10" t="s">
        <x:v>62</x:v>
      </x:c>
      <x:c r="E407" s="10" t="s">
        <x:v>498</x:v>
      </x:c>
      <x:c r="F407" s="10" t="s">
        <x:v>3</x:v>
      </x:c>
      <x:c r="G407" s="10" t="s">
        <x:v>64</x:v>
      </x:c>
      <x:c r="H407" s="10" t="s">
        <x:v>64</x:v>
      </x:c>
      <x:c r="I407" s="10"/>
      <x:c r="J407" s="10"/>
      <x:c r="K407" s="10"/>
      <x:c r="L407" s="10"/>
      <x:c r="M407" s="10">
        <x:f t="shared" si="6"/>
        <x:v>0</x:v>
      </x:c>
    </x:row>
    <x:row r="408" ht="27.600000381469727">
      <x:c r="A408" s="10">
        <x:v>407</x:v>
      </x:c>
      <x:c r="B408" s="10" t="s">
        <x:v>33</x:v>
      </x:c>
      <x:c r="C408" s="10" t="s">
        <x:v>492</x:v>
      </x:c>
      <x:c r="D408" s="10" t="s">
        <x:v>62</x:v>
      </x:c>
      <x:c r="E408" s="10" t="s">
        <x:v>499</x:v>
      </x:c>
      <x:c r="F408" s="10" t="s">
        <x:v>3</x:v>
      </x:c>
      <x:c r="G408" s="10" t="s">
        <x:v>52</x:v>
      </x:c>
      <x:c r="H408" s="10" t="s">
        <x:v>64</x:v>
      </x:c>
      <x:c r="I408" s="10"/>
      <x:c r="J408" s="10"/>
      <x:c r="K408" s="10"/>
      <x:c r="L408" s="10"/>
      <x:c r="M408" s="10">
        <x:f t="shared" si="6"/>
        <x:v>0</x:v>
      </x:c>
    </x:row>
    <x:row r="409" ht="27.600000381469727">
      <x:c r="A409" s="10">
        <x:v>408</x:v>
      </x:c>
      <x:c r="B409" s="10" t="s">
        <x:v>33</x:v>
      </x:c>
      <x:c r="C409" s="10" t="s">
        <x:v>492</x:v>
      </x:c>
      <x:c r="D409" s="10" t="s">
        <x:v>62</x:v>
      </x:c>
      <x:c r="E409" s="10" t="s">
        <x:v>500</x:v>
      </x:c>
      <x:c r="F409" s="10" t="s">
        <x:v>3</x:v>
      </x:c>
      <x:c r="G409" s="10" t="s">
        <x:v>64</x:v>
      </x:c>
      <x:c r="H409" s="10" t="s">
        <x:v>64</x:v>
      </x:c>
      <x:c r="I409" s="10"/>
      <x:c r="J409" s="10"/>
      <x:c r="K409" s="10"/>
      <x:c r="L409" s="10"/>
      <x:c r="M409" s="10">
        <x:f t="shared" si="6"/>
        <x:v>0</x:v>
      </x:c>
    </x:row>
    <x:row r="410" ht="27.600000381469727">
      <x:c r="A410" s="10">
        <x:v>409</x:v>
      </x:c>
      <x:c r="B410" s="10" t="s">
        <x:v>33</x:v>
      </x:c>
      <x:c r="C410" s="10" t="s">
        <x:v>492</x:v>
      </x:c>
      <x:c r="D410" s="10" t="s">
        <x:v>78</x:v>
      </x:c>
      <x:c r="E410" s="10" t="s">
        <x:v>440</x:v>
      </x:c>
      <x:c r="F410" s="10" t="s">
        <x:v>3</x:v>
      </x:c>
      <x:c r="G410" s="10" t="s">
        <x:v>64</x:v>
      </x:c>
      <x:c r="H410" s="10" t="s">
        <x:v>64</x:v>
      </x:c>
      <x:c r="I410" s="10"/>
      <x:c r="J410" s="10"/>
      <x:c r="K410" s="10"/>
      <x:c r="L410" s="10"/>
      <x:c r="M410" s="10">
        <x:f t="shared" si="6"/>
        <x:v>0</x:v>
      </x:c>
    </x:row>
    <x:row r="411" ht="27.600000381469727">
      <x:c r="A411" s="10">
        <x:v>410</x:v>
      </x:c>
      <x:c r="B411" s="10" t="s">
        <x:v>33</x:v>
      </x:c>
      <x:c r="C411" s="10" t="s">
        <x:v>492</x:v>
      </x:c>
      <x:c r="D411" s="10" t="s">
        <x:v>78</x:v>
      </x:c>
      <x:c r="E411" s="10" t="s">
        <x:v>501</x:v>
      </x:c>
      <x:c r="F411" s="10" t="s">
        <x:v>3</x:v>
      </x:c>
      <x:c r="G411" s="10" t="s">
        <x:v>64</x:v>
      </x:c>
      <x:c r="H411" s="10" t="s">
        <x:v>64</x:v>
      </x:c>
      <x:c r="I411" s="10"/>
      <x:c r="J411" s="10"/>
      <x:c r="K411" s="10"/>
      <x:c r="L411" s="10"/>
      <x:c r="M411" s="10">
        <x:f t="shared" si="6"/>
        <x:v>0</x:v>
      </x:c>
    </x:row>
    <x:row r="412" ht="27.600000381469727">
      <x:c r="A412" s="10">
        <x:v>411</x:v>
      </x:c>
      <x:c r="B412" s="10" t="s">
        <x:v>33</x:v>
      </x:c>
      <x:c r="C412" s="10" t="s">
        <x:v>492</x:v>
      </x:c>
      <x:c r="D412" s="10" t="s">
        <x:v>84</x:v>
      </x:c>
      <x:c r="E412" s="10" t="s">
        <x:v>502</x:v>
      </x:c>
      <x:c r="F412" s="10" t="s">
        <x:v>3</x:v>
      </x:c>
      <x:c r="G412" s="10" t="s">
        <x:v>52</x:v>
      </x:c>
      <x:c r="H412" s="10" t="s">
        <x:v>64</x:v>
      </x:c>
      <x:c r="I412" s="10"/>
      <x:c r="J412" s="10"/>
      <x:c r="K412" s="10"/>
      <x:c r="L412" s="10"/>
      <x:c r="M412" s="10">
        <x:f t="shared" si="6"/>
        <x:v>0</x:v>
      </x:c>
    </x:row>
    <x:row r="413" ht="27.600000381469727">
      <x:c r="A413" s="10">
        <x:v>412</x:v>
      </x:c>
      <x:c r="B413" s="10" t="s">
        <x:v>33</x:v>
      </x:c>
      <x:c r="C413" s="10" t="s">
        <x:v>492</x:v>
      </x:c>
      <x:c r="D413" s="10" t="s">
        <x:v>84</x:v>
      </x:c>
      <x:c r="E413" s="10" t="s">
        <x:v>503</x:v>
      </x:c>
      <x:c r="F413" s="10" t="s">
        <x:v>3</x:v>
      </x:c>
      <x:c r="G413" s="10" t="s">
        <x:v>52</x:v>
      </x:c>
      <x:c r="H413" s="10" t="s">
        <x:v>64</x:v>
      </x:c>
      <x:c r="I413" s="10"/>
      <x:c r="J413" s="10"/>
      <x:c r="K413" s="10"/>
      <x:c r="L413" s="10"/>
      <x:c r="M413" s="10">
        <x:f t="shared" si="6"/>
        <x:v>0</x:v>
      </x:c>
    </x:row>
    <x:row r="414" ht="27.600000381469727">
      <x:c r="A414" s="10">
        <x:v>413</x:v>
      </x:c>
      <x:c r="B414" s="10" t="s">
        <x:v>33</x:v>
      </x:c>
      <x:c r="C414" s="10" t="s">
        <x:v>492</x:v>
      </x:c>
      <x:c r="D414" s="10" t="s">
        <x:v>84</x:v>
      </x:c>
      <x:c r="E414" s="10" t="s">
        <x:v>504</x:v>
      </x:c>
      <x:c r="F414" s="10" t="s">
        <x:v>3</x:v>
      </x:c>
      <x:c r="G414" s="10" t="s">
        <x:v>52</x:v>
      </x:c>
      <x:c r="H414" s="10" t="s">
        <x:v>64</x:v>
      </x:c>
      <x:c r="I414" s="10"/>
      <x:c r="J414" s="10"/>
      <x:c r="K414" s="10"/>
      <x:c r="L414" s="10"/>
      <x:c r="M414" s="10">
        <x:f t="shared" si="6"/>
        <x:v>0</x:v>
      </x:c>
    </x:row>
    <x:row r="415" ht="27.600000381469727">
      <x:c r="A415" s="10">
        <x:v>414</x:v>
      </x:c>
      <x:c r="B415" s="10" t="s">
        <x:v>33</x:v>
      </x:c>
      <x:c r="C415" s="10" t="s">
        <x:v>492</x:v>
      </x:c>
      <x:c r="D415" s="10" t="s">
        <x:v>84</x:v>
      </x:c>
      <x:c r="E415" s="10" t="s">
        <x:v>505</x:v>
      </x:c>
      <x:c r="F415" s="10" t="s">
        <x:v>3</x:v>
      </x:c>
      <x:c r="G415" s="10" t="s">
        <x:v>52</x:v>
      </x:c>
      <x:c r="H415" s="10" t="s">
        <x:v>64</x:v>
      </x:c>
      <x:c r="I415" s="10"/>
      <x:c r="J415" s="10"/>
      <x:c r="K415" s="10"/>
      <x:c r="L415" s="10"/>
      <x:c r="M415" s="10">
        <x:f t="shared" si="6"/>
        <x:v>0</x:v>
      </x:c>
    </x:row>
    <x:row r="416" ht="27.600000381469727">
      <x:c r="A416" s="10">
        <x:v>415</x:v>
      </x:c>
      <x:c r="B416" s="10" t="s">
        <x:v>33</x:v>
      </x:c>
      <x:c r="C416" s="10" t="s">
        <x:v>506</x:v>
      </x:c>
      <x:c r="D416" s="10" t="s">
        <x:v>62</x:v>
      </x:c>
      <x:c r="E416" s="10" t="s">
        <x:v>507</x:v>
      </x:c>
      <x:c r="F416" s="10" t="s">
        <x:v>3</x:v>
      </x:c>
      <x:c r="G416" s="10" t="s">
        <x:v>64</x:v>
      </x:c>
      <x:c r="H416" s="10" t="s">
        <x:v>64</x:v>
      </x:c>
      <x:c r="I416" s="10"/>
      <x:c r="J416" s="10"/>
      <x:c r="K416" s="10"/>
      <x:c r="L416" s="10"/>
      <x:c r="M416" s="10">
        <x:f t="shared" si="6"/>
        <x:v>0</x:v>
      </x:c>
    </x:row>
    <x:row r="417" ht="27.600000381469727">
      <x:c r="A417" s="10">
        <x:v>416</x:v>
      </x:c>
      <x:c r="B417" s="10" t="s">
        <x:v>33</x:v>
      </x:c>
      <x:c r="C417" s="10" t="s">
        <x:v>506</x:v>
      </x:c>
      <x:c r="D417" s="10" t="s">
        <x:v>62</x:v>
      </x:c>
      <x:c r="E417" s="10" t="s">
        <x:v>508</x:v>
      </x:c>
      <x:c r="F417" s="10" t="s">
        <x:v>3</x:v>
      </x:c>
      <x:c r="G417" s="10" t="s">
        <x:v>52</x:v>
      </x:c>
      <x:c r="H417" s="10" t="s">
        <x:v>64</x:v>
      </x:c>
      <x:c r="I417" s="10"/>
      <x:c r="J417" s="10"/>
      <x:c r="K417" s="10"/>
      <x:c r="L417" s="10"/>
      <x:c r="M417" s="10">
        <x:f t="shared" si="6"/>
        <x:v>0</x:v>
      </x:c>
    </x:row>
    <x:row r="418" ht="27.600000381469727">
      <x:c r="A418" s="10">
        <x:v>417</x:v>
      </x:c>
      <x:c r="B418" s="10" t="s">
        <x:v>33</x:v>
      </x:c>
      <x:c r="C418" s="10" t="s">
        <x:v>506</x:v>
      </x:c>
      <x:c r="D418" s="10" t="s">
        <x:v>62</x:v>
      </x:c>
      <x:c r="E418" s="10" t="s">
        <x:v>509</x:v>
      </x:c>
      <x:c r="F418" s="10" t="s">
        <x:v>3</x:v>
      </x:c>
      <x:c r="G418" s="10" t="s">
        <x:v>64</x:v>
      </x:c>
      <x:c r="H418" s="10" t="s">
        <x:v>64</x:v>
      </x:c>
      <x:c r="I418" s="10"/>
      <x:c r="J418" s="10"/>
      <x:c r="K418" s="10"/>
      <x:c r="L418" s="10"/>
      <x:c r="M418" s="10">
        <x:f t="shared" si="6"/>
        <x:v>0</x:v>
      </x:c>
    </x:row>
    <x:row r="419" ht="27.600000381469727">
      <x:c r="A419" s="10">
        <x:v>418</x:v>
      </x:c>
      <x:c r="B419" s="10" t="s">
        <x:v>33</x:v>
      </x:c>
      <x:c r="C419" s="10" t="s">
        <x:v>506</x:v>
      </x:c>
      <x:c r="D419" s="10" t="s">
        <x:v>62</x:v>
      </x:c>
      <x:c r="E419" s="10" t="s">
        <x:v>510</x:v>
      </x:c>
      <x:c r="F419" s="10" t="s">
        <x:v>3</x:v>
      </x:c>
      <x:c r="G419" s="10" t="s">
        <x:v>64</x:v>
      </x:c>
      <x:c r="H419" s="10" t="s">
        <x:v>64</x:v>
      </x:c>
      <x:c r="I419" s="10"/>
      <x:c r="J419" s="10"/>
      <x:c r="K419" s="10"/>
      <x:c r="L419" s="10"/>
      <x:c r="M419" s="10">
        <x:f t="shared" si="6"/>
        <x:v>0</x:v>
      </x:c>
    </x:row>
    <x:row r="420" ht="27.600000381469727">
      <x:c r="A420" s="10">
        <x:v>419</x:v>
      </x:c>
      <x:c r="B420" s="10" t="s">
        <x:v>33</x:v>
      </x:c>
      <x:c r="C420" s="10" t="s">
        <x:v>506</x:v>
      </x:c>
      <x:c r="D420" s="10" t="s">
        <x:v>62</x:v>
      </x:c>
      <x:c r="E420" s="10" t="s">
        <x:v>511</x:v>
      </x:c>
      <x:c r="F420" s="10" t="s">
        <x:v>3</x:v>
      </x:c>
      <x:c r="G420" s="10" t="s">
        <x:v>64</x:v>
      </x:c>
      <x:c r="H420" s="10" t="s">
        <x:v>64</x:v>
      </x:c>
      <x:c r="I420" s="10"/>
      <x:c r="J420" s="10"/>
      <x:c r="K420" s="10"/>
      <x:c r="L420" s="10"/>
      <x:c r="M420" s="10">
        <x:f t="shared" si="6"/>
        <x:v>0</x:v>
      </x:c>
    </x:row>
    <x:row r="421" ht="27.600000381469727">
      <x:c r="A421" s="10">
        <x:v>420</x:v>
      </x:c>
      <x:c r="B421" s="10" t="s">
        <x:v>33</x:v>
      </x:c>
      <x:c r="C421" s="10" t="s">
        <x:v>506</x:v>
      </x:c>
      <x:c r="D421" s="10" t="s">
        <x:v>62</x:v>
      </x:c>
      <x:c r="E421" s="10" t="s">
        <x:v>512</x:v>
      </x:c>
      <x:c r="F421" s="10" t="s">
        <x:v>3</x:v>
      </x:c>
      <x:c r="G421" s="10" t="s">
        <x:v>64</x:v>
      </x:c>
      <x:c r="H421" s="10" t="s">
        <x:v>64</x:v>
      </x:c>
      <x:c r="I421" s="10"/>
      <x:c r="J421" s="10"/>
      <x:c r="K421" s="10"/>
      <x:c r="L421" s="10"/>
      <x:c r="M421" s="10">
        <x:f t="shared" si="6"/>
        <x:v>0</x:v>
      </x:c>
    </x:row>
    <x:row r="422" ht="27.600000381469727">
      <x:c r="A422" s="10">
        <x:v>421</x:v>
      </x:c>
      <x:c r="B422" s="10" t="s">
        <x:v>33</x:v>
      </x:c>
      <x:c r="C422" s="10" t="s">
        <x:v>506</x:v>
      </x:c>
      <x:c r="D422" s="10" t="s">
        <x:v>62</x:v>
      </x:c>
      <x:c r="E422" s="10" t="s">
        <x:v>513</x:v>
      </x:c>
      <x:c r="F422" s="10" t="s">
        <x:v>3</x:v>
      </x:c>
      <x:c r="G422" s="10" t="s">
        <x:v>52</x:v>
      </x:c>
      <x:c r="H422" s="10" t="s">
        <x:v>64</x:v>
      </x:c>
      <x:c r="I422" s="10"/>
      <x:c r="J422" s="10"/>
      <x:c r="K422" s="10"/>
      <x:c r="L422" s="10"/>
      <x:c r="M422" s="10">
        <x:f t="shared" si="6"/>
        <x:v>0</x:v>
      </x:c>
    </x:row>
    <x:row r="423" ht="27.600000381469727">
      <x:c r="A423" s="10">
        <x:v>422</x:v>
      </x:c>
      <x:c r="B423" s="10" t="s">
        <x:v>33</x:v>
      </x:c>
      <x:c r="C423" s="10" t="s">
        <x:v>506</x:v>
      </x:c>
      <x:c r="D423" s="10" t="s">
        <x:v>62</x:v>
      </x:c>
      <x:c r="E423" s="10" t="s">
        <x:v>514</x:v>
      </x:c>
      <x:c r="F423" s="10" t="s">
        <x:v>3</x:v>
      </x:c>
      <x:c r="G423" s="10" t="s">
        <x:v>64</x:v>
      </x:c>
      <x:c r="H423" s="10" t="s">
        <x:v>64</x:v>
      </x:c>
      <x:c r="I423" s="10"/>
      <x:c r="J423" s="10"/>
      <x:c r="K423" s="10"/>
      <x:c r="L423" s="10"/>
      <x:c r="M423" s="10">
        <x:f t="shared" si="6"/>
        <x:v>0</x:v>
      </x:c>
    </x:row>
    <x:row r="424" ht="27.600000381469727">
      <x:c r="A424" s="10">
        <x:v>423</x:v>
      </x:c>
      <x:c r="B424" s="10" t="s">
        <x:v>33</x:v>
      </x:c>
      <x:c r="C424" s="10" t="s">
        <x:v>506</x:v>
      </x:c>
      <x:c r="D424" s="10" t="s">
        <x:v>78</x:v>
      </x:c>
      <x:c r="E424" s="10" t="s">
        <x:v>515</x:v>
      </x:c>
      <x:c r="F424" s="10" t="s">
        <x:v>3</x:v>
      </x:c>
      <x:c r="G424" s="10" t="s">
        <x:v>64</x:v>
      </x:c>
      <x:c r="H424" s="10" t="s">
        <x:v>64</x:v>
      </x:c>
      <x:c r="I424" s="10"/>
      <x:c r="J424" s="10"/>
      <x:c r="K424" s="10"/>
      <x:c r="L424" s="10"/>
      <x:c r="M424" s="10">
        <x:f t="shared" si="6"/>
        <x:v>0</x:v>
      </x:c>
    </x:row>
    <x:row r="425" ht="27.600000381469727">
      <x:c r="A425" s="10">
        <x:v>424</x:v>
      </x:c>
      <x:c r="B425" s="10" t="s">
        <x:v>33</x:v>
      </x:c>
      <x:c r="C425" s="10" t="s">
        <x:v>506</x:v>
      </x:c>
      <x:c r="D425" s="10" t="s">
        <x:v>78</x:v>
      </x:c>
      <x:c r="E425" s="10" t="s">
        <x:v>516</x:v>
      </x:c>
      <x:c r="F425" s="10" t="s">
        <x:v>3</x:v>
      </x:c>
      <x:c r="G425" s="10" t="s">
        <x:v>64</x:v>
      </x:c>
      <x:c r="H425" s="10" t="s">
        <x:v>64</x:v>
      </x:c>
      <x:c r="I425" s="10"/>
      <x:c r="J425" s="10"/>
      <x:c r="K425" s="10"/>
      <x:c r="L425" s="10"/>
      <x:c r="M425" s="10">
        <x:f t="shared" si="6"/>
        <x:v>0</x:v>
      </x:c>
    </x:row>
    <x:row r="426" ht="27.600000381469727">
      <x:c r="A426" s="10">
        <x:v>425</x:v>
      </x:c>
      <x:c r="B426" s="10" t="s">
        <x:v>33</x:v>
      </x:c>
      <x:c r="C426" s="10" t="s">
        <x:v>506</x:v>
      </x:c>
      <x:c r="D426" s="10" t="s">
        <x:v>78</x:v>
      </x:c>
      <x:c r="E426" s="10" t="s">
        <x:v>517</x:v>
      </x:c>
      <x:c r="F426" s="10" t="s">
        <x:v>3</x:v>
      </x:c>
      <x:c r="G426" s="10" t="s">
        <x:v>64</x:v>
      </x:c>
      <x:c r="H426" s="10" t="s">
        <x:v>64</x:v>
      </x:c>
      <x:c r="I426" s="10"/>
      <x:c r="J426" s="10"/>
      <x:c r="K426" s="10"/>
      <x:c r="L426" s="10"/>
      <x:c r="M426" s="10">
        <x:f t="shared" si="6"/>
        <x:v>0</x:v>
      </x:c>
    </x:row>
    <x:row r="427" ht="27.600000381469727">
      <x:c r="A427" s="10">
        <x:v>426</x:v>
      </x:c>
      <x:c r="B427" s="10" t="s">
        <x:v>33</x:v>
      </x:c>
      <x:c r="C427" s="10" t="s">
        <x:v>506</x:v>
      </x:c>
      <x:c r="D427" s="10" t="s">
        <x:v>84</x:v>
      </x:c>
      <x:c r="E427" s="10" t="s">
        <x:v>518</x:v>
      </x:c>
      <x:c r="F427" s="10" t="s">
        <x:v>3</x:v>
      </x:c>
      <x:c r="G427" s="10" t="s">
        <x:v>52</x:v>
      </x:c>
      <x:c r="H427" s="10" t="s">
        <x:v>64</x:v>
      </x:c>
      <x:c r="I427" s="10"/>
      <x:c r="J427" s="10"/>
      <x:c r="K427" s="10"/>
      <x:c r="L427" s="10"/>
      <x:c r="M427" s="10">
        <x:f t="shared" si="6"/>
        <x:v>0</x:v>
      </x:c>
    </x:row>
    <x:row r="428" ht="27.600000381469727">
      <x:c r="A428" s="10">
        <x:v>427</x:v>
      </x:c>
      <x:c r="B428" s="10" t="s">
        <x:v>33</x:v>
      </x:c>
      <x:c r="C428" s="10" t="s">
        <x:v>506</x:v>
      </x:c>
      <x:c r="D428" s="10" t="s">
        <x:v>84</x:v>
      </x:c>
      <x:c r="E428" s="10" t="s">
        <x:v>519</x:v>
      </x:c>
      <x:c r="F428" s="10" t="s">
        <x:v>3</x:v>
      </x:c>
      <x:c r="G428" s="10" t="s">
        <x:v>52</x:v>
      </x:c>
      <x:c r="H428" s="10" t="s">
        <x:v>64</x:v>
      </x:c>
      <x:c r="I428" s="10"/>
      <x:c r="J428" s="10"/>
      <x:c r="K428" s="10"/>
      <x:c r="L428" s="10"/>
      <x:c r="M428" s="10">
        <x:f t="shared" si="6"/>
        <x:v>0</x:v>
      </x:c>
    </x:row>
    <x:row r="429" ht="27.600000381469727">
      <x:c r="A429" s="10">
        <x:v>428</x:v>
      </x:c>
      <x:c r="B429" s="10" t="s">
        <x:v>33</x:v>
      </x:c>
      <x:c r="C429" s="10" t="s">
        <x:v>506</x:v>
      </x:c>
      <x:c r="D429" s="10" t="s">
        <x:v>84</x:v>
      </x:c>
      <x:c r="E429" s="10" t="s">
        <x:v>520</x:v>
      </x:c>
      <x:c r="F429" s="10" t="s">
        <x:v>3</x:v>
      </x:c>
      <x:c r="G429" s="10" t="s">
        <x:v>52</x:v>
      </x:c>
      <x:c r="H429" s="10" t="s">
        <x:v>64</x:v>
      </x:c>
      <x:c r="I429" s="10"/>
      <x:c r="J429" s="10"/>
      <x:c r="K429" s="10"/>
      <x:c r="L429" s="10"/>
      <x:c r="M429" s="10">
        <x:f t="shared" si="6"/>
        <x:v>0</x:v>
      </x:c>
    </x:row>
    <x:row r="430" ht="27.600000381469727">
      <x:c r="A430" s="10">
        <x:v>429</x:v>
      </x:c>
      <x:c r="B430" s="10" t="s">
        <x:v>33</x:v>
      </x:c>
      <x:c r="C430" s="10" t="s">
        <x:v>506</x:v>
      </x:c>
      <x:c r="D430" s="10" t="s">
        <x:v>84</x:v>
      </x:c>
      <x:c r="E430" s="10" t="s">
        <x:v>521</x:v>
      </x:c>
      <x:c r="F430" s="10" t="s">
        <x:v>3</x:v>
      </x:c>
      <x:c r="G430" s="10" t="s">
        <x:v>52</x:v>
      </x:c>
      <x:c r="H430" s="10" t="s">
        <x:v>64</x:v>
      </x:c>
      <x:c r="I430" s="10"/>
      <x:c r="J430" s="10"/>
      <x:c r="K430" s="10"/>
      <x:c r="L430" s="10"/>
      <x:c r="M430" s="10">
        <x:f t="shared" si="6"/>
        <x:v>0</x:v>
      </x:c>
    </x:row>
    <x:row r="431" ht="27.600000381469727">
      <x:c r="A431" s="10">
        <x:v>430</x:v>
      </x:c>
      <x:c r="B431" s="10" t="s">
        <x:v>33</x:v>
      </x:c>
      <x:c r="C431" s="10" t="s">
        <x:v>522</x:v>
      </x:c>
      <x:c r="D431" s="10" t="s">
        <x:v>62</x:v>
      </x:c>
      <x:c r="E431" s="10" t="s">
        <x:v>523</x:v>
      </x:c>
      <x:c r="F431" s="10" t="s">
        <x:v>3</x:v>
      </x:c>
      <x:c r="G431" s="10" t="s">
        <x:v>64</x:v>
      </x:c>
      <x:c r="H431" s="10" t="s">
        <x:v>64</x:v>
      </x:c>
      <x:c r="I431" s="10"/>
      <x:c r="J431" s="10"/>
      <x:c r="K431" s="10"/>
      <x:c r="L431" s="10"/>
      <x:c r="M431" s="10">
        <x:f t="shared" si="6"/>
        <x:v>0</x:v>
      </x:c>
    </x:row>
    <x:row r="432" ht="27.600000381469727">
      <x:c r="A432" s="10">
        <x:v>431</x:v>
      </x:c>
      <x:c r="B432" s="10" t="s">
        <x:v>33</x:v>
      </x:c>
      <x:c r="C432" s="10" t="s">
        <x:v>522</x:v>
      </x:c>
      <x:c r="D432" s="10" t="s">
        <x:v>62</x:v>
      </x:c>
      <x:c r="E432" s="10" t="s">
        <x:v>524</x:v>
      </x:c>
      <x:c r="F432" s="10" t="s">
        <x:v>3</x:v>
      </x:c>
      <x:c r="G432" s="10" t="s">
        <x:v>64</x:v>
      </x:c>
      <x:c r="H432" s="10" t="s">
        <x:v>64</x:v>
      </x:c>
      <x:c r="I432" s="10"/>
      <x:c r="J432" s="10"/>
      <x:c r="K432" s="10"/>
      <x:c r="L432" s="10"/>
      <x:c r="M432" s="10">
        <x:f t="shared" si="6"/>
        <x:v>0</x:v>
      </x:c>
    </x:row>
    <x:row r="433" ht="27.600000381469727">
      <x:c r="A433" s="10">
        <x:v>432</x:v>
      </x:c>
      <x:c r="B433" s="10" t="s">
        <x:v>33</x:v>
      </x:c>
      <x:c r="C433" s="10" t="s">
        <x:v>522</x:v>
      </x:c>
      <x:c r="D433" s="10" t="s">
        <x:v>62</x:v>
      </x:c>
      <x:c r="E433" s="10" t="s">
        <x:v>525</x:v>
      </x:c>
      <x:c r="F433" s="10" t="s">
        <x:v>3</x:v>
      </x:c>
      <x:c r="G433" s="10" t="s">
        <x:v>64</x:v>
      </x:c>
      <x:c r="H433" s="10" t="s">
        <x:v>64</x:v>
      </x:c>
      <x:c r="I433" s="10"/>
      <x:c r="J433" s="10"/>
      <x:c r="K433" s="10"/>
      <x:c r="L433" s="10"/>
      <x:c r="M433" s="10">
        <x:f t="shared" si="6"/>
        <x:v>0</x:v>
      </x:c>
    </x:row>
    <x:row r="434" ht="27.600000381469727">
      <x:c r="A434" s="10">
        <x:v>433</x:v>
      </x:c>
      <x:c r="B434" s="10" t="s">
        <x:v>33</x:v>
      </x:c>
      <x:c r="C434" s="10" t="s">
        <x:v>522</x:v>
      </x:c>
      <x:c r="D434" s="10" t="s">
        <x:v>62</x:v>
      </x:c>
      <x:c r="E434" s="10" t="s">
        <x:v>526</x:v>
      </x:c>
      <x:c r="F434" s="10" t="s">
        <x:v>3</x:v>
      </x:c>
      <x:c r="G434" s="10" t="s">
        <x:v>64</x:v>
      </x:c>
      <x:c r="H434" s="10" t="s">
        <x:v>64</x:v>
      </x:c>
      <x:c r="I434" s="10"/>
      <x:c r="J434" s="10"/>
      <x:c r="K434" s="10"/>
      <x:c r="L434" s="10"/>
      <x:c r="M434" s="10">
        <x:f t="shared" si="6"/>
        <x:v>0</x:v>
      </x:c>
    </x:row>
    <x:row r="435" ht="27.600000381469727">
      <x:c r="A435" s="10">
        <x:v>434</x:v>
      </x:c>
      <x:c r="B435" s="10" t="s">
        <x:v>33</x:v>
      </x:c>
      <x:c r="C435" s="10" t="s">
        <x:v>522</x:v>
      </x:c>
      <x:c r="D435" s="10" t="s">
        <x:v>62</x:v>
      </x:c>
      <x:c r="E435" s="10" t="s">
        <x:v>527</x:v>
      </x:c>
      <x:c r="F435" s="10" t="s">
        <x:v>3</x:v>
      </x:c>
      <x:c r="G435" s="10" t="s">
        <x:v>64</x:v>
      </x:c>
      <x:c r="H435" s="10" t="s">
        <x:v>64</x:v>
      </x:c>
      <x:c r="I435" s="10"/>
      <x:c r="J435" s="10"/>
      <x:c r="K435" s="10"/>
      <x:c r="L435" s="10"/>
      <x:c r="M435" s="10">
        <x:f t="shared" si="6"/>
        <x:v>0</x:v>
      </x:c>
    </x:row>
    <x:row r="436" ht="27.600000381469727">
      <x:c r="A436" s="10">
        <x:v>435</x:v>
      </x:c>
      <x:c r="B436" s="10" t="s">
        <x:v>33</x:v>
      </x:c>
      <x:c r="C436" s="10" t="s">
        <x:v>522</x:v>
      </x:c>
      <x:c r="D436" s="10" t="s">
        <x:v>62</x:v>
      </x:c>
      <x:c r="E436" s="10" t="s">
        <x:v>528</x:v>
      </x:c>
      <x:c r="F436" s="10" t="s">
        <x:v>3</x:v>
      </x:c>
      <x:c r="G436" s="10" t="s">
        <x:v>64</x:v>
      </x:c>
      <x:c r="H436" s="10" t="s">
        <x:v>64</x:v>
      </x:c>
      <x:c r="I436" s="10"/>
      <x:c r="J436" s="10"/>
      <x:c r="K436" s="10"/>
      <x:c r="L436" s="10"/>
      <x:c r="M436" s="10">
        <x:f t="shared" si="6"/>
        <x:v>0</x:v>
      </x:c>
    </x:row>
    <x:row r="437" ht="27.600000381469727">
      <x:c r="A437" s="10">
        <x:v>436</x:v>
      </x:c>
      <x:c r="B437" s="10" t="s">
        <x:v>33</x:v>
      </x:c>
      <x:c r="C437" s="10" t="s">
        <x:v>522</x:v>
      </x:c>
      <x:c r="D437" s="10" t="s">
        <x:v>62</x:v>
      </x:c>
      <x:c r="E437" s="10" t="s">
        <x:v>529</x:v>
      </x:c>
      <x:c r="F437" s="10" t="s">
        <x:v>3</x:v>
      </x:c>
      <x:c r="G437" s="10" t="s">
        <x:v>64</x:v>
      </x:c>
      <x:c r="H437" s="10" t="s">
        <x:v>64</x:v>
      </x:c>
      <x:c r="I437" s="10"/>
      <x:c r="J437" s="10"/>
      <x:c r="K437" s="10"/>
      <x:c r="L437" s="10"/>
      <x:c r="M437" s="10">
        <x:f t="shared" si="6"/>
        <x:v>0</x:v>
      </x:c>
    </x:row>
    <x:row r="438" ht="27.600000381469727">
      <x:c r="A438" s="10">
        <x:v>437</x:v>
      </x:c>
      <x:c r="B438" s="10" t="s">
        <x:v>33</x:v>
      </x:c>
      <x:c r="C438" s="10" t="s">
        <x:v>522</x:v>
      </x:c>
      <x:c r="D438" s="10" t="s">
        <x:v>78</x:v>
      </x:c>
      <x:c r="E438" s="10" t="s">
        <x:v>530</x:v>
      </x:c>
      <x:c r="F438" s="10" t="s">
        <x:v>3</x:v>
      </x:c>
      <x:c r="G438" s="10" t="s">
        <x:v>64</x:v>
      </x:c>
      <x:c r="H438" s="10" t="s">
        <x:v>64</x:v>
      </x:c>
      <x:c r="I438" s="10"/>
      <x:c r="J438" s="10"/>
      <x:c r="K438" s="10"/>
      <x:c r="L438" s="10"/>
      <x:c r="M438" s="10">
        <x:f t="shared" si="6"/>
        <x:v>0</x:v>
      </x:c>
    </x:row>
    <x:row r="439" ht="27.600000381469727">
      <x:c r="A439" s="10">
        <x:v>438</x:v>
      </x:c>
      <x:c r="B439" s="10" t="s">
        <x:v>33</x:v>
      </x:c>
      <x:c r="C439" s="10" t="s">
        <x:v>522</x:v>
      </x:c>
      <x:c r="D439" s="10" t="s">
        <x:v>78</x:v>
      </x:c>
      <x:c r="E439" s="10" t="s">
        <x:v>531</x:v>
      </x:c>
      <x:c r="F439" s="10" t="s">
        <x:v>3</x:v>
      </x:c>
      <x:c r="G439" s="10" t="s">
        <x:v>64</x:v>
      </x:c>
      <x:c r="H439" s="10" t="s">
        <x:v>64</x:v>
      </x:c>
      <x:c r="I439" s="10"/>
      <x:c r="J439" s="10"/>
      <x:c r="K439" s="10"/>
      <x:c r="L439" s="10"/>
      <x:c r="M439" s="10">
        <x:f t="shared" si="6"/>
        <x:v>0</x:v>
      </x:c>
    </x:row>
    <x:row r="440" ht="27.600000381469727">
      <x:c r="A440" s="10">
        <x:v>439</x:v>
      </x:c>
      <x:c r="B440" s="10" t="s">
        <x:v>33</x:v>
      </x:c>
      <x:c r="C440" s="10" t="s">
        <x:v>522</x:v>
      </x:c>
      <x:c r="D440" s="10" t="s">
        <x:v>78</x:v>
      </x:c>
      <x:c r="E440" s="10" t="s">
        <x:v>532</x:v>
      </x:c>
      <x:c r="F440" s="10" t="s">
        <x:v>3</x:v>
      </x:c>
      <x:c r="G440" s="10" t="s">
        <x:v>64</x:v>
      </x:c>
      <x:c r="H440" s="10" t="s">
        <x:v>64</x:v>
      </x:c>
      <x:c r="I440" s="10"/>
      <x:c r="J440" s="10"/>
      <x:c r="K440" s="10"/>
      <x:c r="L440" s="10"/>
      <x:c r="M440" s="10">
        <x:f t="shared" si="6"/>
        <x:v>0</x:v>
      </x:c>
    </x:row>
    <x:row r="441" ht="27.600000381469727">
      <x:c r="A441" s="10">
        <x:v>440</x:v>
      </x:c>
      <x:c r="B441" s="10" t="s">
        <x:v>33</x:v>
      </x:c>
      <x:c r="C441" s="10" t="s">
        <x:v>522</x:v>
      </x:c>
      <x:c r="D441" s="10" t="s">
        <x:v>78</x:v>
      </x:c>
      <x:c r="E441" s="10" t="s">
        <x:v>533</x:v>
      </x:c>
      <x:c r="F441" s="10" t="s">
        <x:v>3</x:v>
      </x:c>
      <x:c r="G441" s="10" t="s">
        <x:v>64</x:v>
      </x:c>
      <x:c r="H441" s="10" t="s">
        <x:v>64</x:v>
      </x:c>
      <x:c r="I441" s="10"/>
      <x:c r="J441" s="10"/>
      <x:c r="K441" s="10"/>
      <x:c r="L441" s="10"/>
      <x:c r="M441" s="10">
        <x:f t="shared" si="6"/>
        <x:v>0</x:v>
      </x:c>
    </x:row>
    <x:row r="442" ht="27.600000381469727">
      <x:c r="A442" s="10">
        <x:v>441</x:v>
      </x:c>
      <x:c r="B442" s="10" t="s">
        <x:v>33</x:v>
      </x:c>
      <x:c r="C442" s="10" t="s">
        <x:v>522</x:v>
      </x:c>
      <x:c r="D442" s="10" t="s">
        <x:v>78</x:v>
      </x:c>
      <x:c r="E442" s="10" t="s">
        <x:v>413</x:v>
      </x:c>
      <x:c r="F442" s="10" t="s">
        <x:v>3</x:v>
      </x:c>
      <x:c r="G442" s="10" t="s">
        <x:v>64</x:v>
      </x:c>
      <x:c r="H442" s="10" t="s">
        <x:v>64</x:v>
      </x:c>
      <x:c r="I442" s="10"/>
      <x:c r="J442" s="10"/>
      <x:c r="K442" s="10"/>
      <x:c r="L442" s="10"/>
      <x:c r="M442" s="10">
        <x:f t="shared" si="6"/>
        <x:v>0</x:v>
      </x:c>
    </x:row>
    <x:row r="443" ht="27.600000381469727">
      <x:c r="A443" s="10">
        <x:v>442</x:v>
      </x:c>
      <x:c r="B443" s="10" t="s">
        <x:v>33</x:v>
      </x:c>
      <x:c r="C443" s="10" t="s">
        <x:v>522</x:v>
      </x:c>
      <x:c r="D443" s="10" t="s">
        <x:v>84</x:v>
      </x:c>
      <x:c r="E443" s="10" t="s">
        <x:v>534</x:v>
      </x:c>
      <x:c r="F443" s="10" t="s">
        <x:v>3</x:v>
      </x:c>
      <x:c r="G443" s="10" t="s">
        <x:v>64</x:v>
      </x:c>
      <x:c r="H443" s="10" t="s">
        <x:v>64</x:v>
      </x:c>
      <x:c r="I443" s="10"/>
      <x:c r="J443" s="10"/>
      <x:c r="K443" s="10"/>
      <x:c r="L443" s="10"/>
      <x:c r="M443" s="10">
        <x:f t="shared" si="6"/>
        <x:v>0</x:v>
      </x:c>
    </x:row>
    <x:row r="444" ht="27.600000381469727">
      <x:c r="A444" s="10">
        <x:v>443</x:v>
      </x:c>
      <x:c r="B444" s="10" t="s">
        <x:v>33</x:v>
      </x:c>
      <x:c r="C444" s="10" t="s">
        <x:v>522</x:v>
      </x:c>
      <x:c r="D444" s="10" t="s">
        <x:v>84</x:v>
      </x:c>
      <x:c r="E444" s="10" t="s">
        <x:v>535</x:v>
      </x:c>
      <x:c r="F444" s="10" t="s">
        <x:v>3</x:v>
      </x:c>
      <x:c r="G444" s="10" t="s">
        <x:v>64</x:v>
      </x:c>
      <x:c r="H444" s="10" t="s">
        <x:v>64</x:v>
      </x:c>
      <x:c r="I444" s="10"/>
      <x:c r="J444" s="10"/>
      <x:c r="K444" s="10"/>
      <x:c r="L444" s="10"/>
      <x:c r="M444" s="10">
        <x:f t="shared" si="6"/>
        <x:v>0</x:v>
      </x:c>
    </x:row>
    <x:row r="445" ht="27.600000381469727">
      <x:c r="A445" s="10">
        <x:v>444</x:v>
      </x:c>
      <x:c r="B445" s="10" t="s">
        <x:v>33</x:v>
      </x:c>
      <x:c r="C445" s="10" t="s">
        <x:v>536</x:v>
      </x:c>
      <x:c r="D445" s="10" t="s">
        <x:v>62</x:v>
      </x:c>
      <x:c r="E445" s="10" t="s">
        <x:v>537</x:v>
      </x:c>
      <x:c r="F445" s="10" t="s">
        <x:v>3</x:v>
      </x:c>
      <x:c r="G445" s="10" t="s">
        <x:v>52</x:v>
      </x:c>
      <x:c r="H445" s="10" t="s">
        <x:v>64</x:v>
      </x:c>
      <x:c r="I445" s="10"/>
      <x:c r="J445" s="10"/>
      <x:c r="K445" s="10"/>
      <x:c r="L445" s="10"/>
      <x:c r="M445" s="10">
        <x:f t="shared" si="6"/>
        <x:v>0</x:v>
      </x:c>
    </x:row>
    <x:row r="446" ht="27.600000381469727">
      <x:c r="A446" s="10">
        <x:v>445</x:v>
      </x:c>
      <x:c r="B446" s="10" t="s">
        <x:v>33</x:v>
      </x:c>
      <x:c r="C446" s="10" t="s">
        <x:v>536</x:v>
      </x:c>
      <x:c r="D446" s="10" t="s">
        <x:v>62</x:v>
      </x:c>
      <x:c r="E446" s="10" t="s">
        <x:v>538</x:v>
      </x:c>
      <x:c r="F446" s="10" t="s">
        <x:v>3</x:v>
      </x:c>
      <x:c r="G446" s="10" t="s">
        <x:v>52</x:v>
      </x:c>
      <x:c r="H446" s="10" t="s">
        <x:v>64</x:v>
      </x:c>
      <x:c r="I446" s="10"/>
      <x:c r="J446" s="10"/>
      <x:c r="K446" s="10"/>
      <x:c r="L446" s="10"/>
      <x:c r="M446" s="10">
        <x:f t="shared" si="6"/>
        <x:v>0</x:v>
      </x:c>
    </x:row>
    <x:row r="447" ht="27.600000381469727">
      <x:c r="A447" s="10">
        <x:v>446</x:v>
      </x:c>
      <x:c r="B447" s="10" t="s">
        <x:v>33</x:v>
      </x:c>
      <x:c r="C447" s="10" t="s">
        <x:v>536</x:v>
      </x:c>
      <x:c r="D447" s="10" t="s">
        <x:v>62</x:v>
      </x:c>
      <x:c r="E447" s="10" t="s">
        <x:v>539</x:v>
      </x:c>
      <x:c r="F447" s="10" t="s">
        <x:v>3</x:v>
      </x:c>
      <x:c r="G447" s="10" t="s">
        <x:v>52</x:v>
      </x:c>
      <x:c r="H447" s="10" t="s">
        <x:v>64</x:v>
      </x:c>
      <x:c r="I447" s="10"/>
      <x:c r="J447" s="10"/>
      <x:c r="K447" s="10"/>
      <x:c r="L447" s="10"/>
      <x:c r="M447" s="10">
        <x:f t="shared" si="6"/>
        <x:v>0</x:v>
      </x:c>
    </x:row>
    <x:row r="448" ht="27.600000381469727">
      <x:c r="A448" s="10">
        <x:v>447</x:v>
      </x:c>
      <x:c r="B448" s="10" t="s">
        <x:v>33</x:v>
      </x:c>
      <x:c r="C448" s="10" t="s">
        <x:v>536</x:v>
      </x:c>
      <x:c r="D448" s="10" t="s">
        <x:v>62</x:v>
      </x:c>
      <x:c r="E448" s="10" t="s">
        <x:v>540</x:v>
      </x:c>
      <x:c r="F448" s="10" t="s">
        <x:v>3</x:v>
      </x:c>
      <x:c r="G448" s="10" t="s">
        <x:v>52</x:v>
      </x:c>
      <x:c r="H448" s="10" t="s">
        <x:v>64</x:v>
      </x:c>
      <x:c r="I448" s="10"/>
      <x:c r="J448" s="10"/>
      <x:c r="K448" s="10"/>
      <x:c r="L448" s="10"/>
      <x:c r="M448" s="10">
        <x:f t="shared" si="6"/>
        <x:v>0</x:v>
      </x:c>
    </x:row>
    <x:row r="449" ht="27.600000381469727">
      <x:c r="A449" s="10">
        <x:v>448</x:v>
      </x:c>
      <x:c r="B449" s="10" t="s">
        <x:v>33</x:v>
      </x:c>
      <x:c r="C449" s="10" t="s">
        <x:v>536</x:v>
      </x:c>
      <x:c r="D449" s="10" t="s">
        <x:v>62</x:v>
      </x:c>
      <x:c r="E449" s="10" t="s">
        <x:v>541</x:v>
      </x:c>
      <x:c r="F449" s="10" t="s">
        <x:v>3</x:v>
      </x:c>
      <x:c r="G449" s="10" t="s">
        <x:v>52</x:v>
      </x:c>
      <x:c r="H449" s="10" t="s">
        <x:v>64</x:v>
      </x:c>
      <x:c r="I449" s="10"/>
      <x:c r="J449" s="10"/>
      <x:c r="K449" s="10"/>
      <x:c r="L449" s="10"/>
      <x:c r="M449" s="10">
        <x:f t="shared" si="6"/>
        <x:v>0</x:v>
      </x:c>
    </x:row>
    <x:row r="450" ht="27.600000381469727">
      <x:c r="A450" s="10">
        <x:v>449</x:v>
      </x:c>
      <x:c r="B450" s="10" t="s">
        <x:v>33</x:v>
      </x:c>
      <x:c r="C450" s="10" t="s">
        <x:v>536</x:v>
      </x:c>
      <x:c r="D450" s="10" t="s">
        <x:v>62</x:v>
      </x:c>
      <x:c r="E450" s="10" t="s">
        <x:v>542</x:v>
      </x:c>
      <x:c r="F450" s="10" t="s">
        <x:v>3</x:v>
      </x:c>
      <x:c r="G450" s="10" t="s">
        <x:v>52</x:v>
      </x:c>
      <x:c r="H450" s="10" t="s">
        <x:v>64</x:v>
      </x:c>
      <x:c r="I450" s="10"/>
      <x:c r="J450" s="10"/>
      <x:c r="K450" s="10"/>
      <x:c r="L450" s="10"/>
      <x:c r="M450" s="10" t="n">
        <x:f t="shared" ref="M450:M496" si="7">IF(F450="Hoàn thành",1,0)</x:f>
        <x:v>0</x:v>
      </x:c>
    </x:row>
    <x:row r="451" ht="27.600000381469727">
      <x:c r="A451" s="10">
        <x:v>450</x:v>
      </x:c>
      <x:c r="B451" s="10" t="s">
        <x:v>33</x:v>
      </x:c>
      <x:c r="C451" s="10" t="s">
        <x:v>536</x:v>
      </x:c>
      <x:c r="D451" s="10" t="s">
        <x:v>62</x:v>
      </x:c>
      <x:c r="E451" s="10" t="s">
        <x:v>543</x:v>
      </x:c>
      <x:c r="F451" s="10" t="s">
        <x:v>3</x:v>
      </x:c>
      <x:c r="G451" s="10" t="s">
        <x:v>52</x:v>
      </x:c>
      <x:c r="H451" s="10" t="s">
        <x:v>64</x:v>
      </x:c>
      <x:c r="I451" s="10"/>
      <x:c r="J451" s="10"/>
      <x:c r="K451" s="10"/>
      <x:c r="L451" s="10"/>
      <x:c r="M451" s="10">
        <x:f t="shared" si="7"/>
        <x:v>0</x:v>
      </x:c>
    </x:row>
    <x:row r="452" ht="27.600000381469727">
      <x:c r="A452" s="10">
        <x:v>451</x:v>
      </x:c>
      <x:c r="B452" s="10" t="s">
        <x:v>33</x:v>
      </x:c>
      <x:c r="C452" s="10" t="s">
        <x:v>536</x:v>
      </x:c>
      <x:c r="D452" s="10" t="s">
        <x:v>78</x:v>
      </x:c>
      <x:c r="E452" s="10" t="s">
        <x:v>544</x:v>
      </x:c>
      <x:c r="F452" s="10" t="s">
        <x:v>3</x:v>
      </x:c>
      <x:c r="G452" s="10" t="s">
        <x:v>64</x:v>
      </x:c>
      <x:c r="H452" s="10" t="s">
        <x:v>64</x:v>
      </x:c>
      <x:c r="I452" s="10"/>
      <x:c r="J452" s="10"/>
      <x:c r="K452" s="10"/>
      <x:c r="L452" s="10"/>
      <x:c r="M452" s="10">
        <x:f t="shared" si="7"/>
        <x:v>0</x:v>
      </x:c>
    </x:row>
    <x:row r="453" ht="27.600000381469727">
      <x:c r="A453" s="10">
        <x:v>452</x:v>
      </x:c>
      <x:c r="B453" s="10" t="s">
        <x:v>33</x:v>
      </x:c>
      <x:c r="C453" s="10" t="s">
        <x:v>536</x:v>
      </x:c>
      <x:c r="D453" s="10" t="s">
        <x:v>78</x:v>
      </x:c>
      <x:c r="E453" s="10" t="s">
        <x:v>545</x:v>
      </x:c>
      <x:c r="F453" s="10" t="s">
        <x:v>3</x:v>
      </x:c>
      <x:c r="G453" s="10" t="s">
        <x:v>64</x:v>
      </x:c>
      <x:c r="H453" s="10" t="s">
        <x:v>64</x:v>
      </x:c>
      <x:c r="I453" s="10"/>
      <x:c r="J453" s="10"/>
      <x:c r="K453" s="10"/>
      <x:c r="L453" s="10"/>
      <x:c r="M453" s="10">
        <x:f t="shared" si="7"/>
        <x:v>0</x:v>
      </x:c>
    </x:row>
    <x:row r="454" ht="27.600000381469727">
      <x:c r="A454" s="10">
        <x:v>453</x:v>
      </x:c>
      <x:c r="B454" s="10" t="s">
        <x:v>33</x:v>
      </x:c>
      <x:c r="C454" s="10" t="s">
        <x:v>536</x:v>
      </x:c>
      <x:c r="D454" s="10" t="s">
        <x:v>84</x:v>
      </x:c>
      <x:c r="E454" s="10" t="s">
        <x:v>546</x:v>
      </x:c>
      <x:c r="F454" s="10" t="s">
        <x:v>3</x:v>
      </x:c>
      <x:c r="G454" s="10" t="s">
        <x:v>52</x:v>
      </x:c>
      <x:c r="H454" s="10" t="s">
        <x:v>64</x:v>
      </x:c>
      <x:c r="I454" s="10"/>
      <x:c r="J454" s="10"/>
      <x:c r="K454" s="10"/>
      <x:c r="L454" s="10"/>
      <x:c r="M454" s="10">
        <x:f t="shared" si="7"/>
        <x:v>0</x:v>
      </x:c>
    </x:row>
    <x:row r="455" ht="27.600000381469727">
      <x:c r="A455" s="10">
        <x:v>454</x:v>
      </x:c>
      <x:c r="B455" s="10" t="s">
        <x:v>33</x:v>
      </x:c>
      <x:c r="C455" s="10" t="s">
        <x:v>536</x:v>
      </x:c>
      <x:c r="D455" s="10" t="s">
        <x:v>84</x:v>
      </x:c>
      <x:c r="E455" s="10" t="s">
        <x:v>547</x:v>
      </x:c>
      <x:c r="F455" s="10" t="s">
        <x:v>3</x:v>
      </x:c>
      <x:c r="G455" s="10" t="s">
        <x:v>52</x:v>
      </x:c>
      <x:c r="H455" s="10" t="s">
        <x:v>64</x:v>
      </x:c>
      <x:c r="I455" s="10"/>
      <x:c r="J455" s="10"/>
      <x:c r="K455" s="10"/>
      <x:c r="L455" s="10"/>
      <x:c r="M455" s="10">
        <x:f t="shared" si="7"/>
        <x:v>0</x:v>
      </x:c>
    </x:row>
    <x:row r="456" ht="27.600000381469727">
      <x:c r="A456" s="10">
        <x:v>455</x:v>
      </x:c>
      <x:c r="B456" s="10" t="s">
        <x:v>33</x:v>
      </x:c>
      <x:c r="C456" s="10" t="s">
        <x:v>536</x:v>
      </x:c>
      <x:c r="D456" s="10" t="s">
        <x:v>84</x:v>
      </x:c>
      <x:c r="E456" s="10" t="s">
        <x:v>548</x:v>
      </x:c>
      <x:c r="F456" s="10" t="s">
        <x:v>3</x:v>
      </x:c>
      <x:c r="G456" s="10" t="s">
        <x:v>52</x:v>
      </x:c>
      <x:c r="H456" s="10" t="s">
        <x:v>64</x:v>
      </x:c>
      <x:c r="I456" s="10"/>
      <x:c r="J456" s="10"/>
      <x:c r="K456" s="10"/>
      <x:c r="L456" s="10"/>
      <x:c r="M456" s="10">
        <x:f t="shared" si="7"/>
        <x:v>0</x:v>
      </x:c>
    </x:row>
    <x:row r="457" ht="27.600000381469727">
      <x:c r="A457" s="10">
        <x:v>456</x:v>
      </x:c>
      <x:c r="B457" s="10" t="s">
        <x:v>33</x:v>
      </x:c>
      <x:c r="C457" s="10" t="s">
        <x:v>536</x:v>
      </x:c>
      <x:c r="D457" s="10" t="s">
        <x:v>84</x:v>
      </x:c>
      <x:c r="E457" s="10" t="s">
        <x:v>549</x:v>
      </x:c>
      <x:c r="F457" s="10" t="s">
        <x:v>3</x:v>
      </x:c>
      <x:c r="G457" s="10" t="s">
        <x:v>52</x:v>
      </x:c>
      <x:c r="H457" s="10" t="s">
        <x:v>64</x:v>
      </x:c>
      <x:c r="I457" s="10"/>
      <x:c r="J457" s="10"/>
      <x:c r="K457" s="10"/>
      <x:c r="L457" s="10"/>
      <x:c r="M457" s="10">
        <x:f t="shared" si="7"/>
        <x:v>0</x:v>
      </x:c>
    </x:row>
    <x:row r="458" ht="27.600000381469727">
      <x:c r="A458" s="10">
        <x:v>457</x:v>
      </x:c>
      <x:c r="B458" s="10" t="s">
        <x:v>34</x:v>
      </x:c>
      <x:c r="C458" s="10" t="s">
        <x:v>550</x:v>
      </x:c>
      <x:c r="D458" s="10" t="s">
        <x:v>62</x:v>
      </x:c>
      <x:c r="E458" s="10" t="s">
        <x:v>551</x:v>
      </x:c>
      <x:c r="F458" s="10" t="s">
        <x:v>3</x:v>
      </x:c>
      <x:c r="G458" s="10" t="s">
        <x:v>64</x:v>
      </x:c>
      <x:c r="H458" s="10" t="s">
        <x:v>64</x:v>
      </x:c>
      <x:c r="I458" s="10"/>
      <x:c r="J458" s="10"/>
      <x:c r="K458" s="10"/>
      <x:c r="L458" s="10"/>
      <x:c r="M458" s="10">
        <x:f t="shared" si="7"/>
        <x:v>0</x:v>
      </x:c>
    </x:row>
    <x:row r="459" ht="27.600000381469727">
      <x:c r="A459" s="10">
        <x:v>458</x:v>
      </x:c>
      <x:c r="B459" s="10" t="s">
        <x:v>34</x:v>
      </x:c>
      <x:c r="C459" s="10" t="s">
        <x:v>550</x:v>
      </x:c>
      <x:c r="D459" s="10" t="s">
        <x:v>62</x:v>
      </x:c>
      <x:c r="E459" s="10" t="s">
        <x:v>552</x:v>
      </x:c>
      <x:c r="F459" s="10" t="s">
        <x:v>3</x:v>
      </x:c>
      <x:c r="G459" s="10" t="s">
        <x:v>64</x:v>
      </x:c>
      <x:c r="H459" s="10" t="s">
        <x:v>64</x:v>
      </x:c>
      <x:c r="I459" s="10"/>
      <x:c r="J459" s="10"/>
      <x:c r="K459" s="10"/>
      <x:c r="L459" s="10"/>
      <x:c r="M459" s="10">
        <x:f t="shared" si="7"/>
        <x:v>0</x:v>
      </x:c>
    </x:row>
    <x:row r="460" ht="27.600000381469727">
      <x:c r="A460" s="10">
        <x:v>459</x:v>
      </x:c>
      <x:c r="B460" s="10" t="s">
        <x:v>34</x:v>
      </x:c>
      <x:c r="C460" s="10" t="s">
        <x:v>550</x:v>
      </x:c>
      <x:c r="D460" s="10" t="s">
        <x:v>62</x:v>
      </x:c>
      <x:c r="E460" s="10" t="s">
        <x:v>553</x:v>
      </x:c>
      <x:c r="F460" s="10" t="s">
        <x:v>3</x:v>
      </x:c>
      <x:c r="G460" s="10" t="s">
        <x:v>64</x:v>
      </x:c>
      <x:c r="H460" s="10" t="s">
        <x:v>64</x:v>
      </x:c>
      <x:c r="I460" s="10"/>
      <x:c r="J460" s="10"/>
      <x:c r="K460" s="10"/>
      <x:c r="L460" s="10"/>
      <x:c r="M460" s="10">
        <x:f t="shared" si="7"/>
        <x:v>0</x:v>
      </x:c>
    </x:row>
    <x:row r="461" ht="27.600000381469727">
      <x:c r="A461" s="10">
        <x:v>460</x:v>
      </x:c>
      <x:c r="B461" s="10" t="s">
        <x:v>34</x:v>
      </x:c>
      <x:c r="C461" s="10" t="s">
        <x:v>550</x:v>
      </x:c>
      <x:c r="D461" s="10" t="s">
        <x:v>62</x:v>
      </x:c>
      <x:c r="E461" s="10" t="s">
        <x:v>554</x:v>
      </x:c>
      <x:c r="F461" s="10" t="s">
        <x:v>3</x:v>
      </x:c>
      <x:c r="G461" s="10" t="s">
        <x:v>64</x:v>
      </x:c>
      <x:c r="H461" s="10" t="s">
        <x:v>64</x:v>
      </x:c>
      <x:c r="I461" s="10"/>
      <x:c r="J461" s="10"/>
      <x:c r="K461" s="10"/>
      <x:c r="L461" s="10"/>
      <x:c r="M461" s="10">
        <x:f t="shared" si="7"/>
        <x:v>0</x:v>
      </x:c>
    </x:row>
    <x:row r="462" ht="27.600000381469727">
      <x:c r="A462" s="10">
        <x:v>461</x:v>
      </x:c>
      <x:c r="B462" s="10" t="s">
        <x:v>34</x:v>
      </x:c>
      <x:c r="C462" s="10" t="s">
        <x:v>550</x:v>
      </x:c>
      <x:c r="D462" s="10" t="s">
        <x:v>62</x:v>
      </x:c>
      <x:c r="E462" s="10" t="s">
        <x:v>555</x:v>
      </x:c>
      <x:c r="F462" s="10" t="s">
        <x:v>3</x:v>
      </x:c>
      <x:c r="G462" s="10" t="s">
        <x:v>64</x:v>
      </x:c>
      <x:c r="H462" s="10" t="s">
        <x:v>64</x:v>
      </x:c>
      <x:c r="I462" s="10"/>
      <x:c r="J462" s="10"/>
      <x:c r="K462" s="10"/>
      <x:c r="L462" s="10"/>
      <x:c r="M462" s="10">
        <x:f t="shared" si="7"/>
        <x:v>0</x:v>
      </x:c>
    </x:row>
    <x:row r="463" ht="27.600000381469727">
      <x:c r="A463" s="10">
        <x:v>462</x:v>
      </x:c>
      <x:c r="B463" s="10" t="s">
        <x:v>34</x:v>
      </x:c>
      <x:c r="C463" s="10" t="s">
        <x:v>550</x:v>
      </x:c>
      <x:c r="D463" s="10" t="s">
        <x:v>62</x:v>
      </x:c>
      <x:c r="E463" s="10" t="s">
        <x:v>556</x:v>
      </x:c>
      <x:c r="F463" s="10" t="s">
        <x:v>3</x:v>
      </x:c>
      <x:c r="G463" s="10" t="s">
        <x:v>64</x:v>
      </x:c>
      <x:c r="H463" s="10" t="s">
        <x:v>64</x:v>
      </x:c>
      <x:c r="I463" s="10"/>
      <x:c r="J463" s="10"/>
      <x:c r="K463" s="10"/>
      <x:c r="L463" s="10"/>
      <x:c r="M463" s="10">
        <x:f t="shared" si="7"/>
        <x:v>0</x:v>
      </x:c>
    </x:row>
    <x:row r="464" ht="27.600000381469727">
      <x:c r="A464" s="10">
        <x:v>463</x:v>
      </x:c>
      <x:c r="B464" s="10" t="s">
        <x:v>34</x:v>
      </x:c>
      <x:c r="C464" s="10" t="s">
        <x:v>550</x:v>
      </x:c>
      <x:c r="D464" s="10" t="s">
        <x:v>62</x:v>
      </x:c>
      <x:c r="E464" s="10" t="s">
        <x:v>557</x:v>
      </x:c>
      <x:c r="F464" s="10" t="s">
        <x:v>3</x:v>
      </x:c>
      <x:c r="G464" s="10" t="s">
        <x:v>64</x:v>
      </x:c>
      <x:c r="H464" s="10" t="s">
        <x:v>64</x:v>
      </x:c>
      <x:c r="I464" s="10"/>
      <x:c r="J464" s="10"/>
      <x:c r="K464" s="10"/>
      <x:c r="L464" s="10"/>
      <x:c r="M464" s="10">
        <x:f t="shared" si="7"/>
        <x:v>0</x:v>
      </x:c>
    </x:row>
    <x:row r="465" ht="27.600000381469727">
      <x:c r="A465" s="10">
        <x:v>464</x:v>
      </x:c>
      <x:c r="B465" s="10" t="s">
        <x:v>34</x:v>
      </x:c>
      <x:c r="C465" s="10" t="s">
        <x:v>550</x:v>
      </x:c>
      <x:c r="D465" s="10" t="s">
        <x:v>62</x:v>
      </x:c>
      <x:c r="E465" s="10" t="s">
        <x:v>558</x:v>
      </x:c>
      <x:c r="F465" s="10" t="s">
        <x:v>3</x:v>
      </x:c>
      <x:c r="G465" s="10" t="s">
        <x:v>64</x:v>
      </x:c>
      <x:c r="H465" s="10" t="s">
        <x:v>64</x:v>
      </x:c>
      <x:c r="I465" s="10"/>
      <x:c r="J465" s="10"/>
      <x:c r="K465" s="10"/>
      <x:c r="L465" s="10"/>
      <x:c r="M465" s="10">
        <x:f t="shared" si="7"/>
        <x:v>0</x:v>
      </x:c>
    </x:row>
    <x:row r="466" ht="27.600000381469727">
      <x:c r="A466" s="10">
        <x:v>465</x:v>
      </x:c>
      <x:c r="B466" s="10" t="s">
        <x:v>34</x:v>
      </x:c>
      <x:c r="C466" s="10" t="s">
        <x:v>550</x:v>
      </x:c>
      <x:c r="D466" s="10" t="s">
        <x:v>62</x:v>
      </x:c>
      <x:c r="E466" s="10" t="s">
        <x:v>559</x:v>
      </x:c>
      <x:c r="F466" s="10" t="s">
        <x:v>3</x:v>
      </x:c>
      <x:c r="G466" s="10" t="s">
        <x:v>64</x:v>
      </x:c>
      <x:c r="H466" s="10" t="s">
        <x:v>64</x:v>
      </x:c>
      <x:c r="I466" s="10"/>
      <x:c r="J466" s="10"/>
      <x:c r="K466" s="10"/>
      <x:c r="L466" s="10"/>
      <x:c r="M466" s="10">
        <x:f t="shared" si="7"/>
        <x:v>0</x:v>
      </x:c>
    </x:row>
    <x:row r="467" ht="27.600000381469727">
      <x:c r="A467" s="10">
        <x:v>466</x:v>
      </x:c>
      <x:c r="B467" s="10" t="s">
        <x:v>34</x:v>
      </x:c>
      <x:c r="C467" s="10" t="s">
        <x:v>550</x:v>
      </x:c>
      <x:c r="D467" s="10" t="s">
        <x:v>62</x:v>
      </x:c>
      <x:c r="E467" s="10" t="s">
        <x:v>560</x:v>
      </x:c>
      <x:c r="F467" s="10" t="s">
        <x:v>3</x:v>
      </x:c>
      <x:c r="G467" s="10" t="s">
        <x:v>64</x:v>
      </x:c>
      <x:c r="H467" s="10" t="s">
        <x:v>64</x:v>
      </x:c>
      <x:c r="I467" s="10"/>
      <x:c r="J467" s="10"/>
      <x:c r="K467" s="10"/>
      <x:c r="L467" s="10"/>
      <x:c r="M467" s="10">
        <x:f t="shared" si="7"/>
        <x:v>0</x:v>
      </x:c>
    </x:row>
    <x:row r="468" ht="27.600000381469727">
      <x:c r="A468" s="10">
        <x:v>467</x:v>
      </x:c>
      <x:c r="B468" s="10" t="s">
        <x:v>34</x:v>
      </x:c>
      <x:c r="C468" s="10" t="s">
        <x:v>550</x:v>
      </x:c>
      <x:c r="D468" s="10" t="s">
        <x:v>78</x:v>
      </x:c>
      <x:c r="E468" s="10" t="s">
        <x:v>561</x:v>
      </x:c>
      <x:c r="F468" s="10" t="s">
        <x:v>3</x:v>
      </x:c>
      <x:c r="G468" s="10" t="s">
        <x:v>64</x:v>
      </x:c>
      <x:c r="H468" s="10" t="s">
        <x:v>64</x:v>
      </x:c>
      <x:c r="I468" s="10"/>
      <x:c r="J468" s="10"/>
      <x:c r="K468" s="10"/>
      <x:c r="L468" s="10"/>
      <x:c r="M468" s="10">
        <x:f t="shared" si="7"/>
        <x:v>0</x:v>
      </x:c>
    </x:row>
    <x:row r="469" ht="27.600000381469727">
      <x:c r="A469" s="10">
        <x:v>468</x:v>
      </x:c>
      <x:c r="B469" s="10" t="s">
        <x:v>34</x:v>
      </x:c>
      <x:c r="C469" s="10" t="s">
        <x:v>550</x:v>
      </x:c>
      <x:c r="D469" s="10" t="s">
        <x:v>78</x:v>
      </x:c>
      <x:c r="E469" s="10" t="s">
        <x:v>562</x:v>
      </x:c>
      <x:c r="F469" s="10" t="s">
        <x:v>3</x:v>
      </x:c>
      <x:c r="G469" s="10" t="s">
        <x:v>64</x:v>
      </x:c>
      <x:c r="H469" s="10" t="s">
        <x:v>64</x:v>
      </x:c>
      <x:c r="I469" s="10"/>
      <x:c r="J469" s="10"/>
      <x:c r="K469" s="10"/>
      <x:c r="L469" s="10"/>
      <x:c r="M469" s="10">
        <x:f t="shared" si="7"/>
        <x:v>0</x:v>
      </x:c>
    </x:row>
    <x:row r="470" ht="27.600000381469727">
      <x:c r="A470" s="10">
        <x:v>469</x:v>
      </x:c>
      <x:c r="B470" s="10" t="s">
        <x:v>34</x:v>
      </x:c>
      <x:c r="C470" s="10" t="s">
        <x:v>550</x:v>
      </x:c>
      <x:c r="D470" s="10" t="s">
        <x:v>78</x:v>
      </x:c>
      <x:c r="E470" s="10" t="s">
        <x:v>563</x:v>
      </x:c>
      <x:c r="F470" s="10" t="s">
        <x:v>3</x:v>
      </x:c>
      <x:c r="G470" s="10" t="s">
        <x:v>64</x:v>
      </x:c>
      <x:c r="H470" s="10" t="s">
        <x:v>64</x:v>
      </x:c>
      <x:c r="I470" s="10"/>
      <x:c r="J470" s="10"/>
      <x:c r="K470" s="10"/>
      <x:c r="L470" s="10"/>
      <x:c r="M470" s="10">
        <x:f t="shared" si="7"/>
        <x:v>0</x:v>
      </x:c>
    </x:row>
    <x:row r="471" ht="27.600000381469727">
      <x:c r="A471" s="10">
        <x:v>470</x:v>
      </x:c>
      <x:c r="B471" s="10" t="s">
        <x:v>34</x:v>
      </x:c>
      <x:c r="C471" s="10" t="s">
        <x:v>550</x:v>
      </x:c>
      <x:c r="D471" s="10" t="s">
        <x:v>78</x:v>
      </x:c>
      <x:c r="E471" s="10" t="s">
        <x:v>478</x:v>
      </x:c>
      <x:c r="F471" s="10" t="s">
        <x:v>3</x:v>
      </x:c>
      <x:c r="G471" s="10" t="s">
        <x:v>64</x:v>
      </x:c>
      <x:c r="H471" s="10" t="s">
        <x:v>64</x:v>
      </x:c>
      <x:c r="I471" s="10"/>
      <x:c r="J471" s="10"/>
      <x:c r="K471" s="10"/>
      <x:c r="L471" s="10"/>
      <x:c r="M471" s="10">
        <x:f t="shared" si="7"/>
        <x:v>0</x:v>
      </x:c>
    </x:row>
    <x:row r="472" ht="27.600000381469727">
      <x:c r="A472" s="10">
        <x:v>471</x:v>
      </x:c>
      <x:c r="B472" s="10" t="s">
        <x:v>34</x:v>
      </x:c>
      <x:c r="C472" s="10" t="s">
        <x:v>550</x:v>
      </x:c>
      <x:c r="D472" s="10" t="s">
        <x:v>84</x:v>
      </x:c>
      <x:c r="E472" s="10" t="s">
        <x:v>564</x:v>
      </x:c>
      <x:c r="F472" s="10" t="s">
        <x:v>3</x:v>
      </x:c>
      <x:c r="G472" s="10" t="s">
        <x:v>52</x:v>
      </x:c>
      <x:c r="H472" s="10" t="s">
        <x:v>64</x:v>
      </x:c>
      <x:c r="I472" s="10"/>
      <x:c r="J472" s="10"/>
      <x:c r="K472" s="10"/>
      <x:c r="L472" s="10"/>
      <x:c r="M472" s="10">
        <x:f t="shared" si="7"/>
        <x:v>0</x:v>
      </x:c>
    </x:row>
    <x:row r="473" ht="27.600000381469727">
      <x:c r="A473" s="10">
        <x:v>472</x:v>
      </x:c>
      <x:c r="B473" s="10" t="s">
        <x:v>34</x:v>
      </x:c>
      <x:c r="C473" s="10" t="s">
        <x:v>550</x:v>
      </x:c>
      <x:c r="D473" s="10" t="s">
        <x:v>84</x:v>
      </x:c>
      <x:c r="E473" s="10" t="s">
        <x:v>565</x:v>
      </x:c>
      <x:c r="F473" s="10" t="s">
        <x:v>3</x:v>
      </x:c>
      <x:c r="G473" s="10" t="s">
        <x:v>52</x:v>
      </x:c>
      <x:c r="H473" s="10" t="s">
        <x:v>64</x:v>
      </x:c>
      <x:c r="I473" s="10"/>
      <x:c r="J473" s="10"/>
      <x:c r="K473" s="10"/>
      <x:c r="L473" s="10"/>
      <x:c r="M473" s="10">
        <x:f t="shared" si="7"/>
        <x:v>0</x:v>
      </x:c>
    </x:row>
    <x:row r="474" ht="27.600000381469727">
      <x:c r="A474" s="10">
        <x:v>473</x:v>
      </x:c>
      <x:c r="B474" s="10" t="s">
        <x:v>34</x:v>
      </x:c>
      <x:c r="C474" s="10" t="s">
        <x:v>566</x:v>
      </x:c>
      <x:c r="D474" s="10" t="s">
        <x:v>62</x:v>
      </x:c>
      <x:c r="E474" s="10" t="s">
        <x:v>567</x:v>
      </x:c>
      <x:c r="F474" s="10" t="s">
        <x:v>3</x:v>
      </x:c>
      <x:c r="G474" s="10" t="s">
        <x:v>64</x:v>
      </x:c>
      <x:c r="H474" s="10" t="s">
        <x:v>64</x:v>
      </x:c>
      <x:c r="I474" s="10"/>
      <x:c r="J474" s="10"/>
      <x:c r="K474" s="10"/>
      <x:c r="L474" s="10"/>
      <x:c r="M474" s="10">
        <x:f t="shared" si="7"/>
        <x:v>0</x:v>
      </x:c>
    </x:row>
    <x:row r="475" ht="27.600000381469727">
      <x:c r="A475" s="10">
        <x:v>474</x:v>
      </x:c>
      <x:c r="B475" s="10" t="s">
        <x:v>34</x:v>
      </x:c>
      <x:c r="C475" s="10" t="s">
        <x:v>566</x:v>
      </x:c>
      <x:c r="D475" s="10" t="s">
        <x:v>62</x:v>
      </x:c>
      <x:c r="E475" s="10" t="s">
        <x:v>568</x:v>
      </x:c>
      <x:c r="F475" s="10" t="s">
        <x:v>3</x:v>
      </x:c>
      <x:c r="G475" s="10" t="s">
        <x:v>64</x:v>
      </x:c>
      <x:c r="H475" s="10" t="s">
        <x:v>64</x:v>
      </x:c>
      <x:c r="I475" s="10"/>
      <x:c r="J475" s="10"/>
      <x:c r="K475" s="10"/>
      <x:c r="L475" s="10"/>
      <x:c r="M475" s="10">
        <x:f t="shared" si="7"/>
        <x:v>0</x:v>
      </x:c>
    </x:row>
    <x:row r="476" ht="27.600000381469727">
      <x:c r="A476" s="10">
        <x:v>475</x:v>
      </x:c>
      <x:c r="B476" s="10" t="s">
        <x:v>34</x:v>
      </x:c>
      <x:c r="C476" s="10" t="s">
        <x:v>566</x:v>
      </x:c>
      <x:c r="D476" s="10" t="s">
        <x:v>62</x:v>
      </x:c>
      <x:c r="E476" s="10" t="s">
        <x:v>569</x:v>
      </x:c>
      <x:c r="F476" s="10" t="s">
        <x:v>3</x:v>
      </x:c>
      <x:c r="G476" s="10" t="s">
        <x:v>64</x:v>
      </x:c>
      <x:c r="H476" s="10" t="s">
        <x:v>64</x:v>
      </x:c>
      <x:c r="I476" s="10"/>
      <x:c r="J476" s="10"/>
      <x:c r="K476" s="10"/>
      <x:c r="L476" s="10"/>
      <x:c r="M476" s="10">
        <x:f t="shared" si="7"/>
        <x:v>0</x:v>
      </x:c>
    </x:row>
    <x:row r="477" ht="27.600000381469727">
      <x:c r="A477" s="10">
        <x:v>476</x:v>
      </x:c>
      <x:c r="B477" s="10" t="s">
        <x:v>34</x:v>
      </x:c>
      <x:c r="C477" s="10" t="s">
        <x:v>566</x:v>
      </x:c>
      <x:c r="D477" s="10" t="s">
        <x:v>62</x:v>
      </x:c>
      <x:c r="E477" s="10" t="s">
        <x:v>570</x:v>
      </x:c>
      <x:c r="F477" s="10" t="s">
        <x:v>3</x:v>
      </x:c>
      <x:c r="G477" s="10" t="s">
        <x:v>64</x:v>
      </x:c>
      <x:c r="H477" s="10" t="s">
        <x:v>64</x:v>
      </x:c>
      <x:c r="I477" s="10"/>
      <x:c r="J477" s="10"/>
      <x:c r="K477" s="10"/>
      <x:c r="L477" s="10"/>
      <x:c r="M477" s="10">
        <x:f t="shared" si="7"/>
        <x:v>0</x:v>
      </x:c>
    </x:row>
    <x:row r="478" ht="27.600000381469727">
      <x:c r="A478" s="10">
        <x:v>477</x:v>
      </x:c>
      <x:c r="B478" s="10" t="s">
        <x:v>34</x:v>
      </x:c>
      <x:c r="C478" s="10" t="s">
        <x:v>566</x:v>
      </x:c>
      <x:c r="D478" s="10" t="s">
        <x:v>62</x:v>
      </x:c>
      <x:c r="E478" s="10" t="s">
        <x:v>571</x:v>
      </x:c>
      <x:c r="F478" s="10" t="s">
        <x:v>3</x:v>
      </x:c>
      <x:c r="G478" s="10" t="s">
        <x:v>64</x:v>
      </x:c>
      <x:c r="H478" s="10" t="s">
        <x:v>64</x:v>
      </x:c>
      <x:c r="I478" s="10"/>
      <x:c r="J478" s="10"/>
      <x:c r="K478" s="10"/>
      <x:c r="L478" s="10"/>
      <x:c r="M478" s="10">
        <x:f t="shared" si="7"/>
        <x:v>0</x:v>
      </x:c>
    </x:row>
    <x:row r="479" ht="27.600000381469727">
      <x:c r="A479" s="10">
        <x:v>478</x:v>
      </x:c>
      <x:c r="B479" s="10" t="s">
        <x:v>34</x:v>
      </x:c>
      <x:c r="C479" s="10" t="s">
        <x:v>566</x:v>
      </x:c>
      <x:c r="D479" s="10" t="s">
        <x:v>62</x:v>
      </x:c>
      <x:c r="E479" s="10" t="s">
        <x:v>572</x:v>
      </x:c>
      <x:c r="F479" s="10" t="s">
        <x:v>3</x:v>
      </x:c>
      <x:c r="G479" s="10" t="s">
        <x:v>64</x:v>
      </x:c>
      <x:c r="H479" s="10" t="s">
        <x:v>64</x:v>
      </x:c>
      <x:c r="I479" s="10"/>
      <x:c r="J479" s="10"/>
      <x:c r="K479" s="10"/>
      <x:c r="L479" s="10"/>
      <x:c r="M479" s="10">
        <x:f t="shared" si="7"/>
        <x:v>0</x:v>
      </x:c>
    </x:row>
    <x:row r="480" ht="27.600000381469727">
      <x:c r="A480" s="10">
        <x:v>479</x:v>
      </x:c>
      <x:c r="B480" s="10" t="s">
        <x:v>34</x:v>
      </x:c>
      <x:c r="C480" s="10" t="s">
        <x:v>566</x:v>
      </x:c>
      <x:c r="D480" s="10" t="s">
        <x:v>62</x:v>
      </x:c>
      <x:c r="E480" s="10" t="s">
        <x:v>573</x:v>
      </x:c>
      <x:c r="F480" s="10" t="s">
        <x:v>3</x:v>
      </x:c>
      <x:c r="G480" s="10" t="s">
        <x:v>64</x:v>
      </x:c>
      <x:c r="H480" s="10" t="s">
        <x:v>64</x:v>
      </x:c>
      <x:c r="I480" s="10"/>
      <x:c r="J480" s="10"/>
      <x:c r="K480" s="10"/>
      <x:c r="L480" s="10"/>
      <x:c r="M480" s="10">
        <x:f t="shared" si="7"/>
        <x:v>0</x:v>
      </x:c>
    </x:row>
    <x:row r="481" ht="27.600000381469727">
      <x:c r="A481" s="10">
        <x:v>480</x:v>
      </x:c>
      <x:c r="B481" s="10" t="s">
        <x:v>34</x:v>
      </x:c>
      <x:c r="C481" s="10" t="s">
        <x:v>566</x:v>
      </x:c>
      <x:c r="D481" s="10" t="s">
        <x:v>62</x:v>
      </x:c>
      <x:c r="E481" s="10" t="s">
        <x:v>574</x:v>
      </x:c>
      <x:c r="F481" s="10" t="s">
        <x:v>3</x:v>
      </x:c>
      <x:c r="G481" s="10" t="s">
        <x:v>64</x:v>
      </x:c>
      <x:c r="H481" s="10" t="s">
        <x:v>64</x:v>
      </x:c>
      <x:c r="I481" s="10"/>
      <x:c r="J481" s="10"/>
      <x:c r="K481" s="10"/>
      <x:c r="L481" s="10"/>
      <x:c r="M481" s="10">
        <x:f t="shared" si="7"/>
        <x:v>0</x:v>
      </x:c>
    </x:row>
    <x:row r="482" ht="27.600000381469727">
      <x:c r="A482" s="10">
        <x:v>481</x:v>
      </x:c>
      <x:c r="B482" s="10" t="s">
        <x:v>34</x:v>
      </x:c>
      <x:c r="C482" s="10" t="s">
        <x:v>566</x:v>
      </x:c>
      <x:c r="D482" s="10" t="s">
        <x:v>62</x:v>
      </x:c>
      <x:c r="E482" s="10" t="s">
        <x:v>575</x:v>
      </x:c>
      <x:c r="F482" s="10" t="s">
        <x:v>3</x:v>
      </x:c>
      <x:c r="G482" s="10" t="s">
        <x:v>64</x:v>
      </x:c>
      <x:c r="H482" s="10" t="s">
        <x:v>64</x:v>
      </x:c>
      <x:c r="I482" s="10"/>
      <x:c r="J482" s="10"/>
      <x:c r="K482" s="10"/>
      <x:c r="L482" s="10"/>
      <x:c r="M482" s="10">
        <x:f t="shared" si="7"/>
        <x:v>0</x:v>
      </x:c>
    </x:row>
    <x:row r="483" ht="27.600000381469727">
      <x:c r="A483" s="10">
        <x:v>482</x:v>
      </x:c>
      <x:c r="B483" s="10" t="s">
        <x:v>34</x:v>
      </x:c>
      <x:c r="C483" s="10" t="s">
        <x:v>566</x:v>
      </x:c>
      <x:c r="D483" s="10" t="s">
        <x:v>62</x:v>
      </x:c>
      <x:c r="E483" s="10" t="s">
        <x:v>576</x:v>
      </x:c>
      <x:c r="F483" s="10" t="s">
        <x:v>3</x:v>
      </x:c>
      <x:c r="G483" s="10" t="s">
        <x:v>64</x:v>
      </x:c>
      <x:c r="H483" s="10" t="s">
        <x:v>64</x:v>
      </x:c>
      <x:c r="I483" s="10"/>
      <x:c r="J483" s="10"/>
      <x:c r="K483" s="10"/>
      <x:c r="L483" s="10"/>
      <x:c r="M483" s="10">
        <x:f t="shared" si="7"/>
        <x:v>0</x:v>
      </x:c>
    </x:row>
    <x:row r="484" ht="27.600000381469727">
      <x:c r="A484" s="10">
        <x:v>483</x:v>
      </x:c>
      <x:c r="B484" s="10" t="s">
        <x:v>34</x:v>
      </x:c>
      <x:c r="C484" s="10" t="s">
        <x:v>566</x:v>
      </x:c>
      <x:c r="D484" s="10" t="s">
        <x:v>78</x:v>
      </x:c>
      <x:c r="E484" s="10" t="s">
        <x:v>577</x:v>
      </x:c>
      <x:c r="F484" s="10" t="s">
        <x:v>3</x:v>
      </x:c>
      <x:c r="G484" s="10" t="s">
        <x:v>64</x:v>
      </x:c>
      <x:c r="H484" s="10" t="s">
        <x:v>64</x:v>
      </x:c>
      <x:c r="I484" s="10"/>
      <x:c r="J484" s="10"/>
      <x:c r="K484" s="10"/>
      <x:c r="L484" s="10"/>
      <x:c r="M484" s="10">
        <x:f t="shared" si="7"/>
        <x:v>0</x:v>
      </x:c>
    </x:row>
    <x:row r="485" ht="27.600000381469727">
      <x:c r="A485" s="10">
        <x:v>484</x:v>
      </x:c>
      <x:c r="B485" s="10" t="s">
        <x:v>34</x:v>
      </x:c>
      <x:c r="C485" s="10" t="s">
        <x:v>566</x:v>
      </x:c>
      <x:c r="D485" s="10" t="s">
        <x:v>78</x:v>
      </x:c>
      <x:c r="E485" s="10" t="s">
        <x:v>578</x:v>
      </x:c>
      <x:c r="F485" s="10" t="s">
        <x:v>3</x:v>
      </x:c>
      <x:c r="G485" s="10" t="s">
        <x:v>64</x:v>
      </x:c>
      <x:c r="H485" s="10" t="s">
        <x:v>64</x:v>
      </x:c>
      <x:c r="I485" s="10"/>
      <x:c r="J485" s="10"/>
      <x:c r="K485" s="10"/>
      <x:c r="L485" s="10"/>
      <x:c r="M485" s="10">
        <x:f t="shared" si="7"/>
        <x:v>0</x:v>
      </x:c>
    </x:row>
    <x:row r="486" ht="27.600000381469727">
      <x:c r="A486" s="10">
        <x:v>485</x:v>
      </x:c>
      <x:c r="B486" s="10" t="s">
        <x:v>34</x:v>
      </x:c>
      <x:c r="C486" s="10" t="s">
        <x:v>566</x:v>
      </x:c>
      <x:c r="D486" s="10" t="s">
        <x:v>84</x:v>
      </x:c>
      <x:c r="E486" s="10" t="s">
        <x:v>579</x:v>
      </x:c>
      <x:c r="F486" s="10" t="s">
        <x:v>3</x:v>
      </x:c>
      <x:c r="G486" s="10" t="s">
        <x:v>52</x:v>
      </x:c>
      <x:c r="H486" s="10" t="s">
        <x:v>64</x:v>
      </x:c>
      <x:c r="I486" s="10"/>
      <x:c r="J486" s="10"/>
      <x:c r="K486" s="10"/>
      <x:c r="L486" s="10"/>
      <x:c r="M486" s="10">
        <x:f t="shared" si="7"/>
        <x:v>0</x:v>
      </x:c>
    </x:row>
    <x:row r="487" ht="27.600000381469727">
      <x:c r="A487" s="10">
        <x:v>486</x:v>
      </x:c>
      <x:c r="B487" s="10" t="s">
        <x:v>34</x:v>
      </x:c>
      <x:c r="C487" s="10" t="s">
        <x:v>566</x:v>
      </x:c>
      <x:c r="D487" s="10" t="s">
        <x:v>84</x:v>
      </x:c>
      <x:c r="E487" s="10" t="s">
        <x:v>580</x:v>
      </x:c>
      <x:c r="F487" s="10" t="s">
        <x:v>3</x:v>
      </x:c>
      <x:c r="G487" s="10" t="s">
        <x:v>52</x:v>
      </x:c>
      <x:c r="H487" s="10" t="s">
        <x:v>64</x:v>
      </x:c>
      <x:c r="I487" s="10"/>
      <x:c r="J487" s="10"/>
      <x:c r="K487" s="10"/>
      <x:c r="L487" s="10"/>
      <x:c r="M487" s="10">
        <x:f t="shared" si="7"/>
        <x:v>0</x:v>
      </x:c>
    </x:row>
    <x:row r="488" ht="27.600000381469727">
      <x:c r="A488" s="10">
        <x:v>487</x:v>
      </x:c>
      <x:c r="B488" s="10" t="s">
        <x:v>34</x:v>
      </x:c>
      <x:c r="C488" s="10" t="s">
        <x:v>566</x:v>
      </x:c>
      <x:c r="D488" s="10" t="s">
        <x:v>84</x:v>
      </x:c>
      <x:c r="E488" s="10" t="s">
        <x:v>581</x:v>
      </x:c>
      <x:c r="F488" s="10" t="s">
        <x:v>3</x:v>
      </x:c>
      <x:c r="G488" s="10" t="s">
        <x:v>52</x:v>
      </x:c>
      <x:c r="H488" s="10" t="s">
        <x:v>64</x:v>
      </x:c>
      <x:c r="I488" s="10"/>
      <x:c r="J488" s="10"/>
      <x:c r="K488" s="10"/>
      <x:c r="L488" s="10"/>
      <x:c r="M488" s="10">
        <x:f t="shared" si="7"/>
        <x:v>0</x:v>
      </x:c>
    </x:row>
    <x:row r="489" ht="27.600000381469727">
      <x:c r="A489" s="10">
        <x:v>488</x:v>
      </x:c>
      <x:c r="B489" s="10" t="s">
        <x:v>34</x:v>
      </x:c>
      <x:c r="C489" s="10" t="s">
        <x:v>566</x:v>
      </x:c>
      <x:c r="D489" s="10" t="s">
        <x:v>84</x:v>
      </x:c>
      <x:c r="E489" s="10" t="s">
        <x:v>582</x:v>
      </x:c>
      <x:c r="F489" s="10" t="s">
        <x:v>3</x:v>
      </x:c>
      <x:c r="G489" s="10" t="s">
        <x:v>52</x:v>
      </x:c>
      <x:c r="H489" s="10" t="s">
        <x:v>64</x:v>
      </x:c>
      <x:c r="I489" s="10"/>
      <x:c r="J489" s="10"/>
      <x:c r="K489" s="10"/>
      <x:c r="L489" s="10"/>
      <x:c r="M489" s="10">
        <x:f t="shared" si="7"/>
        <x:v>0</x:v>
      </x:c>
    </x:row>
    <x:row r="490">
      <x:c r="A490" s="10">
        <x:v>489</x:v>
      </x:c>
      <x:c r="B490" s="10" t="s">
        <x:v>35</x:v>
      </x:c>
      <x:c r="C490" s="10" t="s">
        <x:v>583</x:v>
      </x:c>
      <x:c r="D490" s="10" t="s">
        <x:v>584</x:v>
      </x:c>
      <x:c r="E490" s="10" t="s">
        <x:v>585</x:v>
      </x:c>
      <x:c r="F490" s="10" t="s">
        <x:v>3</x:v>
      </x:c>
      <x:c r="G490" s="10" t="s">
        <x:v>52</x:v>
      </x:c>
      <x:c r="H490" s="10" t="s">
        <x:v>64</x:v>
      </x:c>
      <x:c r="I490" s="10"/>
      <x:c r="J490" s="10"/>
      <x:c r="K490" s="10"/>
      <x:c r="L490" s="10"/>
      <x:c r="M490" s="10">
        <x:f t="shared" si="7"/>
        <x:v>0</x:v>
      </x:c>
    </x:row>
    <x:row r="491">
      <x:c r="A491" s="10">
        <x:v>490</x:v>
      </x:c>
      <x:c r="B491" s="10" t="s">
        <x:v>35</x:v>
      </x:c>
      <x:c r="C491" s="10" t="s">
        <x:v>583</x:v>
      </x:c>
      <x:c r="D491" s="10" t="s">
        <x:v>584</x:v>
      </x:c>
      <x:c r="E491" s="10" t="s">
        <x:v>586</x:v>
      </x:c>
      <x:c r="F491" s="10" t="s">
        <x:v>3</x:v>
      </x:c>
      <x:c r="G491" s="10" t="s">
        <x:v>52</x:v>
      </x:c>
      <x:c r="H491" s="10" t="s">
        <x:v>52</x:v>
      </x:c>
      <x:c r="I491" s="10"/>
      <x:c r="J491" s="10"/>
      <x:c r="K491" s="10"/>
      <x:c r="L491" s="10"/>
      <x:c r="M491" s="10">
        <x:f t="shared" si="7"/>
        <x:v>0</x:v>
      </x:c>
    </x:row>
    <x:row r="492">
      <x:c r="A492" s="10">
        <x:v>491</x:v>
      </x:c>
      <x:c r="B492" s="10" t="s">
        <x:v>35</x:v>
      </x:c>
      <x:c r="C492" s="10" t="s">
        <x:v>583</x:v>
      </x:c>
      <x:c r="D492" s="10" t="s">
        <x:v>584</x:v>
      </x:c>
      <x:c r="E492" s="10" t="s">
        <x:v>587</x:v>
      </x:c>
      <x:c r="F492" s="10" t="s">
        <x:v>3</x:v>
      </x:c>
      <x:c r="G492" s="10" t="s">
        <x:v>52</x:v>
      </x:c>
      <x:c r="H492" s="10" t="s">
        <x:v>52</x:v>
      </x:c>
      <x:c r="I492" s="10"/>
      <x:c r="J492" s="10"/>
      <x:c r="K492" s="10"/>
      <x:c r="L492" s="10"/>
      <x:c r="M492" s="10">
        <x:f t="shared" si="7"/>
        <x:v>0</x:v>
      </x:c>
    </x:row>
    <x:row r="493">
      <x:c r="A493" s="10">
        <x:v>492</x:v>
      </x:c>
      <x:c r="B493" s="10" t="s">
        <x:v>35</x:v>
      </x:c>
      <x:c r="C493" s="10" t="s">
        <x:v>583</x:v>
      </x:c>
      <x:c r="D493" s="10" t="s">
        <x:v>584</x:v>
      </x:c>
      <x:c r="E493" s="10" t="s">
        <x:v>588</x:v>
      </x:c>
      <x:c r="F493" s="10" t="s">
        <x:v>3</x:v>
      </x:c>
      <x:c r="G493" s="10" t="s">
        <x:v>52</x:v>
      </x:c>
      <x:c r="H493" s="10" t="s">
        <x:v>52</x:v>
      </x:c>
      <x:c r="I493" s="10"/>
      <x:c r="J493" s="10"/>
      <x:c r="K493" s="10"/>
      <x:c r="L493" s="10"/>
      <x:c r="M493" s="10">
        <x:f t="shared" si="7"/>
        <x:v>0</x:v>
      </x:c>
    </x:row>
    <x:row r="494">
      <x:c r="A494" s="10">
        <x:v>493</x:v>
      </x:c>
      <x:c r="B494" s="10" t="s">
        <x:v>35</x:v>
      </x:c>
      <x:c r="C494" s="10" t="s">
        <x:v>583</x:v>
      </x:c>
      <x:c r="D494" s="10" t="s">
        <x:v>584</x:v>
      </x:c>
      <x:c r="E494" s="10" t="s">
        <x:v>589</x:v>
      </x:c>
      <x:c r="F494" s="10" t="s">
        <x:v>3</x:v>
      </x:c>
      <x:c r="G494" s="10" t="s">
        <x:v>52</x:v>
      </x:c>
      <x:c r="H494" s="10" t="s">
        <x:v>64</x:v>
      </x:c>
      <x:c r="I494" s="10"/>
      <x:c r="J494" s="10"/>
      <x:c r="K494" s="10"/>
      <x:c r="L494" s="10"/>
      <x:c r="M494" s="10">
        <x:f t="shared" si="7"/>
        <x:v>0</x:v>
      </x:c>
    </x:row>
    <x:row r="495">
      <x:c r="A495" s="10">
        <x:v>494</x:v>
      </x:c>
      <x:c r="B495" s="10" t="s">
        <x:v>35</x:v>
      </x:c>
      <x:c r="C495" s="10" t="s">
        <x:v>583</x:v>
      </x:c>
      <x:c r="D495" s="10" t="s">
        <x:v>584</x:v>
      </x:c>
      <x:c r="E495" s="10" t="s">
        <x:v>590</x:v>
      </x:c>
      <x:c r="F495" s="10" t="s">
        <x:v>3</x:v>
      </x:c>
      <x:c r="G495" s="10" t="s">
        <x:v>52</x:v>
      </x:c>
      <x:c r="H495" s="10" t="s">
        <x:v>64</x:v>
      </x:c>
      <x:c r="I495" s="10"/>
      <x:c r="J495" s="10"/>
      <x:c r="K495" s="10"/>
      <x:c r="L495" s="10"/>
      <x:c r="M495" s="10">
        <x:f t="shared" si="7"/>
        <x:v>0</x:v>
      </x:c>
    </x:row>
    <x:row r="496">
      <x:c r="A496" s="10">
        <x:v>495</x:v>
      </x:c>
      <x:c r="B496" s="10" t="s">
        <x:v>35</x:v>
      </x:c>
      <x:c r="C496" s="10" t="s">
        <x:v>583</x:v>
      </x:c>
      <x:c r="D496" s="10" t="s">
        <x:v>584</x:v>
      </x:c>
      <x:c r="E496" s="10" t="s">
        <x:v>591</x:v>
      </x:c>
      <x:c r="F496" s="10" t="s">
        <x:v>3</x:v>
      </x:c>
      <x:c r="G496" s="10" t="s">
        <x:v>52</x:v>
      </x:c>
      <x:c r="H496" s="10" t="s">
        <x:v>64</x:v>
      </x:c>
      <x:c r="I496" s="10"/>
      <x:c r="J496" s="10"/>
      <x:c r="K496" s="10"/>
      <x:c r="L496" s="10"/>
      <x:c r="M496" s="10">
        <x:f t="shared" si="7"/>
        <x:v>0</x:v>
      </x:c>
    </x:row>
    <x:row r="497">
      <x:c r="A497">
        <x:v>496</x:v>
      </x:c>
      <x:c r="B497" t="s">
        <x:v>35</x:v>
      </x:c>
      <x:c r="C497" t="s">
        <x:v>583</x:v>
      </x:c>
      <x:c r="D497" t="s">
        <x:v>584</x:v>
      </x:c>
      <x:c r="E497" t="s">
        <x:v>592</x:v>
      </x:c>
      <x:c r="F497" t="s">
        <x:v>3</x:v>
      </x:c>
      <x:c r="G497" t="s">
        <x:v>52</x:v>
      </x:c>
      <x:c r="H497" t="s">
        <x:v>64</x:v>
      </x:c>
      <x:c r="I497"/>
      <x:c r="J497"/>
      <x:c r="K497"/>
      <x:c r="L497"/>
      <x:c r="M497" t="n">
        <x:f t="shared" ref="M497:M534" si="8">IF(F497="Hoàn thành",1,0)</x:f>
        <x:v>0</x:v>
      </x:c>
    </x:row>
    <x:row r="498">
      <x:c r="A498">
        <x:v>497</x:v>
      </x:c>
      <x:c r="B498" t="s">
        <x:v>35</x:v>
      </x:c>
      <x:c r="C498" t="s">
        <x:v>583</x:v>
      </x:c>
      <x:c r="D498" t="s">
        <x:v>584</x:v>
      </x:c>
      <x:c r="E498" t="s">
        <x:v>593</x:v>
      </x:c>
      <x:c r="F498" t="s">
        <x:v>3</x:v>
      </x:c>
      <x:c r="G498" t="s">
        <x:v>52</x:v>
      </x:c>
      <x:c r="H498" t="s">
        <x:v>64</x:v>
      </x:c>
      <x:c r="I498"/>
      <x:c r="J498"/>
      <x:c r="K498"/>
      <x:c r="L498"/>
      <x:c r="M498">
        <x:f t="shared" si="8"/>
        <x:v>0</x:v>
      </x:c>
    </x:row>
    <x:row r="499">
      <x:c r="A499">
        <x:v>498</x:v>
      </x:c>
      <x:c r="B499" t="s">
        <x:v>35</x:v>
      </x:c>
      <x:c r="C499" t="s">
        <x:v>583</x:v>
      </x:c>
      <x:c r="D499" t="s">
        <x:v>584</x:v>
      </x:c>
      <x:c r="E499" t="s">
        <x:v>594</x:v>
      </x:c>
      <x:c r="F499" t="s">
        <x:v>3</x:v>
      </x:c>
      <x:c r="G499" t="s">
        <x:v>52</x:v>
      </x:c>
      <x:c r="H499" t="s">
        <x:v>64</x:v>
      </x:c>
      <x:c r="I499"/>
      <x:c r="J499"/>
      <x:c r="K499"/>
      <x:c r="L499"/>
      <x:c r="M499">
        <x:f t="shared" si="8"/>
        <x:v>0</x:v>
      </x:c>
    </x:row>
    <x:row r="500">
      <x:c r="A500">
        <x:v>499</x:v>
      </x:c>
      <x:c r="B500" t="s">
        <x:v>35</x:v>
      </x:c>
      <x:c r="C500" t="s">
        <x:v>583</x:v>
      </x:c>
      <x:c r="D500" t="s">
        <x:v>584</x:v>
      </x:c>
      <x:c r="E500" t="s">
        <x:v>595</x:v>
      </x:c>
      <x:c r="F500" t="s">
        <x:v>3</x:v>
      </x:c>
      <x:c r="G500" t="s">
        <x:v>52</x:v>
      </x:c>
      <x:c r="H500" t="s">
        <x:v>64</x:v>
      </x:c>
      <x:c r="I500"/>
      <x:c r="J500"/>
      <x:c r="K500"/>
      <x:c r="L500"/>
      <x:c r="M500">
        <x:f t="shared" si="8"/>
        <x:v>0</x:v>
      </x:c>
    </x:row>
    <x:row r="501">
      <x:c r="A501">
        <x:v>500</x:v>
      </x:c>
      <x:c r="B501" t="s">
        <x:v>35</x:v>
      </x:c>
      <x:c r="C501" t="s">
        <x:v>583</x:v>
      </x:c>
      <x:c r="D501" t="s">
        <x:v>584</x:v>
      </x:c>
      <x:c r="E501" t="s">
        <x:v>596</x:v>
      </x:c>
      <x:c r="F501" t="s">
        <x:v>3</x:v>
      </x:c>
      <x:c r="G501" t="s">
        <x:v>52</x:v>
      </x:c>
      <x:c r="H501" t="s">
        <x:v>52</x:v>
      </x:c>
      <x:c r="I501"/>
      <x:c r="J501"/>
      <x:c r="K501"/>
      <x:c r="L501"/>
      <x:c r="M501">
        <x:f t="shared" si="8"/>
        <x:v>0</x:v>
      </x:c>
    </x:row>
    <x:row r="502">
      <x:c r="A502">
        <x:v>501</x:v>
      </x:c>
      <x:c r="B502" t="s">
        <x:v>35</x:v>
      </x:c>
      <x:c r="C502" t="s">
        <x:v>583</x:v>
      </x:c>
      <x:c r="D502" t="s">
        <x:v>584</x:v>
      </x:c>
      <x:c r="E502" t="s">
        <x:v>597</x:v>
      </x:c>
      <x:c r="F502" t="s">
        <x:v>3</x:v>
      </x:c>
      <x:c r="G502" t="s">
        <x:v>52</x:v>
      </x:c>
      <x:c r="H502" t="s">
        <x:v>52</x:v>
      </x:c>
      <x:c r="I502"/>
      <x:c r="J502"/>
      <x:c r="K502"/>
      <x:c r="L502"/>
      <x:c r="M502">
        <x:f t="shared" si="8"/>
        <x:v>0</x:v>
      </x:c>
    </x:row>
    <x:row r="503">
      <x:c r="A503">
        <x:v>502</x:v>
      </x:c>
      <x:c r="B503" t="s">
        <x:v>35</x:v>
      </x:c>
      <x:c r="C503" t="s">
        <x:v>583</x:v>
      </x:c>
      <x:c r="D503" t="s">
        <x:v>584</x:v>
      </x:c>
      <x:c r="E503" t="s">
        <x:v>598</x:v>
      </x:c>
      <x:c r="F503" t="s">
        <x:v>3</x:v>
      </x:c>
      <x:c r="G503" t="s">
        <x:v>52</x:v>
      </x:c>
      <x:c r="H503" t="s">
        <x:v>64</x:v>
      </x:c>
      <x:c r="I503"/>
      <x:c r="J503"/>
      <x:c r="K503"/>
      <x:c r="L503"/>
      <x:c r="M503">
        <x:f t="shared" si="8"/>
        <x:v>0</x:v>
      </x:c>
    </x:row>
    <x:row r="504">
      <x:c r="A504">
        <x:v>503</x:v>
      </x:c>
      <x:c r="B504" t="s">
        <x:v>35</x:v>
      </x:c>
      <x:c r="C504" t="s">
        <x:v>583</x:v>
      </x:c>
      <x:c r="D504" t="s">
        <x:v>584</x:v>
      </x:c>
      <x:c r="E504" t="s">
        <x:v>599</x:v>
      </x:c>
      <x:c r="F504" t="s">
        <x:v>3</x:v>
      </x:c>
      <x:c r="G504" t="s">
        <x:v>52</x:v>
      </x:c>
      <x:c r="H504" t="s">
        <x:v>64</x:v>
      </x:c>
      <x:c r="I504"/>
      <x:c r="J504"/>
      <x:c r="K504"/>
      <x:c r="L504"/>
      <x:c r="M504">
        <x:f t="shared" si="8"/>
        <x:v>0</x:v>
      </x:c>
    </x:row>
    <x:row r="505">
      <x:c r="A505">
        <x:v>504</x:v>
      </x:c>
      <x:c r="B505" t="s">
        <x:v>35</x:v>
      </x:c>
      <x:c r="C505" t="s">
        <x:v>583</x:v>
      </x:c>
      <x:c r="D505" t="s">
        <x:v>584</x:v>
      </x:c>
      <x:c r="E505" t="s">
        <x:v>600</x:v>
      </x:c>
      <x:c r="F505" t="s">
        <x:v>3</x:v>
      </x:c>
      <x:c r="G505" t="s">
        <x:v>52</x:v>
      </x:c>
      <x:c r="H505" t="s">
        <x:v>52</x:v>
      </x:c>
      <x:c r="I505"/>
      <x:c r="J505"/>
      <x:c r="K505"/>
      <x:c r="L505"/>
      <x:c r="M505">
        <x:f t="shared" si="8"/>
        <x:v>0</x:v>
      </x:c>
    </x:row>
    <x:row r="506">
      <x:c r="A506">
        <x:v>505</x:v>
      </x:c>
      <x:c r="B506" t="s">
        <x:v>35</x:v>
      </x:c>
      <x:c r="C506" t="s">
        <x:v>583</x:v>
      </x:c>
      <x:c r="D506" t="s">
        <x:v>584</x:v>
      </x:c>
      <x:c r="E506" t="s">
        <x:v>601</x:v>
      </x:c>
      <x:c r="F506" t="s">
        <x:v>3</x:v>
      </x:c>
      <x:c r="G506" t="s">
        <x:v>52</x:v>
      </x:c>
      <x:c r="H506" t="s">
        <x:v>64</x:v>
      </x:c>
      <x:c r="I506"/>
      <x:c r="J506"/>
      <x:c r="K506"/>
      <x:c r="L506"/>
      <x:c r="M506">
        <x:f t="shared" si="8"/>
        <x:v>0</x:v>
      </x:c>
    </x:row>
    <x:row r="507">
      <x:c r="A507">
        <x:v>506</x:v>
      </x:c>
      <x:c r="B507" t="s">
        <x:v>35</x:v>
      </x:c>
      <x:c r="C507" t="s">
        <x:v>583</x:v>
      </x:c>
      <x:c r="D507" t="s">
        <x:v>584</x:v>
      </x:c>
      <x:c r="E507" t="s">
        <x:v>17</x:v>
      </x:c>
      <x:c r="F507" t="s">
        <x:v>3</x:v>
      </x:c>
      <x:c r="G507" t="s">
        <x:v>52</x:v>
      </x:c>
      <x:c r="H507" t="s">
        <x:v>64</x:v>
      </x:c>
      <x:c r="I507"/>
      <x:c r="J507"/>
      <x:c r="K507"/>
      <x:c r="L507"/>
      <x:c r="M507">
        <x:f t="shared" si="8"/>
        <x:v>0</x:v>
      </x:c>
    </x:row>
    <x:row r="508">
      <x:c r="A508">
        <x:v>507</x:v>
      </x:c>
      <x:c r="B508" t="s">
        <x:v>35</x:v>
      </x:c>
      <x:c r="C508" t="s">
        <x:v>583</x:v>
      </x:c>
      <x:c r="D508" t="s">
        <x:v>584</x:v>
      </x:c>
      <x:c r="E508" t="s">
        <x:v>602</x:v>
      </x:c>
      <x:c r="F508" t="s">
        <x:v>3</x:v>
      </x:c>
      <x:c r="G508" t="s">
        <x:v>52</x:v>
      </x:c>
      <x:c r="H508" t="s">
        <x:v>64</x:v>
      </x:c>
      <x:c r="I508"/>
      <x:c r="J508"/>
      <x:c r="K508"/>
      <x:c r="L508"/>
      <x:c r="M508">
        <x:f t="shared" si="8"/>
        <x:v>0</x:v>
      </x:c>
    </x:row>
    <x:row r="509">
      <x:c r="A509">
        <x:v>508</x:v>
      </x:c>
      <x:c r="B509" t="s">
        <x:v>35</x:v>
      </x:c>
      <x:c r="C509" t="s">
        <x:v>583</x:v>
      </x:c>
      <x:c r="D509" t="s">
        <x:v>584</x:v>
      </x:c>
      <x:c r="E509" t="s">
        <x:v>603</x:v>
      </x:c>
      <x:c r="F509" t="s">
        <x:v>3</x:v>
      </x:c>
      <x:c r="G509" t="s">
        <x:v>52</x:v>
      </x:c>
      <x:c r="H509" t="s">
        <x:v>52</x:v>
      </x:c>
      <x:c r="I509"/>
      <x:c r="J509"/>
      <x:c r="K509"/>
      <x:c r="L509"/>
      <x:c r="M509">
        <x:f t="shared" si="8"/>
        <x:v>0</x:v>
      </x:c>
    </x:row>
    <x:row r="510">
      <x:c r="A510">
        <x:v>509</x:v>
      </x:c>
      <x:c r="B510" t="s">
        <x:v>36</x:v>
      </x:c>
      <x:c r="C510" t="s">
        <x:v>604</x:v>
      </x:c>
      <x:c r="D510" t="s">
        <x:v>584</x:v>
      </x:c>
      <x:c r="E510" t="s">
        <x:v>605</x:v>
      </x:c>
      <x:c r="F510" t="s">
        <x:v>3</x:v>
      </x:c>
      <x:c r="G510" t="s">
        <x:v>52</x:v>
      </x:c>
      <x:c r="H510" t="s">
        <x:v>52</x:v>
      </x:c>
      <x:c r="I510"/>
      <x:c r="J510"/>
      <x:c r="K510"/>
      <x:c r="L510"/>
      <x:c r="M510">
        <x:f t="shared" si="8"/>
        <x:v>0</x:v>
      </x:c>
    </x:row>
    <x:row r="511">
      <x:c r="A511">
        <x:v>510</x:v>
      </x:c>
      <x:c r="B511" t="s">
        <x:v>36</x:v>
      </x:c>
      <x:c r="C511" t="s">
        <x:v>604</x:v>
      </x:c>
      <x:c r="D511" t="s">
        <x:v>584</x:v>
      </x:c>
      <x:c r="E511" t="s">
        <x:v>606</x:v>
      </x:c>
      <x:c r="F511" t="s">
        <x:v>3</x:v>
      </x:c>
      <x:c r="G511" t="s">
        <x:v>52</x:v>
      </x:c>
      <x:c r="H511" t="s">
        <x:v>52</x:v>
      </x:c>
      <x:c r="I511"/>
      <x:c r="J511"/>
      <x:c r="K511"/>
      <x:c r="L511"/>
      <x:c r="M511">
        <x:f t="shared" si="8"/>
        <x:v>0</x:v>
      </x:c>
    </x:row>
    <x:row r="512">
      <x:c r="A512">
        <x:v>511</x:v>
      </x:c>
      <x:c r="B512" t="s">
        <x:v>36</x:v>
      </x:c>
      <x:c r="C512" t="s">
        <x:v>604</x:v>
      </x:c>
      <x:c r="D512" t="s">
        <x:v>584</x:v>
      </x:c>
      <x:c r="E512" t="s">
        <x:v>607</x:v>
      </x:c>
      <x:c r="F512" t="s">
        <x:v>3</x:v>
      </x:c>
      <x:c r="G512" t="s">
        <x:v>52</x:v>
      </x:c>
      <x:c r="H512" t="s">
        <x:v>52</x:v>
      </x:c>
      <x:c r="I512"/>
      <x:c r="J512"/>
      <x:c r="K512"/>
      <x:c r="L512"/>
      <x:c r="M512">
        <x:f t="shared" si="8"/>
        <x:v>0</x:v>
      </x:c>
    </x:row>
    <x:row r="513">
      <x:c r="A513">
        <x:v>512</x:v>
      </x:c>
      <x:c r="B513" t="s">
        <x:v>36</x:v>
      </x:c>
      <x:c r="C513" t="s">
        <x:v>604</x:v>
      </x:c>
      <x:c r="D513" t="s">
        <x:v>584</x:v>
      </x:c>
      <x:c r="E513" t="s">
        <x:v>608</x:v>
      </x:c>
      <x:c r="F513" t="s">
        <x:v>3</x:v>
      </x:c>
      <x:c r="G513" t="s">
        <x:v>52</x:v>
      </x:c>
      <x:c r="H513" t="s">
        <x:v>52</x:v>
      </x:c>
      <x:c r="I513"/>
      <x:c r="J513"/>
      <x:c r="K513"/>
      <x:c r="L513"/>
      <x:c r="M513">
        <x:f t="shared" si="8"/>
        <x:v>0</x:v>
      </x:c>
    </x:row>
    <x:row r="514">
      <x:c r="A514">
        <x:v>513</x:v>
      </x:c>
      <x:c r="B514" t="s">
        <x:v>36</x:v>
      </x:c>
      <x:c r="C514" t="s">
        <x:v>604</x:v>
      </x:c>
      <x:c r="D514" t="s">
        <x:v>584</x:v>
      </x:c>
      <x:c r="E514" t="s">
        <x:v>609</x:v>
      </x:c>
      <x:c r="F514" t="s">
        <x:v>3</x:v>
      </x:c>
      <x:c r="G514" t="s">
        <x:v>52</x:v>
      </x:c>
      <x:c r="H514" t="s">
        <x:v>52</x:v>
      </x:c>
      <x:c r="I514"/>
      <x:c r="J514"/>
      <x:c r="K514"/>
      <x:c r="L514"/>
      <x:c r="M514">
        <x:f t="shared" si="8"/>
        <x:v>0</x:v>
      </x:c>
    </x:row>
    <x:row r="515">
      <x:c r="A515">
        <x:v>514</x:v>
      </x:c>
      <x:c r="B515" t="s">
        <x:v>36</x:v>
      </x:c>
      <x:c r="C515" t="s">
        <x:v>604</x:v>
      </x:c>
      <x:c r="D515" t="s">
        <x:v>584</x:v>
      </x:c>
      <x:c r="E515" t="s">
        <x:v>610</x:v>
      </x:c>
      <x:c r="F515" t="s">
        <x:v>3</x:v>
      </x:c>
      <x:c r="G515" t="s">
        <x:v>52</x:v>
      </x:c>
      <x:c r="H515" t="s">
        <x:v>52</x:v>
      </x:c>
      <x:c r="I515"/>
      <x:c r="J515"/>
      <x:c r="K515"/>
      <x:c r="L515"/>
      <x:c r="M515">
        <x:f t="shared" si="8"/>
        <x:v>0</x:v>
      </x:c>
    </x:row>
    <x:row r="516">
      <x:c r="A516">
        <x:v>515</x:v>
      </x:c>
      <x:c r="B516" t="s">
        <x:v>36</x:v>
      </x:c>
      <x:c r="C516" t="s">
        <x:v>604</x:v>
      </x:c>
      <x:c r="D516" t="s">
        <x:v>584</x:v>
      </x:c>
      <x:c r="E516" t="s">
        <x:v>611</x:v>
      </x:c>
      <x:c r="F516" t="s">
        <x:v>3</x:v>
      </x:c>
      <x:c r="G516" t="s">
        <x:v>52</x:v>
      </x:c>
      <x:c r="H516" t="s">
        <x:v>52</x:v>
      </x:c>
      <x:c r="I516"/>
      <x:c r="J516"/>
      <x:c r="K516"/>
      <x:c r="L516"/>
      <x:c r="M516">
        <x:f t="shared" si="8"/>
        <x:v>0</x:v>
      </x:c>
    </x:row>
    <x:row r="517">
      <x:c r="A517">
        <x:v>516</x:v>
      </x:c>
      <x:c r="B517" t="s">
        <x:v>36</x:v>
      </x:c>
      <x:c r="C517" t="s">
        <x:v>604</x:v>
      </x:c>
      <x:c r="D517" t="s">
        <x:v>584</x:v>
      </x:c>
      <x:c r="E517" t="s">
        <x:v>612</x:v>
      </x:c>
      <x:c r="F517" t="s">
        <x:v>3</x:v>
      </x:c>
      <x:c r="G517" t="s">
        <x:v>52</x:v>
      </x:c>
      <x:c r="H517" t="s">
        <x:v>52</x:v>
      </x:c>
      <x:c r="I517"/>
      <x:c r="J517"/>
      <x:c r="K517"/>
      <x:c r="L517"/>
      <x:c r="M517">
        <x:f t="shared" si="8"/>
        <x:v>0</x:v>
      </x:c>
    </x:row>
    <x:row r="518">
      <x:c r="A518">
        <x:v>517</x:v>
      </x:c>
      <x:c r="B518" t="s">
        <x:v>36</x:v>
      </x:c>
      <x:c r="C518" t="s">
        <x:v>604</x:v>
      </x:c>
      <x:c r="D518" t="s">
        <x:v>584</x:v>
      </x:c>
      <x:c r="E518" t="s">
        <x:v>613</x:v>
      </x:c>
      <x:c r="F518" t="s">
        <x:v>3</x:v>
      </x:c>
      <x:c r="G518" t="s">
        <x:v>52</x:v>
      </x:c>
      <x:c r="H518" t="s">
        <x:v>52</x:v>
      </x:c>
      <x:c r="I518"/>
      <x:c r="J518"/>
      <x:c r="K518"/>
      <x:c r="L518"/>
      <x:c r="M518">
        <x:f t="shared" si="8"/>
        <x:v>0</x:v>
      </x:c>
    </x:row>
    <x:row r="519">
      <x:c r="A519">
        <x:v>518</x:v>
      </x:c>
      <x:c r="B519" t="s">
        <x:v>36</x:v>
      </x:c>
      <x:c r="C519" t="s">
        <x:v>604</x:v>
      </x:c>
      <x:c r="D519" t="s">
        <x:v>584</x:v>
      </x:c>
      <x:c r="E519" t="s">
        <x:v>614</x:v>
      </x:c>
      <x:c r="F519" t="s">
        <x:v>3</x:v>
      </x:c>
      <x:c r="G519" t="s">
        <x:v>52</x:v>
      </x:c>
      <x:c r="H519" t="s">
        <x:v>52</x:v>
      </x:c>
      <x:c r="I519"/>
      <x:c r="J519"/>
      <x:c r="K519"/>
      <x:c r="L519"/>
      <x:c r="M519">
        <x:f t="shared" si="8"/>
        <x:v>0</x:v>
      </x:c>
    </x:row>
    <x:row r="520">
      <x:c r="A520">
        <x:v>519</x:v>
      </x:c>
      <x:c r="B520" t="s">
        <x:v>36</x:v>
      </x:c>
      <x:c r="C520" t="s">
        <x:v>604</x:v>
      </x:c>
      <x:c r="D520" t="s">
        <x:v>584</x:v>
      </x:c>
      <x:c r="E520" t="s">
        <x:v>615</x:v>
      </x:c>
      <x:c r="F520" t="s">
        <x:v>3</x:v>
      </x:c>
      <x:c r="G520" t="s">
        <x:v>52</x:v>
      </x:c>
      <x:c r="H520" t="s">
        <x:v>52</x:v>
      </x:c>
      <x:c r="I520"/>
      <x:c r="J520"/>
      <x:c r="K520"/>
      <x:c r="L520"/>
      <x:c r="M520">
        <x:f t="shared" si="8"/>
        <x:v>0</x:v>
      </x:c>
    </x:row>
    <x:row r="521">
      <x:c r="A521">
        <x:v>520</x:v>
      </x:c>
      <x:c r="B521" t="s">
        <x:v>36</x:v>
      </x:c>
      <x:c r="C521" t="s">
        <x:v>604</x:v>
      </x:c>
      <x:c r="D521" t="s">
        <x:v>584</x:v>
      </x:c>
      <x:c r="E521" t="s">
        <x:v>616</x:v>
      </x:c>
      <x:c r="F521" t="s">
        <x:v>3</x:v>
      </x:c>
      <x:c r="G521" t="s">
        <x:v>52</x:v>
      </x:c>
      <x:c r="H521" t="s">
        <x:v>52</x:v>
      </x:c>
      <x:c r="I521"/>
      <x:c r="J521"/>
      <x:c r="K521"/>
      <x:c r="L521"/>
      <x:c r="M521">
        <x:f t="shared" si="8"/>
        <x:v>0</x:v>
      </x:c>
    </x:row>
    <x:row r="522">
      <x:c r="A522">
        <x:v>521</x:v>
      </x:c>
      <x:c r="B522" t="s">
        <x:v>36</x:v>
      </x:c>
      <x:c r="C522" t="s">
        <x:v>604</x:v>
      </x:c>
      <x:c r="D522" t="s">
        <x:v>584</x:v>
      </x:c>
      <x:c r="E522" t="s">
        <x:v>617</x:v>
      </x:c>
      <x:c r="F522" t="s">
        <x:v>3</x:v>
      </x:c>
      <x:c r="G522" t="s">
        <x:v>52</x:v>
      </x:c>
      <x:c r="H522" t="s">
        <x:v>52</x:v>
      </x:c>
      <x:c r="I522"/>
      <x:c r="J522"/>
      <x:c r="K522"/>
      <x:c r="L522"/>
      <x:c r="M522">
        <x:f t="shared" si="8"/>
        <x:v>0</x:v>
      </x:c>
    </x:row>
    <x:row r="523">
      <x:c r="A523">
        <x:v>522</x:v>
      </x:c>
      <x:c r="B523" t="s">
        <x:v>36</x:v>
      </x:c>
      <x:c r="C523" t="s">
        <x:v>604</x:v>
      </x:c>
      <x:c r="D523" t="s">
        <x:v>584</x:v>
      </x:c>
      <x:c r="E523" t="s">
        <x:v>618</x:v>
      </x:c>
      <x:c r="F523" t="s">
        <x:v>3</x:v>
      </x:c>
      <x:c r="G523" t="s">
        <x:v>52</x:v>
      </x:c>
      <x:c r="H523" t="s">
        <x:v>52</x:v>
      </x:c>
      <x:c r="I523"/>
      <x:c r="J523"/>
      <x:c r="K523"/>
      <x:c r="L523"/>
      <x:c r="M523">
        <x:f t="shared" si="8"/>
        <x:v>0</x:v>
      </x:c>
    </x:row>
    <x:row r="524">
      <x:c r="A524">
        <x:v>523</x:v>
      </x:c>
      <x:c r="B524" t="s">
        <x:v>36</x:v>
      </x:c>
      <x:c r="C524" t="s">
        <x:v>604</x:v>
      </x:c>
      <x:c r="D524" t="s">
        <x:v>584</x:v>
      </x:c>
      <x:c r="E524" t="s">
        <x:v>619</x:v>
      </x:c>
      <x:c r="F524" t="s">
        <x:v>3</x:v>
      </x:c>
      <x:c r="G524" t="s">
        <x:v>52</x:v>
      </x:c>
      <x:c r="H524" t="s">
        <x:v>52</x:v>
      </x:c>
      <x:c r="I524"/>
      <x:c r="J524"/>
      <x:c r="K524"/>
      <x:c r="L524"/>
      <x:c r="M524">
        <x:f t="shared" si="8"/>
        <x:v>0</x:v>
      </x:c>
    </x:row>
    <x:row r="525">
      <x:c r="A525">
        <x:v>524</x:v>
      </x:c>
      <x:c r="B525" t="s">
        <x:v>36</x:v>
      </x:c>
      <x:c r="C525" t="s">
        <x:v>604</x:v>
      </x:c>
      <x:c r="D525" t="s">
        <x:v>584</x:v>
      </x:c>
      <x:c r="E525" t="s">
        <x:v>620</x:v>
      </x:c>
      <x:c r="F525" t="s">
        <x:v>3</x:v>
      </x:c>
      <x:c r="G525" t="s">
        <x:v>52</x:v>
      </x:c>
      <x:c r="H525" t="s">
        <x:v>52</x:v>
      </x:c>
      <x:c r="I525"/>
      <x:c r="J525"/>
      <x:c r="K525"/>
      <x:c r="L525"/>
      <x:c r="M525">
        <x:f t="shared" si="8"/>
        <x:v>0</x:v>
      </x:c>
    </x:row>
    <x:row r="526">
      <x:c r="A526">
        <x:v>525</x:v>
      </x:c>
      <x:c r="B526" t="s">
        <x:v>36</x:v>
      </x:c>
      <x:c r="C526" t="s">
        <x:v>604</x:v>
      </x:c>
      <x:c r="D526" t="s">
        <x:v>584</x:v>
      </x:c>
      <x:c r="E526" t="s">
        <x:v>621</x:v>
      </x:c>
      <x:c r="F526" t="s">
        <x:v>3</x:v>
      </x:c>
      <x:c r="G526" t="s">
        <x:v>52</x:v>
      </x:c>
      <x:c r="H526" t="s">
        <x:v>52</x:v>
      </x:c>
      <x:c r="I526"/>
      <x:c r="J526"/>
      <x:c r="K526"/>
      <x:c r="L526"/>
      <x:c r="M526">
        <x:f t="shared" si="8"/>
        <x:v>0</x:v>
      </x:c>
    </x:row>
    <x:row r="527">
      <x:c r="A527">
        <x:v>526</x:v>
      </x:c>
      <x:c r="B527" t="s">
        <x:v>36</x:v>
      </x:c>
      <x:c r="C527" t="s">
        <x:v>604</x:v>
      </x:c>
      <x:c r="D527" t="s">
        <x:v>584</x:v>
      </x:c>
      <x:c r="E527" t="s">
        <x:v>622</x:v>
      </x:c>
      <x:c r="F527" t="s">
        <x:v>3</x:v>
      </x:c>
      <x:c r="G527" t="s">
        <x:v>52</x:v>
      </x:c>
      <x:c r="H527" t="s">
        <x:v>52</x:v>
      </x:c>
      <x:c r="I527"/>
      <x:c r="J527"/>
      <x:c r="K527"/>
      <x:c r="L527"/>
      <x:c r="M527">
        <x:f t="shared" si="8"/>
        <x:v>0</x:v>
      </x:c>
    </x:row>
    <x:row r="528">
      <x:c r="A528">
        <x:v>527</x:v>
      </x:c>
      <x:c r="B528" t="s">
        <x:v>37</x:v>
      </x:c>
      <x:c r="C528" t="s">
        <x:v>623</x:v>
      </x:c>
      <x:c r="D528" t="s">
        <x:v>584</x:v>
      </x:c>
      <x:c r="E528" t="s">
        <x:v>624</x:v>
      </x:c>
      <x:c r="F528" t="s">
        <x:v>3</x:v>
      </x:c>
      <x:c r="G528" t="s">
        <x:v>52</x:v>
      </x:c>
      <x:c r="H528" t="s">
        <x:v>52</x:v>
      </x:c>
      <x:c r="I528"/>
      <x:c r="J528"/>
      <x:c r="K528"/>
      <x:c r="L528"/>
      <x:c r="M528">
        <x:f t="shared" si="8"/>
        <x:v>0</x:v>
      </x:c>
    </x:row>
    <x:row r="529">
      <x:c r="A529">
        <x:v>528</x:v>
      </x:c>
      <x:c r="B529" t="s">
        <x:v>37</x:v>
      </x:c>
      <x:c r="C529" t="s">
        <x:v>623</x:v>
      </x:c>
      <x:c r="D529" t="s">
        <x:v>584</x:v>
      </x:c>
      <x:c r="E529" t="s">
        <x:v>625</x:v>
      </x:c>
      <x:c r="F529" t="s">
        <x:v>3</x:v>
      </x:c>
      <x:c r="G529" t="s">
        <x:v>52</x:v>
      </x:c>
      <x:c r="H529" t="s">
        <x:v>52</x:v>
      </x:c>
      <x:c r="I529"/>
      <x:c r="J529"/>
      <x:c r="K529"/>
      <x:c r="L529"/>
      <x:c r="M529">
        <x:f t="shared" si="8"/>
        <x:v>0</x:v>
      </x:c>
    </x:row>
    <x:row r="530">
      <x:c r="A530">
        <x:v>529</x:v>
      </x:c>
      <x:c r="B530" t="s">
        <x:v>37</x:v>
      </x:c>
      <x:c r="C530" t="s">
        <x:v>623</x:v>
      </x:c>
      <x:c r="D530" t="s">
        <x:v>584</x:v>
      </x:c>
      <x:c r="E530" t="s">
        <x:v>626</x:v>
      </x:c>
      <x:c r="F530" t="s">
        <x:v>3</x:v>
      </x:c>
      <x:c r="G530" t="s">
        <x:v>52</x:v>
      </x:c>
      <x:c r="H530" t="s">
        <x:v>52</x:v>
      </x:c>
      <x:c r="I530"/>
      <x:c r="J530"/>
      <x:c r="K530"/>
      <x:c r="L530"/>
      <x:c r="M530">
        <x:f t="shared" si="8"/>
        <x:v>0</x:v>
      </x:c>
    </x:row>
    <x:row r="531">
      <x:c r="A531">
        <x:v>530</x:v>
      </x:c>
      <x:c r="B531" t="s">
        <x:v>37</x:v>
      </x:c>
      <x:c r="C531" t="s">
        <x:v>623</x:v>
      </x:c>
      <x:c r="D531" t="s">
        <x:v>584</x:v>
      </x:c>
      <x:c r="E531" t="s">
        <x:v>627</x:v>
      </x:c>
      <x:c r="F531" t="s">
        <x:v>3</x:v>
      </x:c>
      <x:c r="G531" t="s">
        <x:v>52</x:v>
      </x:c>
      <x:c r="H531" t="s">
        <x:v>52</x:v>
      </x:c>
      <x:c r="I531"/>
      <x:c r="J531"/>
      <x:c r="K531"/>
      <x:c r="L531"/>
      <x:c r="M531">
        <x:f t="shared" si="8"/>
        <x:v>0</x:v>
      </x:c>
    </x:row>
    <x:row r="532">
      <x:c r="A532">
        <x:v>531</x:v>
      </x:c>
      <x:c r="B532" t="s">
        <x:v>37</x:v>
      </x:c>
      <x:c r="C532" t="s">
        <x:v>623</x:v>
      </x:c>
      <x:c r="D532" t="s">
        <x:v>584</x:v>
      </x:c>
      <x:c r="E532" t="s">
        <x:v>628</x:v>
      </x:c>
      <x:c r="F532" t="s">
        <x:v>3</x:v>
      </x:c>
      <x:c r="G532" t="s">
        <x:v>52</x:v>
      </x:c>
      <x:c r="H532" t="s">
        <x:v>52</x:v>
      </x:c>
      <x:c r="I532"/>
      <x:c r="J532"/>
      <x:c r="K532"/>
      <x:c r="L532"/>
      <x:c r="M532">
        <x:f t="shared" si="8"/>
        <x:v>0</x:v>
      </x:c>
    </x:row>
    <x:row r="533">
      <x:c r="A533">
        <x:v>532</x:v>
      </x:c>
      <x:c r="B533" t="s">
        <x:v>37</x:v>
      </x:c>
      <x:c r="C533" t="s">
        <x:v>623</x:v>
      </x:c>
      <x:c r="D533" t="s">
        <x:v>584</x:v>
      </x:c>
      <x:c r="E533" t="s">
        <x:v>629</x:v>
      </x:c>
      <x:c r="F533" t="s">
        <x:v>3</x:v>
      </x:c>
      <x:c r="G533" t="s">
        <x:v>52</x:v>
      </x:c>
      <x:c r="H533" t="s">
        <x:v>52</x:v>
      </x:c>
      <x:c r="I533"/>
      <x:c r="J533"/>
      <x:c r="K533"/>
      <x:c r="L533"/>
      <x:c r="M533">
        <x:f t="shared" si="8"/>
        <x:v>0</x:v>
      </x:c>
    </x:row>
    <x:row r="534">
      <x:c r="A534">
        <x:v>533</x:v>
      </x:c>
      <x:c r="B534" t="s">
        <x:v>37</x:v>
      </x:c>
      <x:c r="C534" t="s">
        <x:v>623</x:v>
      </x:c>
      <x:c r="D534" t="s">
        <x:v>584</x:v>
      </x:c>
      <x:c r="E534" t="s">
        <x:v>630</x:v>
      </x:c>
      <x:c r="F534" t="s">
        <x:v>3</x:v>
      </x:c>
      <x:c r="G534" t="s">
        <x:v>52</x:v>
      </x:c>
      <x:c r="H534" t="s">
        <x:v>52</x:v>
      </x:c>
      <x:c r="I534"/>
      <x:c r="J534"/>
      <x:c r="K534"/>
      <x:c r="L534"/>
      <x:c r="M534">
        <x:f t="shared" si="8"/>
        <x:v>0</x:v>
      </x:c>
    </x:row>
    <x:row r="600">
      <x:c r="A600"/>
      <x:c r="B600"/>
      <x:c r="C600"/>
      <x:c r="D600"/>
      <x:c r="E600"/>
      <x:c r="F600"/>
      <x:c r="G600"/>
      <x:c r="H600"/>
      <x:c r="I600"/>
      <x:c r="J600"/>
      <x:c r="K600"/>
      <x:c r="L600"/>
      <x:c r="M600"/>
    </x:row>
    <x:row r="601">
      <x:c r="A601"/>
      <x:c r="B601"/>
      <x:c r="C601"/>
      <x:c r="D601"/>
      <x:c r="E601"/>
      <x:c r="F601"/>
      <x:c r="G601"/>
      <x:c r="H601"/>
      <x:c r="I601"/>
      <x:c r="J601"/>
      <x:c r="K601"/>
      <x:c r="L601"/>
      <x:c r="M601"/>
    </x:row>
    <x:row r="602">
      <x:c r="A602"/>
      <x:c r="B602"/>
      <x:c r="C602"/>
      <x:c r="D602"/>
      <x:c r="E602"/>
      <x:c r="F602"/>
      <x:c r="G602"/>
      <x:c r="H602"/>
      <x:c r="I602"/>
      <x:c r="J602"/>
      <x:c r="K602"/>
      <x:c r="L602"/>
      <x:c r="M602"/>
    </x:row>
    <x:row r="603">
      <x:c r="A603"/>
      <x:c r="B603"/>
      <x:c r="C603"/>
      <x:c r="D603"/>
      <x:c r="E603"/>
      <x:c r="F603"/>
      <x:c r="G603"/>
      <x:c r="H603"/>
      <x:c r="I603"/>
      <x:c r="J603"/>
      <x:c r="K603"/>
      <x:c r="L603"/>
      <x:c r="M603"/>
    </x:row>
    <x:row r="604">
      <x:c r="A604"/>
      <x:c r="B604"/>
      <x:c r="C604"/>
      <x:c r="D604"/>
      <x:c r="E604"/>
      <x:c r="F604"/>
      <x:c r="G604"/>
      <x:c r="H604"/>
      <x:c r="I604"/>
      <x:c r="J604"/>
      <x:c r="K604"/>
      <x:c r="L604"/>
      <x:c r="M604"/>
    </x:row>
    <x:row r="605">
      <x:c r="A605"/>
      <x:c r="B605"/>
      <x:c r="C605"/>
      <x:c r="D605"/>
      <x:c r="E605"/>
      <x:c r="F605"/>
      <x:c r="G605"/>
      <x:c r="H605"/>
      <x:c r="I605"/>
      <x:c r="J605"/>
      <x:c r="K605"/>
      <x:c r="L605"/>
      <x:c r="M605"/>
    </x:row>
    <x:row r="606">
      <x:c r="A606"/>
      <x:c r="B606"/>
      <x:c r="C606"/>
      <x:c r="D606"/>
      <x:c r="E606"/>
      <x:c r="F606"/>
      <x:c r="G606"/>
      <x:c r="H606"/>
      <x:c r="I606"/>
      <x:c r="J606"/>
      <x:c r="K606"/>
      <x:c r="L606"/>
      <x:c r="M606"/>
    </x:row>
    <x:row r="607">
      <x:c r="A607"/>
      <x:c r="B607"/>
      <x:c r="C607"/>
      <x:c r="D607"/>
      <x:c r="E607"/>
      <x:c r="F607"/>
      <x:c r="G607"/>
      <x:c r="H607"/>
      <x:c r="I607"/>
      <x:c r="J607"/>
      <x:c r="K607"/>
      <x:c r="L607"/>
      <x:c r="M607"/>
    </x:row>
    <x:row r="608">
      <x:c r="A608"/>
      <x:c r="B608"/>
      <x:c r="C608"/>
      <x:c r="D608"/>
      <x:c r="E608"/>
      <x:c r="F608"/>
      <x:c r="G608"/>
      <x:c r="H608"/>
      <x:c r="I608"/>
      <x:c r="J608"/>
      <x:c r="K608"/>
      <x:c r="L608"/>
      <x:c r="M608"/>
    </x:row>
    <x:row r="609">
      <x:c r="A609"/>
      <x:c r="B609"/>
      <x:c r="C609"/>
      <x:c r="D609"/>
      <x:c r="E609"/>
      <x:c r="F609"/>
      <x:c r="G609"/>
      <x:c r="H609"/>
      <x:c r="I609"/>
      <x:c r="J609"/>
      <x:c r="K609"/>
      <x:c r="L609"/>
      <x:c r="M609"/>
    </x:row>
    <x:row r="610">
      <x:c r="A610"/>
      <x:c r="B610"/>
      <x:c r="C610"/>
      <x:c r="D610"/>
      <x:c r="E610"/>
      <x:c r="F610"/>
      <x:c r="G610"/>
      <x:c r="H610"/>
      <x:c r="I610"/>
      <x:c r="J610"/>
      <x:c r="K610"/>
      <x:c r="L610"/>
      <x:c r="M610"/>
    </x:row>
    <x:row r="611">
      <x:c r="A611"/>
      <x:c r="B611"/>
      <x:c r="C611"/>
      <x:c r="D611"/>
      <x:c r="E611"/>
      <x:c r="F611"/>
      <x:c r="G611"/>
      <x:c r="H611"/>
      <x:c r="I611"/>
      <x:c r="J611"/>
      <x:c r="K611"/>
      <x:c r="L611"/>
      <x:c r="M611"/>
    </x:row>
    <x:row r="612">
      <x:c r="A612"/>
      <x:c r="B612"/>
      <x:c r="C612"/>
      <x:c r="D612"/>
      <x:c r="E612"/>
      <x:c r="F612"/>
      <x:c r="G612"/>
      <x:c r="H612"/>
      <x:c r="I612"/>
      <x:c r="J612"/>
      <x:c r="K612"/>
      <x:c r="L612"/>
      <x:c r="M612"/>
    </x:row>
    <x:row r="613">
      <x:c r="A613"/>
      <x:c r="B613"/>
      <x:c r="C613"/>
      <x:c r="D613"/>
      <x:c r="E613"/>
      <x:c r="F613"/>
      <x:c r="G613"/>
      <x:c r="H613"/>
      <x:c r="I613"/>
      <x:c r="J613"/>
      <x:c r="K613"/>
      <x:c r="L613"/>
      <x:c r="M613"/>
    </x:row>
    <x:row r="614">
      <x:c r="A614"/>
      <x:c r="B614"/>
      <x:c r="C614"/>
      <x:c r="D614"/>
      <x:c r="E614"/>
      <x:c r="F614"/>
      <x:c r="G614"/>
      <x:c r="H614"/>
      <x:c r="I614"/>
      <x:c r="J614"/>
      <x:c r="K614"/>
      <x:c r="L614"/>
      <x:c r="M614"/>
    </x:row>
    <x:row r="615">
      <x:c r="A615"/>
      <x:c r="B615"/>
      <x:c r="C615"/>
      <x:c r="D615"/>
      <x:c r="E615"/>
      <x:c r="F615"/>
      <x:c r="G615"/>
      <x:c r="H615"/>
      <x:c r="I615"/>
      <x:c r="J615"/>
      <x:c r="K615"/>
      <x:c r="L615"/>
      <x:c r="M615"/>
    </x:row>
    <x:row r="616">
      <x:c r="A616"/>
      <x:c r="B616"/>
      <x:c r="C616"/>
      <x:c r="D616"/>
      <x:c r="E616"/>
      <x:c r="F616"/>
      <x:c r="G616"/>
      <x:c r="H616"/>
      <x:c r="I616"/>
      <x:c r="J616"/>
      <x:c r="K616"/>
      <x:c r="L616"/>
      <x:c r="M616"/>
    </x:row>
    <x:row r="617">
      <x:c r="A617"/>
      <x:c r="B617"/>
      <x:c r="C617"/>
      <x:c r="D617"/>
      <x:c r="E617"/>
      <x:c r="F617"/>
      <x:c r="G617"/>
      <x:c r="H617"/>
      <x:c r="I617"/>
      <x:c r="J617"/>
      <x:c r="K617"/>
      <x:c r="L617"/>
      <x:c r="M617"/>
    </x:row>
    <x:row r="618">
      <x:c r="A618"/>
      <x:c r="B618"/>
      <x:c r="C618"/>
      <x:c r="D618"/>
      <x:c r="E618"/>
      <x:c r="F618"/>
      <x:c r="G618"/>
      <x:c r="H618"/>
      <x:c r="I618"/>
      <x:c r="J618"/>
      <x:c r="K618"/>
      <x:c r="L618"/>
      <x:c r="M618"/>
    </x:row>
    <x:row r="619">
      <x:c r="A619"/>
      <x:c r="B619"/>
      <x:c r="C619"/>
      <x:c r="D619"/>
      <x:c r="E619"/>
      <x:c r="F619"/>
      <x:c r="G619"/>
      <x:c r="H619"/>
      <x:c r="I619"/>
      <x:c r="J619"/>
      <x:c r="K619"/>
      <x:c r="L619"/>
      <x:c r="M619"/>
    </x:row>
    <x:row r="620">
      <x:c r="A620"/>
      <x:c r="B620"/>
      <x:c r="C620"/>
      <x:c r="D620"/>
      <x:c r="E620"/>
      <x:c r="F620"/>
      <x:c r="G620"/>
      <x:c r="H620"/>
      <x:c r="I620"/>
      <x:c r="J620"/>
      <x:c r="K620"/>
      <x:c r="L620"/>
      <x:c r="M620"/>
    </x:row>
    <x:row r="621">
      <x:c r="A621"/>
      <x:c r="B621"/>
      <x:c r="C621"/>
      <x:c r="D621"/>
      <x:c r="E621"/>
      <x:c r="F621"/>
      <x:c r="G621"/>
      <x:c r="H621"/>
      <x:c r="I621"/>
      <x:c r="J621"/>
      <x:c r="K621"/>
      <x:c r="L621"/>
      <x:c r="M621"/>
    </x:row>
    <x:row r="622">
      <x:c r="A622"/>
      <x:c r="B622"/>
      <x:c r="C622"/>
      <x:c r="D622"/>
      <x:c r="E622"/>
      <x:c r="F622"/>
      <x:c r="G622"/>
      <x:c r="H622"/>
      <x:c r="I622"/>
      <x:c r="J622"/>
      <x:c r="K622"/>
      <x:c r="L622"/>
      <x:c r="M622"/>
    </x:row>
    <x:row r="623">
      <x:c r="A623"/>
      <x:c r="B623"/>
      <x:c r="C623"/>
      <x:c r="D623"/>
      <x:c r="E623"/>
      <x:c r="F623"/>
      <x:c r="G623"/>
      <x:c r="H623"/>
      <x:c r="I623"/>
      <x:c r="J623"/>
      <x:c r="K623"/>
      <x:c r="L623"/>
      <x:c r="M623"/>
    </x:row>
    <x:row r="624">
      <x:c r="A624"/>
      <x:c r="B624"/>
      <x:c r="C624"/>
      <x:c r="D624"/>
      <x:c r="E624"/>
      <x:c r="F624"/>
      <x:c r="G624"/>
      <x:c r="H624"/>
      <x:c r="I624"/>
      <x:c r="J624"/>
      <x:c r="K624"/>
      <x:c r="L624"/>
      <x:c r="M624"/>
    </x:row>
    <x:row r="625">
      <x:c r="A625"/>
      <x:c r="B625"/>
      <x:c r="C625"/>
      <x:c r="D625"/>
      <x:c r="E625"/>
      <x:c r="F625"/>
      <x:c r="G625"/>
      <x:c r="H625"/>
      <x:c r="I625"/>
      <x:c r="J625"/>
      <x:c r="K625"/>
      <x:c r="L625"/>
      <x:c r="M625"/>
    </x:row>
    <x:row r="626">
      <x:c r="A626"/>
      <x:c r="B626"/>
      <x:c r="C626"/>
      <x:c r="D626"/>
      <x:c r="E626"/>
      <x:c r="F626"/>
      <x:c r="G626"/>
      <x:c r="H626"/>
      <x:c r="I626"/>
      <x:c r="J626"/>
      <x:c r="K626"/>
      <x:c r="L626"/>
      <x:c r="M626"/>
    </x:row>
    <x:row r="627">
      <x:c r="A627"/>
      <x:c r="B627"/>
      <x:c r="C627"/>
      <x:c r="D627"/>
      <x:c r="E627"/>
      <x:c r="F627"/>
      <x:c r="G627"/>
      <x:c r="H627"/>
      <x:c r="I627"/>
      <x:c r="J627"/>
      <x:c r="K627"/>
      <x:c r="L627"/>
      <x:c r="M627"/>
    </x:row>
    <x:row r="628">
      <x:c r="A628"/>
      <x:c r="B628"/>
      <x:c r="C628"/>
      <x:c r="D628"/>
      <x:c r="E628"/>
      <x:c r="F628"/>
      <x:c r="G628"/>
      <x:c r="H628"/>
      <x:c r="I628"/>
      <x:c r="J628"/>
      <x:c r="K628"/>
      <x:c r="L628"/>
      <x:c r="M628"/>
    </x:row>
    <x:row r="629">
      <x:c r="A629"/>
      <x:c r="B629"/>
      <x:c r="C629"/>
      <x:c r="D629"/>
      <x:c r="E629"/>
      <x:c r="F629"/>
      <x:c r="G629"/>
      <x:c r="H629"/>
      <x:c r="I629"/>
      <x:c r="J629"/>
      <x:c r="K629"/>
      <x:c r="L629"/>
      <x:c r="M629"/>
    </x:row>
    <x:row r="630">
      <x:c r="A630"/>
      <x:c r="B630"/>
      <x:c r="C630"/>
      <x:c r="D630"/>
      <x:c r="E630"/>
      <x:c r="F630"/>
      <x:c r="G630"/>
      <x:c r="H630"/>
      <x:c r="I630"/>
      <x:c r="J630"/>
      <x:c r="K630"/>
      <x:c r="L630"/>
      <x:c r="M630"/>
    </x:row>
    <x:row r="631">
      <x:c r="A631"/>
      <x:c r="B631"/>
      <x:c r="C631"/>
      <x:c r="D631"/>
      <x:c r="E631"/>
      <x:c r="F631"/>
      <x:c r="G631"/>
      <x:c r="H631"/>
      <x:c r="I631"/>
      <x:c r="J631"/>
      <x:c r="K631"/>
      <x:c r="L631"/>
      <x:c r="M631"/>
    </x:row>
    <x:row r="632">
      <x:c r="A632"/>
      <x:c r="B632"/>
      <x:c r="C632"/>
      <x:c r="D632"/>
      <x:c r="E632"/>
      <x:c r="F632"/>
      <x:c r="G632"/>
      <x:c r="H632"/>
      <x:c r="I632"/>
      <x:c r="J632"/>
      <x:c r="K632"/>
      <x:c r="L632"/>
      <x:c r="M632"/>
    </x:row>
    <x:row r="633">
      <x:c r="A633"/>
      <x:c r="B633"/>
      <x:c r="C633"/>
      <x:c r="D633"/>
      <x:c r="E633"/>
      <x:c r="F633"/>
      <x:c r="G633"/>
      <x:c r="H633"/>
      <x:c r="I633"/>
      <x:c r="J633"/>
      <x:c r="K633"/>
      <x:c r="L633"/>
      <x:c r="M633"/>
    </x:row>
    <x:row r="634">
      <x:c r="A634"/>
      <x:c r="B634"/>
      <x:c r="C634"/>
      <x:c r="D634"/>
      <x:c r="E634"/>
      <x:c r="F634"/>
      <x:c r="G634"/>
      <x:c r="H634"/>
      <x:c r="I634"/>
      <x:c r="J634"/>
      <x:c r="K634"/>
      <x:c r="L634"/>
      <x:c r="M634"/>
    </x:row>
    <x:row r="635">
      <x:c r="A635"/>
      <x:c r="B635"/>
      <x:c r="C635"/>
      <x:c r="D635"/>
      <x:c r="E635"/>
      <x:c r="F635"/>
      <x:c r="G635"/>
      <x:c r="H635"/>
      <x:c r="I635"/>
      <x:c r="J635"/>
      <x:c r="K635"/>
      <x:c r="L635"/>
      <x:c r="M635"/>
    </x:row>
    <x:row r="636">
      <x:c r="A636"/>
      <x:c r="B636"/>
      <x:c r="C636"/>
      <x:c r="D636"/>
      <x:c r="E636"/>
      <x:c r="F636"/>
      <x:c r="G636"/>
      <x:c r="H636"/>
      <x:c r="I636"/>
      <x:c r="J636"/>
      <x:c r="K636"/>
      <x:c r="L636"/>
      <x:c r="M636"/>
    </x:row>
    <x:row r="637">
      <x:c r="A637"/>
      <x:c r="B637"/>
      <x:c r="C637"/>
      <x:c r="D637"/>
      <x:c r="E637"/>
      <x:c r="F637"/>
      <x:c r="G637"/>
      <x:c r="H637"/>
      <x:c r="I637"/>
      <x:c r="J637"/>
      <x:c r="K637"/>
      <x:c r="L637"/>
      <x:c r="M637"/>
    </x:row>
    <x:row r="638">
      <x:c r="A638"/>
      <x:c r="B638"/>
      <x:c r="C638"/>
      <x:c r="D638"/>
      <x:c r="E638"/>
      <x:c r="F638"/>
      <x:c r="G638"/>
      <x:c r="H638"/>
      <x:c r="I638"/>
      <x:c r="J638"/>
      <x:c r="K638"/>
      <x:c r="L638"/>
      <x:c r="M638"/>
    </x:row>
    <x:row r="639">
      <x:c r="A639"/>
      <x:c r="B639"/>
      <x:c r="C639"/>
      <x:c r="D639"/>
      <x:c r="E639"/>
      <x:c r="F639"/>
      <x:c r="G639"/>
      <x:c r="H639"/>
      <x:c r="I639"/>
      <x:c r="J639"/>
      <x:c r="K639"/>
      <x:c r="L639"/>
      <x:c r="M639"/>
    </x:row>
    <x:row r="640">
      <x:c r="A640"/>
      <x:c r="B640"/>
      <x:c r="C640"/>
      <x:c r="D640"/>
      <x:c r="E640"/>
      <x:c r="F640"/>
      <x:c r="G640"/>
      <x:c r="H640"/>
      <x:c r="I640"/>
      <x:c r="J640"/>
      <x:c r="K640"/>
      <x:c r="L640"/>
      <x:c r="M640"/>
    </x:row>
    <x:row r="641">
      <x:c r="A641"/>
      <x:c r="B641"/>
      <x:c r="C641"/>
      <x:c r="D641"/>
      <x:c r="E641"/>
      <x:c r="F641"/>
      <x:c r="G641"/>
      <x:c r="H641"/>
      <x:c r="I641"/>
      <x:c r="J641"/>
      <x:c r="K641"/>
      <x:c r="L641"/>
      <x:c r="M641"/>
    </x:row>
    <x:row r="642">
      <x:c r="A642"/>
      <x:c r="B642"/>
      <x:c r="C642"/>
      <x:c r="D642"/>
      <x:c r="E642"/>
      <x:c r="F642"/>
      <x:c r="G642"/>
      <x:c r="H642"/>
      <x:c r="I642"/>
      <x:c r="J642"/>
      <x:c r="K642"/>
      <x:c r="L642"/>
      <x:c r="M642"/>
    </x:row>
    <x:row r="643">
      <x:c r="A643"/>
      <x:c r="B643"/>
      <x:c r="C643"/>
      <x:c r="D643"/>
      <x:c r="E643"/>
      <x:c r="F643"/>
      <x:c r="G643"/>
      <x:c r="H643"/>
      <x:c r="I643"/>
      <x:c r="J643"/>
      <x:c r="K643"/>
      <x:c r="L643"/>
      <x:c r="M643"/>
    </x:row>
    <x:row r="644">
      <x:c r="A644"/>
      <x:c r="B644"/>
      <x:c r="C644"/>
      <x:c r="D644"/>
      <x:c r="E644"/>
      <x:c r="F644"/>
      <x:c r="G644"/>
      <x:c r="H644"/>
      <x:c r="I644"/>
      <x:c r="J644"/>
      <x:c r="K644"/>
      <x:c r="L644"/>
      <x:c r="M644"/>
    </x:row>
    <x:row r="645">
      <x:c r="A645"/>
      <x:c r="B645"/>
      <x:c r="C645"/>
      <x:c r="D645"/>
      <x:c r="E645"/>
      <x:c r="F645"/>
      <x:c r="G645"/>
      <x:c r="H645"/>
      <x:c r="I645"/>
      <x:c r="J645"/>
      <x:c r="K645"/>
      <x:c r="L645"/>
      <x:c r="M645"/>
    </x:row>
    <x:row r="646">
      <x:c r="A646"/>
      <x:c r="B646"/>
      <x:c r="C646"/>
      <x:c r="D646"/>
      <x:c r="E646"/>
      <x:c r="F646"/>
      <x:c r="G646"/>
      <x:c r="H646"/>
      <x:c r="I646"/>
      <x:c r="J646"/>
      <x:c r="K646"/>
      <x:c r="L646"/>
      <x:c r="M646"/>
    </x:row>
    <x:row r="647">
      <x:c r="A647"/>
      <x:c r="B647"/>
      <x:c r="C647"/>
      <x:c r="D647"/>
      <x:c r="E647"/>
      <x:c r="F647"/>
      <x:c r="G647"/>
      <x:c r="H647"/>
      <x:c r="I647"/>
      <x:c r="J647"/>
      <x:c r="K647"/>
      <x:c r="L647"/>
      <x:c r="M647"/>
    </x:row>
    <x:row r="648">
      <x:c r="A648"/>
      <x:c r="B648"/>
      <x:c r="C648"/>
      <x:c r="D648"/>
      <x:c r="E648"/>
      <x:c r="F648"/>
      <x:c r="G648"/>
      <x:c r="H648"/>
      <x:c r="I648"/>
      <x:c r="J648"/>
      <x:c r="K648"/>
      <x:c r="L648"/>
      <x:c r="M648"/>
    </x:row>
    <x:row r="649">
      <x:c r="A649"/>
      <x:c r="B649"/>
      <x:c r="C649"/>
      <x:c r="D649"/>
      <x:c r="E649"/>
      <x:c r="F649"/>
      <x:c r="G649"/>
      <x:c r="H649"/>
      <x:c r="I649"/>
      <x:c r="J649"/>
      <x:c r="K649"/>
      <x:c r="L649"/>
      <x:c r="M649"/>
    </x:row>
    <x:row r="650">
      <x:c r="A650"/>
      <x:c r="B650"/>
      <x:c r="C650"/>
      <x:c r="D650"/>
      <x:c r="E650"/>
      <x:c r="F650"/>
      <x:c r="G650"/>
      <x:c r="H650"/>
      <x:c r="I650"/>
      <x:c r="J650"/>
      <x:c r="K650"/>
      <x:c r="L650"/>
      <x:c r="M650"/>
    </x:row>
    <x:row r="651">
      <x:c r="A651"/>
      <x:c r="B651"/>
      <x:c r="C651"/>
      <x:c r="D651"/>
      <x:c r="E651"/>
      <x:c r="F651"/>
      <x:c r="G651"/>
      <x:c r="H651"/>
      <x:c r="I651"/>
      <x:c r="J651"/>
      <x:c r="K651"/>
      <x:c r="L651"/>
      <x:c r="M651"/>
    </x:row>
    <x:row r="652">
      <x:c r="A652"/>
      <x:c r="B652"/>
      <x:c r="C652"/>
      <x:c r="D652"/>
      <x:c r="E652"/>
      <x:c r="F652"/>
      <x:c r="G652"/>
      <x:c r="H652"/>
      <x:c r="I652"/>
      <x:c r="J652"/>
      <x:c r="K652"/>
      <x:c r="L652"/>
      <x:c r="M652"/>
    </x:row>
    <x:row r="653">
      <x:c r="A653"/>
      <x:c r="B653"/>
      <x:c r="C653"/>
      <x:c r="D653"/>
      <x:c r="E653"/>
      <x:c r="F653"/>
      <x:c r="G653"/>
      <x:c r="H653"/>
      <x:c r="I653"/>
      <x:c r="J653"/>
      <x:c r="K653"/>
      <x:c r="L653"/>
      <x:c r="M653"/>
    </x:row>
    <x:row r="654">
      <x:c r="A654"/>
      <x:c r="B654"/>
      <x:c r="C654"/>
      <x:c r="D654"/>
      <x:c r="E654"/>
      <x:c r="F654"/>
      <x:c r="G654"/>
      <x:c r="H654"/>
      <x:c r="I654"/>
      <x:c r="J654"/>
      <x:c r="K654"/>
      <x:c r="L654"/>
      <x:c r="M654"/>
    </x:row>
    <x:row r="655">
      <x:c r="A655"/>
      <x:c r="B655"/>
      <x:c r="C655"/>
      <x:c r="D655"/>
      <x:c r="E655"/>
      <x:c r="F655"/>
      <x:c r="G655"/>
      <x:c r="H655"/>
      <x:c r="I655"/>
      <x:c r="J655"/>
      <x:c r="K655"/>
      <x:c r="L655"/>
      <x:c r="M655"/>
    </x:row>
    <x:row r="656">
      <x:c r="A656"/>
      <x:c r="B656"/>
      <x:c r="C656"/>
      <x:c r="D656"/>
      <x:c r="E656"/>
      <x:c r="F656"/>
      <x:c r="G656"/>
      <x:c r="H656"/>
      <x:c r="I656"/>
      <x:c r="J656"/>
      <x:c r="K656"/>
      <x:c r="L656"/>
      <x:c r="M656"/>
    </x:row>
    <x:row r="657">
      <x:c r="A657"/>
      <x:c r="B657"/>
      <x:c r="C657"/>
      <x:c r="D657"/>
      <x:c r="E657"/>
      <x:c r="F657"/>
      <x:c r="G657"/>
      <x:c r="H657"/>
      <x:c r="I657"/>
      <x:c r="J657"/>
      <x:c r="K657"/>
      <x:c r="L657"/>
      <x:c r="M657"/>
    </x:row>
    <x:row r="658">
      <x:c r="A658"/>
      <x:c r="B658"/>
      <x:c r="C658"/>
      <x:c r="D658"/>
      <x:c r="E658"/>
      <x:c r="F658"/>
      <x:c r="G658"/>
      <x:c r="H658"/>
      <x:c r="I658"/>
      <x:c r="J658"/>
      <x:c r="K658"/>
      <x:c r="L658"/>
      <x:c r="M658"/>
    </x:row>
    <x:row r="659">
      <x:c r="A659"/>
      <x:c r="B659"/>
      <x:c r="C659"/>
      <x:c r="D659"/>
      <x:c r="E659"/>
      <x:c r="F659"/>
      <x:c r="G659"/>
      <x:c r="H659"/>
      <x:c r="I659"/>
      <x:c r="J659"/>
      <x:c r="K659"/>
      <x:c r="L659"/>
      <x:c r="M659"/>
    </x:row>
    <x:row r="660">
      <x:c r="A660"/>
      <x:c r="B660"/>
      <x:c r="C660"/>
      <x:c r="D660"/>
      <x:c r="E660"/>
      <x:c r="F660"/>
      <x:c r="G660"/>
      <x:c r="H660"/>
      <x:c r="I660"/>
      <x:c r="J660"/>
      <x:c r="K660"/>
      <x:c r="L660"/>
      <x:c r="M660"/>
    </x:row>
    <x:row r="661">
      <x:c r="A661"/>
      <x:c r="B661"/>
      <x:c r="C661"/>
      <x:c r="D661"/>
      <x:c r="E661"/>
      <x:c r="F661"/>
      <x:c r="G661"/>
      <x:c r="H661"/>
      <x:c r="I661"/>
      <x:c r="J661"/>
      <x:c r="K661"/>
      <x:c r="L661"/>
      <x:c r="M661"/>
    </x:row>
    <x:row r="662">
      <x:c r="A662"/>
      <x:c r="B662"/>
      <x:c r="C662"/>
      <x:c r="D662"/>
      <x:c r="E662"/>
      <x:c r="F662"/>
      <x:c r="G662"/>
      <x:c r="H662"/>
      <x:c r="I662"/>
      <x:c r="J662"/>
      <x:c r="K662"/>
      <x:c r="L662"/>
      <x:c r="M662"/>
    </x:row>
    <x:row r="663">
      <x:c r="A663"/>
      <x:c r="B663"/>
      <x:c r="C663"/>
      <x:c r="D663"/>
      <x:c r="E663"/>
      <x:c r="F663"/>
      <x:c r="G663"/>
      <x:c r="H663"/>
      <x:c r="I663"/>
      <x:c r="J663"/>
      <x:c r="K663"/>
      <x:c r="L663"/>
      <x:c r="M663"/>
    </x:row>
    <x:row r="664">
      <x:c r="A664"/>
      <x:c r="B664"/>
      <x:c r="C664"/>
      <x:c r="D664"/>
      <x:c r="E664"/>
      <x:c r="F664"/>
      <x:c r="G664"/>
      <x:c r="H664"/>
      <x:c r="I664"/>
      <x:c r="J664"/>
      <x:c r="K664"/>
      <x:c r="L664"/>
      <x:c r="M664"/>
    </x:row>
    <x:row r="665">
      <x:c r="A665"/>
      <x:c r="B665"/>
      <x:c r="C665"/>
      <x:c r="D665"/>
      <x:c r="E665"/>
      <x:c r="F665"/>
      <x:c r="G665"/>
      <x:c r="H665"/>
      <x:c r="I665"/>
      <x:c r="J665"/>
      <x:c r="K665"/>
      <x:c r="L665"/>
      <x:c r="M665"/>
    </x:row>
    <x:row r="666">
      <x:c r="A666"/>
      <x:c r="B666"/>
      <x:c r="C666"/>
      <x:c r="D666"/>
      <x:c r="E666"/>
      <x:c r="F666"/>
      <x:c r="G666"/>
      <x:c r="H666"/>
      <x:c r="I666"/>
      <x:c r="J666"/>
      <x:c r="K666"/>
      <x:c r="L666"/>
      <x:c r="M666"/>
    </x:row>
    <x:row r="667">
      <x:c r="A667"/>
      <x:c r="B667"/>
      <x:c r="C667"/>
      <x:c r="D667"/>
      <x:c r="E667"/>
      <x:c r="F667"/>
      <x:c r="G667"/>
      <x:c r="H667"/>
      <x:c r="I667"/>
      <x:c r="J667"/>
      <x:c r="K667"/>
      <x:c r="L667"/>
      <x:c r="M667"/>
    </x:row>
    <x:row r="668">
      <x:c r="A668"/>
      <x:c r="B668"/>
      <x:c r="C668"/>
      <x:c r="D668"/>
      <x:c r="E668"/>
      <x:c r="F668"/>
      <x:c r="G668"/>
      <x:c r="H668"/>
      <x:c r="I668"/>
      <x:c r="J668"/>
      <x:c r="K668"/>
      <x:c r="L668"/>
      <x:c r="M668"/>
    </x:row>
    <x:row r="669">
      <x:c r="A669"/>
      <x:c r="B669"/>
      <x:c r="C669"/>
      <x:c r="D669"/>
      <x:c r="E669"/>
      <x:c r="F669"/>
      <x:c r="G669"/>
      <x:c r="H669"/>
      <x:c r="I669"/>
      <x:c r="J669"/>
      <x:c r="K669"/>
      <x:c r="L669"/>
      <x:c r="M669"/>
    </x:row>
    <x:row r="670">
      <x:c r="A670"/>
      <x:c r="B670"/>
      <x:c r="C670"/>
      <x:c r="D670"/>
      <x:c r="E670"/>
      <x:c r="F670"/>
      <x:c r="G670"/>
      <x:c r="H670"/>
      <x:c r="I670"/>
      <x:c r="J670"/>
      <x:c r="K670"/>
      <x:c r="L670"/>
      <x:c r="M670"/>
    </x:row>
    <x:row r="671">
      <x:c r="A671"/>
      <x:c r="B671"/>
      <x:c r="C671"/>
      <x:c r="D671"/>
      <x:c r="E671"/>
      <x:c r="F671"/>
      <x:c r="G671"/>
      <x:c r="H671"/>
      <x:c r="I671"/>
      <x:c r="J671"/>
      <x:c r="K671"/>
      <x:c r="L671"/>
      <x:c r="M671"/>
    </x:row>
    <x:row r="672">
      <x:c r="A672"/>
      <x:c r="B672"/>
      <x:c r="C672"/>
      <x:c r="D672"/>
      <x:c r="E672"/>
      <x:c r="F672"/>
      <x:c r="G672"/>
      <x:c r="H672"/>
      <x:c r="I672"/>
      <x:c r="J672"/>
      <x:c r="K672"/>
      <x:c r="L672"/>
      <x:c r="M672"/>
    </x:row>
    <x:row r="673">
      <x:c r="A673"/>
      <x:c r="B673"/>
      <x:c r="C673"/>
      <x:c r="D673"/>
      <x:c r="E673"/>
      <x:c r="F673"/>
      <x:c r="G673"/>
      <x:c r="H673"/>
      <x:c r="I673"/>
      <x:c r="J673"/>
      <x:c r="K673"/>
      <x:c r="L673"/>
      <x:c r="M673"/>
    </x:row>
    <x:row r="674">
      <x:c r="A674"/>
      <x:c r="B674"/>
      <x:c r="C674"/>
      <x:c r="D674"/>
      <x:c r="E674"/>
      <x:c r="F674"/>
      <x:c r="G674"/>
      <x:c r="H674"/>
      <x:c r="I674"/>
      <x:c r="J674"/>
      <x:c r="K674"/>
      <x:c r="L674"/>
      <x:c r="M674"/>
    </x:row>
    <x:row r="675">
      <x:c r="A675"/>
      <x:c r="B675"/>
      <x:c r="C675"/>
      <x:c r="D675"/>
      <x:c r="E675"/>
      <x:c r="F675"/>
      <x:c r="G675"/>
      <x:c r="H675"/>
      <x:c r="I675"/>
      <x:c r="J675"/>
      <x:c r="K675"/>
      <x:c r="L675"/>
      <x:c r="M675"/>
    </x:row>
    <x:row r="676">
      <x:c r="A676"/>
      <x:c r="B676"/>
      <x:c r="C676"/>
      <x:c r="D676"/>
      <x:c r="E676"/>
      <x:c r="F676"/>
      <x:c r="G676"/>
      <x:c r="H676"/>
      <x:c r="I676"/>
      <x:c r="J676"/>
      <x:c r="K676"/>
      <x:c r="L676"/>
      <x:c r="M676"/>
    </x:row>
    <x:row r="677">
      <x:c r="A677"/>
      <x:c r="B677"/>
      <x:c r="C677"/>
      <x:c r="D677"/>
      <x:c r="E677"/>
      <x:c r="F677"/>
      <x:c r="G677"/>
      <x:c r="H677"/>
      <x:c r="I677"/>
      <x:c r="J677"/>
      <x:c r="K677"/>
      <x:c r="L677"/>
      <x:c r="M677"/>
    </x:row>
    <x:row r="678">
      <x:c r="A678"/>
      <x:c r="B678"/>
      <x:c r="C678"/>
      <x:c r="D678"/>
      <x:c r="E678"/>
      <x:c r="F678"/>
      <x:c r="G678"/>
      <x:c r="H678"/>
      <x:c r="I678"/>
      <x:c r="J678"/>
      <x:c r="K678"/>
      <x:c r="L678"/>
      <x:c r="M678"/>
    </x:row>
    <x:row r="679">
      <x:c r="A679"/>
      <x:c r="B679"/>
      <x:c r="C679"/>
      <x:c r="D679"/>
      <x:c r="E679"/>
      <x:c r="F679"/>
      <x:c r="G679"/>
      <x:c r="H679"/>
      <x:c r="I679"/>
      <x:c r="J679"/>
      <x:c r="K679"/>
      <x:c r="L679"/>
      <x:c r="M679"/>
    </x:row>
    <x:row r="680">
      <x:c r="A680"/>
      <x:c r="B680"/>
      <x:c r="C680"/>
      <x:c r="D680"/>
      <x:c r="E680"/>
      <x:c r="F680"/>
      <x:c r="G680"/>
      <x:c r="H680"/>
      <x:c r="I680"/>
      <x:c r="J680"/>
      <x:c r="K680"/>
      <x:c r="L680"/>
      <x:c r="M680"/>
    </x:row>
    <x:row r="681">
      <x:c r="A681"/>
      <x:c r="B681"/>
      <x:c r="C681"/>
      <x:c r="D681"/>
      <x:c r="E681"/>
      <x:c r="F681"/>
      <x:c r="G681"/>
      <x:c r="H681"/>
      <x:c r="I681"/>
      <x:c r="J681"/>
      <x:c r="K681"/>
      <x:c r="L681"/>
      <x:c r="M681"/>
    </x:row>
    <x:row r="682">
      <x:c r="A682"/>
      <x:c r="B682"/>
      <x:c r="C682"/>
      <x:c r="D682"/>
      <x:c r="E682"/>
      <x:c r="F682"/>
      <x:c r="G682"/>
      <x:c r="H682"/>
      <x:c r="I682"/>
      <x:c r="J682"/>
      <x:c r="K682"/>
      <x:c r="L682"/>
      <x:c r="M682"/>
    </x:row>
    <x:row r="683">
      <x:c r="A683"/>
      <x:c r="B683"/>
      <x:c r="C683"/>
      <x:c r="D683"/>
      <x:c r="E683"/>
      <x:c r="F683"/>
      <x:c r="G683"/>
      <x:c r="H683"/>
      <x:c r="I683"/>
      <x:c r="J683"/>
      <x:c r="K683"/>
      <x:c r="L683"/>
      <x:c r="M683"/>
    </x:row>
    <x:row r="684">
      <x:c r="A684"/>
      <x:c r="B684"/>
      <x:c r="C684"/>
      <x:c r="D684"/>
      <x:c r="E684"/>
      <x:c r="F684"/>
      <x:c r="G684"/>
      <x:c r="H684"/>
      <x:c r="I684"/>
      <x:c r="J684"/>
      <x:c r="K684"/>
      <x:c r="L684"/>
      <x:c r="M684"/>
    </x:row>
    <x:row r="685">
      <x:c r="A685"/>
      <x:c r="B685"/>
      <x:c r="C685"/>
      <x:c r="D685"/>
      <x:c r="E685"/>
      <x:c r="F685"/>
      <x:c r="G685"/>
      <x:c r="H685"/>
      <x:c r="I685"/>
      <x:c r="J685"/>
      <x:c r="K685"/>
      <x:c r="L685"/>
      <x:c r="M685"/>
    </x:row>
    <x:row r="686">
      <x:c r="A686"/>
      <x:c r="B686"/>
      <x:c r="C686"/>
      <x:c r="D686"/>
      <x:c r="E686"/>
      <x:c r="F686"/>
      <x:c r="G686"/>
      <x:c r="H686"/>
      <x:c r="I686"/>
      <x:c r="J686"/>
      <x:c r="K686"/>
      <x:c r="L686"/>
      <x:c r="M686"/>
    </x:row>
    <x:row r="687">
      <x:c r="A687"/>
      <x:c r="B687"/>
      <x:c r="C687"/>
      <x:c r="D687"/>
      <x:c r="E687"/>
      <x:c r="F687"/>
      <x:c r="G687"/>
      <x:c r="H687"/>
      <x:c r="I687"/>
      <x:c r="J687"/>
      <x:c r="K687"/>
      <x:c r="L687"/>
      <x:c r="M687"/>
    </x:row>
    <x:row r="688">
      <x:c r="A688"/>
      <x:c r="B688"/>
      <x:c r="C688"/>
      <x:c r="D688"/>
      <x:c r="E688"/>
      <x:c r="F688"/>
      <x:c r="G688"/>
      <x:c r="H688"/>
      <x:c r="I688"/>
      <x:c r="J688"/>
      <x:c r="K688"/>
      <x:c r="L688"/>
      <x:c r="M688"/>
    </x:row>
    <x:row r="689">
      <x:c r="A689"/>
      <x:c r="B689"/>
      <x:c r="C689"/>
      <x:c r="D689"/>
      <x:c r="E689"/>
      <x:c r="F689"/>
      <x:c r="G689"/>
      <x:c r="H689"/>
      <x:c r="I689"/>
      <x:c r="J689"/>
      <x:c r="K689"/>
      <x:c r="L689"/>
      <x:c r="M689"/>
    </x:row>
    <x:row r="690">
      <x:c r="A690"/>
      <x:c r="B690"/>
      <x:c r="C690"/>
      <x:c r="D690"/>
      <x:c r="E690"/>
      <x:c r="F690"/>
      <x:c r="G690"/>
      <x:c r="H690"/>
      <x:c r="I690"/>
      <x:c r="J690"/>
      <x:c r="K690"/>
      <x:c r="L690"/>
      <x:c r="M690"/>
    </x:row>
    <x:row r="691">
      <x:c r="A691"/>
      <x:c r="B691"/>
      <x:c r="C691"/>
      <x:c r="D691"/>
      <x:c r="E691"/>
      <x:c r="F691"/>
      <x:c r="G691"/>
      <x:c r="H691"/>
      <x:c r="I691"/>
      <x:c r="J691"/>
      <x:c r="K691"/>
      <x:c r="L691"/>
      <x:c r="M691"/>
    </x:row>
    <x:row r="692">
      <x:c r="A692"/>
      <x:c r="B692"/>
      <x:c r="C692"/>
      <x:c r="D692"/>
      <x:c r="E692"/>
      <x:c r="F692"/>
      <x:c r="G692"/>
      <x:c r="H692"/>
      <x:c r="I692"/>
      <x:c r="J692"/>
      <x:c r="K692"/>
      <x:c r="L692"/>
      <x:c r="M692"/>
    </x:row>
    <x:row r="693">
      <x:c r="A693"/>
      <x:c r="B693"/>
      <x:c r="C693"/>
      <x:c r="D693"/>
      <x:c r="E693"/>
      <x:c r="F693"/>
      <x:c r="G693"/>
      <x:c r="H693"/>
      <x:c r="I693"/>
      <x:c r="J693"/>
      <x:c r="K693"/>
      <x:c r="L693"/>
      <x:c r="M693"/>
    </x:row>
    <x:row r="694">
      <x:c r="A694"/>
      <x:c r="B694"/>
      <x:c r="C694"/>
      <x:c r="D694"/>
      <x:c r="E694"/>
      <x:c r="F694"/>
      <x:c r="G694"/>
      <x:c r="H694"/>
      <x:c r="I694"/>
      <x:c r="J694"/>
      <x:c r="K694"/>
      <x:c r="L694"/>
      <x:c r="M694"/>
    </x:row>
    <x:row r="695">
      <x:c r="A695"/>
      <x:c r="B695"/>
      <x:c r="C695"/>
      <x:c r="D695"/>
      <x:c r="E695"/>
      <x:c r="F695"/>
      <x:c r="G695"/>
      <x:c r="H695"/>
      <x:c r="I695"/>
      <x:c r="J695"/>
      <x:c r="K695"/>
      <x:c r="L695"/>
      <x:c r="M695"/>
    </x:row>
    <x:row r="696">
      <x:c r="A696"/>
      <x:c r="B696"/>
      <x:c r="C696"/>
      <x:c r="D696"/>
      <x:c r="E696"/>
      <x:c r="F696"/>
      <x:c r="G696"/>
      <x:c r="H696"/>
      <x:c r="I696"/>
      <x:c r="J696"/>
      <x:c r="K696"/>
      <x:c r="L696"/>
      <x:c r="M696"/>
    </x:row>
    <x:row r="697">
      <x:c r="A697"/>
      <x:c r="B697"/>
      <x:c r="C697"/>
      <x:c r="D697"/>
      <x:c r="E697"/>
      <x:c r="F697"/>
      <x:c r="G697"/>
      <x:c r="H697"/>
      <x:c r="I697"/>
      <x:c r="J697"/>
      <x:c r="K697"/>
      <x:c r="L697"/>
      <x:c r="M697"/>
    </x:row>
    <x:row r="698">
      <x:c r="A698"/>
      <x:c r="B698"/>
      <x:c r="C698"/>
      <x:c r="D698"/>
      <x:c r="E698"/>
      <x:c r="F698"/>
      <x:c r="G698"/>
      <x:c r="H698"/>
      <x:c r="I698"/>
      <x:c r="J698"/>
      <x:c r="K698"/>
      <x:c r="L698"/>
      <x:c r="M698"/>
    </x:row>
    <x:row r="699">
      <x:c r="A699"/>
      <x:c r="B699"/>
      <x:c r="C699"/>
      <x:c r="D699"/>
      <x:c r="E699"/>
      <x:c r="F699"/>
      <x:c r="G699"/>
      <x:c r="H699"/>
      <x:c r="I699"/>
      <x:c r="J699"/>
      <x:c r="K699"/>
      <x:c r="L699"/>
      <x:c r="M699"/>
    </x:row>
    <x:row r="700">
      <x:c r="A700"/>
      <x:c r="B700"/>
      <x:c r="C700"/>
      <x:c r="D700"/>
      <x:c r="E700"/>
      <x:c r="F700"/>
      <x:c r="G700"/>
      <x:c r="H700"/>
      <x:c r="I700"/>
      <x:c r="J700"/>
      <x:c r="K700"/>
      <x:c r="L700"/>
      <x:c r="M700"/>
    </x:row>
    <x:row r="701">
      <x:c r="A701"/>
      <x:c r="B701"/>
      <x:c r="C701"/>
      <x:c r="D701"/>
      <x:c r="E701"/>
      <x:c r="F701"/>
      <x:c r="G701"/>
      <x:c r="H701"/>
      <x:c r="I701"/>
      <x:c r="J701"/>
      <x:c r="K701"/>
      <x:c r="L701"/>
      <x:c r="M701"/>
    </x:row>
    <x:row r="702">
      <x:c r="A702"/>
      <x:c r="B702"/>
      <x:c r="C702"/>
      <x:c r="D702"/>
      <x:c r="E702"/>
      <x:c r="F702"/>
      <x:c r="G702"/>
      <x:c r="H702"/>
      <x:c r="I702"/>
      <x:c r="J702"/>
      <x:c r="K702"/>
      <x:c r="L702"/>
      <x:c r="M702"/>
    </x:row>
    <x:row r="703">
      <x:c r="A703"/>
      <x:c r="B703"/>
      <x:c r="C703"/>
      <x:c r="D703"/>
      <x:c r="E703"/>
      <x:c r="F703"/>
      <x:c r="G703"/>
      <x:c r="H703"/>
      <x:c r="I703"/>
      <x:c r="J703"/>
      <x:c r="K703"/>
      <x:c r="L703"/>
      <x:c r="M703"/>
    </x:row>
    <x:row r="704">
      <x:c r="A704"/>
      <x:c r="B704"/>
      <x:c r="C704"/>
      <x:c r="D704"/>
      <x:c r="E704"/>
      <x:c r="F704"/>
      <x:c r="G704"/>
      <x:c r="H704"/>
      <x:c r="I704"/>
      <x:c r="J704"/>
      <x:c r="K704"/>
      <x:c r="L704"/>
      <x:c r="M704"/>
    </x:row>
    <x:row r="705">
      <x:c r="A705"/>
      <x:c r="B705"/>
      <x:c r="C705"/>
      <x:c r="D705"/>
      <x:c r="E705"/>
      <x:c r="F705"/>
      <x:c r="G705"/>
      <x:c r="H705"/>
      <x:c r="I705"/>
      <x:c r="J705"/>
      <x:c r="K705"/>
      <x:c r="L705"/>
      <x:c r="M705"/>
    </x:row>
    <x:row r="706">
      <x:c r="A706"/>
      <x:c r="B706"/>
      <x:c r="C706"/>
      <x:c r="D706"/>
      <x:c r="E706"/>
      <x:c r="F706"/>
      <x:c r="G706"/>
      <x:c r="H706"/>
      <x:c r="I706"/>
      <x:c r="J706"/>
      <x:c r="K706"/>
      <x:c r="L706"/>
      <x:c r="M706"/>
    </x:row>
    <x:row r="707">
      <x:c r="A707"/>
      <x:c r="B707"/>
      <x:c r="C707"/>
      <x:c r="D707"/>
      <x:c r="E707"/>
      <x:c r="F707"/>
      <x:c r="G707"/>
      <x:c r="H707"/>
      <x:c r="I707"/>
      <x:c r="J707"/>
      <x:c r="K707"/>
      <x:c r="L707"/>
      <x:c r="M707"/>
    </x:row>
    <x:row r="708">
      <x:c r="A708"/>
      <x:c r="B708"/>
      <x:c r="C708"/>
      <x:c r="D708"/>
      <x:c r="E708"/>
      <x:c r="F708"/>
      <x:c r="G708"/>
      <x:c r="H708"/>
      <x:c r="I708"/>
      <x:c r="J708"/>
      <x:c r="K708"/>
      <x:c r="L708"/>
      <x:c r="M708"/>
    </x:row>
    <x:row r="709">
      <x:c r="A709"/>
      <x:c r="B709"/>
      <x:c r="C709"/>
      <x:c r="D709"/>
      <x:c r="E709"/>
      <x:c r="F709"/>
      <x:c r="G709"/>
      <x:c r="H709"/>
      <x:c r="I709"/>
      <x:c r="J709"/>
      <x:c r="K709"/>
      <x:c r="L709"/>
      <x:c r="M709"/>
    </x:row>
    <x:row r="710">
      <x:c r="A710"/>
      <x:c r="B710"/>
      <x:c r="C710"/>
      <x:c r="D710"/>
      <x:c r="E710"/>
      <x:c r="F710"/>
      <x:c r="G710"/>
      <x:c r="H710"/>
      <x:c r="I710"/>
      <x:c r="J710"/>
      <x:c r="K710"/>
      <x:c r="L710"/>
      <x:c r="M710"/>
    </x:row>
    <x:row r="711">
      <x:c r="A711"/>
      <x:c r="B711"/>
      <x:c r="C711"/>
      <x:c r="D711"/>
      <x:c r="E711"/>
      <x:c r="F711"/>
      <x:c r="G711"/>
      <x:c r="H711"/>
      <x:c r="I711"/>
      <x:c r="J711"/>
      <x:c r="K711"/>
      <x:c r="L711"/>
      <x:c r="M711"/>
    </x:row>
    <x:row r="712">
      <x:c r="A712"/>
      <x:c r="B712"/>
      <x:c r="C712"/>
      <x:c r="D712"/>
      <x:c r="E712"/>
      <x:c r="F712"/>
      <x:c r="G712"/>
      <x:c r="H712"/>
      <x:c r="I712"/>
      <x:c r="J712"/>
      <x:c r="K712"/>
      <x:c r="L712"/>
      <x:c r="M712"/>
    </x:row>
    <x:row r="713">
      <x:c r="A713"/>
      <x:c r="B713"/>
      <x:c r="C713"/>
      <x:c r="D713"/>
      <x:c r="E713"/>
      <x:c r="F713"/>
      <x:c r="G713"/>
      <x:c r="H713"/>
      <x:c r="I713"/>
      <x:c r="J713"/>
      <x:c r="K713"/>
      <x:c r="L713"/>
      <x:c r="M713"/>
    </x:row>
    <x:row r="714">
      <x:c r="A714"/>
      <x:c r="B714"/>
      <x:c r="C714"/>
      <x:c r="D714"/>
      <x:c r="E714"/>
      <x:c r="F714"/>
      <x:c r="G714"/>
      <x:c r="H714"/>
      <x:c r="I714"/>
      <x:c r="J714"/>
      <x:c r="K714"/>
      <x:c r="L714"/>
      <x:c r="M714"/>
    </x:row>
    <x:row r="715">
      <x:c r="A715"/>
      <x:c r="B715"/>
      <x:c r="C715"/>
      <x:c r="D715"/>
      <x:c r="E715"/>
      <x:c r="F715"/>
      <x:c r="G715"/>
      <x:c r="H715"/>
      <x:c r="I715"/>
      <x:c r="J715"/>
      <x:c r="K715"/>
      <x:c r="L715"/>
      <x:c r="M715"/>
    </x:row>
    <x:row r="716">
      <x:c r="A716"/>
      <x:c r="B716"/>
      <x:c r="C716"/>
      <x:c r="D716"/>
      <x:c r="E716"/>
      <x:c r="F716"/>
      <x:c r="G716"/>
      <x:c r="H716"/>
      <x:c r="I716"/>
      <x:c r="J716"/>
      <x:c r="K716"/>
      <x:c r="L716"/>
      <x:c r="M716"/>
    </x:row>
    <x:row r="717">
      <x:c r="A717"/>
      <x:c r="B717"/>
      <x:c r="C717"/>
      <x:c r="D717"/>
      <x:c r="E717"/>
      <x:c r="F717"/>
      <x:c r="G717"/>
      <x:c r="H717"/>
      <x:c r="I717"/>
      <x:c r="J717"/>
      <x:c r="K717"/>
      <x:c r="L717"/>
      <x:c r="M717"/>
    </x:row>
    <x:row r="718">
      <x:c r="A718"/>
      <x:c r="B718"/>
      <x:c r="C718"/>
      <x:c r="D718"/>
      <x:c r="E718"/>
      <x:c r="F718"/>
      <x:c r="G718"/>
      <x:c r="H718"/>
      <x:c r="I718"/>
      <x:c r="J718"/>
      <x:c r="K718"/>
      <x:c r="L718"/>
      <x:c r="M718"/>
    </x:row>
    <x:row r="719">
      <x:c r="A719"/>
      <x:c r="B719"/>
      <x:c r="C719"/>
      <x:c r="D719"/>
      <x:c r="E719"/>
      <x:c r="F719"/>
      <x:c r="G719"/>
      <x:c r="H719"/>
      <x:c r="I719"/>
      <x:c r="J719"/>
      <x:c r="K719"/>
      <x:c r="L719"/>
      <x:c r="M719"/>
    </x:row>
    <x:row r="720">
      <x:c r="A720"/>
      <x:c r="B720"/>
      <x:c r="C720"/>
      <x:c r="D720"/>
      <x:c r="E720"/>
      <x:c r="F720"/>
      <x:c r="G720"/>
      <x:c r="H720"/>
      <x:c r="I720"/>
      <x:c r="J720"/>
      <x:c r="K720"/>
      <x:c r="L720"/>
      <x:c r="M720"/>
    </x:row>
    <x:row r="721">
      <x:c r="A721"/>
      <x:c r="B721"/>
      <x:c r="C721"/>
      <x:c r="D721"/>
      <x:c r="E721"/>
      <x:c r="F721"/>
      <x:c r="G721"/>
      <x:c r="H721"/>
      <x:c r="I721"/>
      <x:c r="J721"/>
      <x:c r="K721"/>
      <x:c r="L721"/>
      <x:c r="M721"/>
    </x:row>
    <x:row r="722">
      <x:c r="A722"/>
      <x:c r="B722"/>
      <x:c r="C722"/>
      <x:c r="D722"/>
      <x:c r="E722"/>
      <x:c r="F722"/>
      <x:c r="G722"/>
      <x:c r="H722"/>
      <x:c r="I722"/>
      <x:c r="J722"/>
      <x:c r="K722"/>
      <x:c r="L722"/>
      <x:c r="M722"/>
    </x:row>
    <x:row r="723">
      <x:c r="A723"/>
      <x:c r="B723"/>
      <x:c r="C723"/>
      <x:c r="D723"/>
      <x:c r="E723"/>
      <x:c r="F723"/>
      <x:c r="G723"/>
      <x:c r="H723"/>
      <x:c r="I723"/>
      <x:c r="J723"/>
      <x:c r="K723"/>
      <x:c r="L723"/>
      <x:c r="M723"/>
    </x:row>
    <x:row r="724">
      <x:c r="A724"/>
      <x:c r="B724"/>
      <x:c r="C724"/>
      <x:c r="D724"/>
      <x:c r="E724"/>
      <x:c r="F724"/>
      <x:c r="G724"/>
      <x:c r="H724"/>
      <x:c r="I724"/>
      <x:c r="J724"/>
      <x:c r="K724"/>
      <x:c r="L724"/>
      <x:c r="M724"/>
    </x:row>
    <x:row r="725">
      <x:c r="A725"/>
      <x:c r="B725"/>
      <x:c r="C725"/>
      <x:c r="D725"/>
      <x:c r="E725"/>
      <x:c r="F725"/>
      <x:c r="G725"/>
      <x:c r="H725"/>
      <x:c r="I725"/>
      <x:c r="J725"/>
      <x:c r="K725"/>
      <x:c r="L725"/>
      <x:c r="M725"/>
    </x:row>
    <x:row r="726">
      <x:c r="A726"/>
      <x:c r="B726"/>
      <x:c r="C726"/>
      <x:c r="D726"/>
      <x:c r="E726"/>
      <x:c r="F726"/>
      <x:c r="G726"/>
      <x:c r="H726"/>
      <x:c r="I726"/>
      <x:c r="J726"/>
      <x:c r="K726"/>
      <x:c r="L726"/>
      <x:c r="M726"/>
    </x:row>
    <x:row r="727">
      <x:c r="A727"/>
      <x:c r="B727"/>
      <x:c r="C727"/>
      <x:c r="D727"/>
      <x:c r="E727"/>
      <x:c r="F727"/>
      <x:c r="G727"/>
      <x:c r="H727"/>
      <x:c r="I727"/>
      <x:c r="J727"/>
      <x:c r="K727"/>
      <x:c r="L727"/>
      <x:c r="M727"/>
    </x:row>
    <x:row r="728">
      <x:c r="A728"/>
      <x:c r="B728"/>
      <x:c r="C728"/>
      <x:c r="D728"/>
      <x:c r="E728"/>
      <x:c r="F728"/>
      <x:c r="G728"/>
      <x:c r="H728"/>
      <x:c r="I728"/>
      <x:c r="J728"/>
      <x:c r="K728"/>
      <x:c r="L728"/>
      <x:c r="M728"/>
    </x:row>
    <x:row r="729">
      <x:c r="A729"/>
      <x:c r="B729"/>
      <x:c r="C729"/>
      <x:c r="D729"/>
      <x:c r="E729"/>
      <x:c r="F729"/>
      <x:c r="G729"/>
      <x:c r="H729"/>
      <x:c r="I729"/>
      <x:c r="J729"/>
      <x:c r="K729"/>
      <x:c r="L729"/>
      <x:c r="M729"/>
    </x:row>
    <x:row r="730">
      <x:c r="A730"/>
      <x:c r="B730"/>
      <x:c r="C730"/>
      <x:c r="D730"/>
      <x:c r="E730"/>
      <x:c r="F730"/>
      <x:c r="G730"/>
      <x:c r="H730"/>
      <x:c r="I730"/>
      <x:c r="J730"/>
      <x:c r="K730"/>
      <x:c r="L730"/>
      <x:c r="M730"/>
    </x:row>
    <x:row r="731">
      <x:c r="A731"/>
      <x:c r="B731"/>
      <x:c r="C731"/>
      <x:c r="D731"/>
      <x:c r="E731"/>
      <x:c r="F731"/>
      <x:c r="G731"/>
      <x:c r="H731"/>
      <x:c r="I731"/>
      <x:c r="J731"/>
      <x:c r="K731"/>
      <x:c r="L731"/>
      <x:c r="M731"/>
    </x:row>
    <x:row r="732">
      <x:c r="A732"/>
      <x:c r="B732"/>
      <x:c r="C732"/>
      <x:c r="D732"/>
      <x:c r="E732"/>
      <x:c r="F732"/>
      <x:c r="G732"/>
      <x:c r="H732"/>
      <x:c r="I732"/>
      <x:c r="J732"/>
      <x:c r="K732"/>
      <x:c r="L732"/>
      <x:c r="M732"/>
    </x:row>
    <x:row r="733">
      <x:c r="A733"/>
      <x:c r="B733"/>
      <x:c r="C733"/>
      <x:c r="D733"/>
      <x:c r="E733"/>
      <x:c r="F733"/>
      <x:c r="G733"/>
      <x:c r="H733"/>
      <x:c r="I733"/>
      <x:c r="J733"/>
      <x:c r="K733"/>
      <x:c r="L733"/>
      <x:c r="M733"/>
    </x:row>
    <x:row r="734">
      <x:c r="A734"/>
      <x:c r="B734"/>
      <x:c r="C734"/>
      <x:c r="D734"/>
      <x:c r="E734"/>
      <x:c r="F734"/>
      <x:c r="G734"/>
      <x:c r="H734"/>
      <x:c r="I734"/>
      <x:c r="J734"/>
      <x:c r="K734"/>
      <x:c r="L734"/>
      <x:c r="M734"/>
    </x:row>
    <x:row r="735">
      <x:c r="A735"/>
      <x:c r="B735"/>
      <x:c r="C735"/>
      <x:c r="D735"/>
      <x:c r="E735"/>
      <x:c r="F735"/>
      <x:c r="G735"/>
      <x:c r="H735"/>
      <x:c r="I735"/>
      <x:c r="J735"/>
      <x:c r="K735"/>
      <x:c r="L735"/>
      <x:c r="M735"/>
    </x:row>
    <x:row r="736">
      <x:c r="A736"/>
      <x:c r="B736"/>
      <x:c r="C736"/>
      <x:c r="D736"/>
      <x:c r="E736"/>
      <x:c r="F736"/>
      <x:c r="G736"/>
      <x:c r="H736"/>
      <x:c r="I736"/>
      <x:c r="J736"/>
      <x:c r="K736"/>
      <x:c r="L736"/>
      <x:c r="M736"/>
    </x:row>
    <x:row r="737">
      <x:c r="A737"/>
      <x:c r="B737"/>
      <x:c r="C737"/>
      <x:c r="D737"/>
      <x:c r="E737"/>
      <x:c r="F737"/>
      <x:c r="G737"/>
      <x:c r="H737"/>
      <x:c r="I737"/>
      <x:c r="J737"/>
      <x:c r="K737"/>
      <x:c r="L737"/>
      <x:c r="M737"/>
    </x:row>
    <x:row r="738">
      <x:c r="A738"/>
      <x:c r="B738"/>
      <x:c r="C738"/>
      <x:c r="D738"/>
      <x:c r="E738"/>
      <x:c r="F738"/>
      <x:c r="G738"/>
      <x:c r="H738"/>
      <x:c r="I738"/>
      <x:c r="J738"/>
      <x:c r="K738"/>
      <x:c r="L738"/>
      <x:c r="M738"/>
    </x:row>
    <x:row r="739">
      <x:c r="A739"/>
      <x:c r="B739"/>
      <x:c r="C739"/>
      <x:c r="D739"/>
      <x:c r="E739"/>
      <x:c r="F739"/>
      <x:c r="G739"/>
      <x:c r="H739"/>
      <x:c r="I739"/>
      <x:c r="J739"/>
      <x:c r="K739"/>
      <x:c r="L739"/>
      <x:c r="M739"/>
    </x:row>
    <x:row r="740">
      <x:c r="A740"/>
      <x:c r="B740"/>
      <x:c r="C740"/>
      <x:c r="D740"/>
      <x:c r="E740"/>
      <x:c r="F740"/>
      <x:c r="G740"/>
      <x:c r="H740"/>
      <x:c r="I740"/>
      <x:c r="J740"/>
      <x:c r="K740"/>
      <x:c r="L740"/>
      <x:c r="M740"/>
    </x:row>
    <x:row r="741">
      <x:c r="A741"/>
      <x:c r="B741"/>
      <x:c r="C741"/>
      <x:c r="D741"/>
      <x:c r="E741"/>
      <x:c r="F741"/>
      <x:c r="G741"/>
      <x:c r="H741"/>
      <x:c r="I741"/>
      <x:c r="J741"/>
      <x:c r="K741"/>
      <x:c r="L741"/>
      <x:c r="M741"/>
    </x:row>
    <x:row r="742">
      <x:c r="A742"/>
      <x:c r="B742"/>
      <x:c r="C742"/>
      <x:c r="D742"/>
      <x:c r="E742"/>
      <x:c r="F742"/>
      <x:c r="G742"/>
      <x:c r="H742"/>
      <x:c r="I742"/>
      <x:c r="J742"/>
      <x:c r="K742"/>
      <x:c r="L742"/>
      <x:c r="M742"/>
    </x:row>
    <x:row r="743">
      <x:c r="A743"/>
      <x:c r="B743"/>
      <x:c r="C743"/>
      <x:c r="D743"/>
      <x:c r="E743"/>
      <x:c r="F743"/>
      <x:c r="G743"/>
      <x:c r="H743"/>
      <x:c r="I743"/>
      <x:c r="J743"/>
      <x:c r="K743"/>
      <x:c r="L743"/>
      <x:c r="M743"/>
    </x:row>
    <x:row r="744">
      <x:c r="A744"/>
      <x:c r="B744"/>
      <x:c r="C744"/>
      <x:c r="D744"/>
      <x:c r="E744"/>
      <x:c r="F744"/>
      <x:c r="G744"/>
      <x:c r="H744"/>
      <x:c r="I744"/>
      <x:c r="J744"/>
      <x:c r="K744"/>
      <x:c r="L744"/>
      <x:c r="M744"/>
    </x:row>
    <x:row r="745">
      <x:c r="A745"/>
      <x:c r="B745"/>
      <x:c r="C745"/>
      <x:c r="D745"/>
      <x:c r="E745"/>
      <x:c r="F745"/>
      <x:c r="G745"/>
      <x:c r="H745"/>
      <x:c r="I745"/>
      <x:c r="J745"/>
      <x:c r="K745"/>
      <x:c r="L745"/>
      <x:c r="M745"/>
    </x:row>
    <x:row r="746">
      <x:c r="A746"/>
      <x:c r="B746"/>
      <x:c r="C746"/>
      <x:c r="D746"/>
      <x:c r="E746"/>
      <x:c r="F746"/>
      <x:c r="G746"/>
      <x:c r="H746"/>
      <x:c r="I746"/>
      <x:c r="J746"/>
      <x:c r="K746"/>
      <x:c r="L746"/>
      <x:c r="M746"/>
    </x:row>
    <x:row r="747">
      <x:c r="A747"/>
      <x:c r="B747"/>
      <x:c r="C747"/>
      <x:c r="D747"/>
      <x:c r="E747"/>
      <x:c r="F747"/>
      <x:c r="G747"/>
      <x:c r="H747"/>
      <x:c r="I747"/>
      <x:c r="J747"/>
      <x:c r="K747"/>
      <x:c r="L747"/>
      <x:c r="M747"/>
    </x:row>
    <x:row r="748">
      <x:c r="A748"/>
      <x:c r="B748"/>
      <x:c r="C748"/>
      <x:c r="D748"/>
      <x:c r="E748"/>
      <x:c r="F748"/>
      <x:c r="G748"/>
      <x:c r="H748"/>
      <x:c r="I748"/>
      <x:c r="J748"/>
      <x:c r="K748"/>
      <x:c r="L748"/>
      <x:c r="M748"/>
    </x:row>
    <x:row r="749">
      <x:c r="A749"/>
      <x:c r="B749"/>
      <x:c r="C749"/>
      <x:c r="D749"/>
      <x:c r="E749"/>
      <x:c r="F749"/>
      <x:c r="G749"/>
      <x:c r="H749"/>
      <x:c r="I749"/>
      <x:c r="J749"/>
      <x:c r="K749"/>
      <x:c r="L749"/>
      <x:c r="M749"/>
    </x:row>
    <x:row r="750">
      <x:c r="A750"/>
      <x:c r="B750"/>
      <x:c r="C750"/>
      <x:c r="D750"/>
      <x:c r="E750"/>
      <x:c r="F750"/>
      <x:c r="G750"/>
      <x:c r="H750"/>
      <x:c r="I750"/>
      <x:c r="J750"/>
      <x:c r="K750"/>
      <x:c r="L750"/>
      <x:c r="M750"/>
    </x:row>
    <x:row r="751">
      <x:c r="A751"/>
      <x:c r="B751"/>
      <x:c r="C751"/>
      <x:c r="D751"/>
      <x:c r="E751"/>
      <x:c r="F751"/>
      <x:c r="G751"/>
      <x:c r="H751"/>
      <x:c r="I751"/>
      <x:c r="J751"/>
      <x:c r="K751"/>
      <x:c r="L751"/>
      <x:c r="M751"/>
    </x:row>
    <x:row r="752">
      <x:c r="A752"/>
      <x:c r="B752"/>
      <x:c r="C752"/>
      <x:c r="D752"/>
      <x:c r="E752"/>
      <x:c r="F752"/>
      <x:c r="G752"/>
      <x:c r="H752"/>
      <x:c r="I752"/>
      <x:c r="J752"/>
      <x:c r="K752"/>
      <x:c r="L752"/>
      <x:c r="M752"/>
    </x:row>
    <x:row r="753">
      <x:c r="A753"/>
      <x:c r="B753"/>
      <x:c r="C753"/>
      <x:c r="D753"/>
      <x:c r="E753"/>
      <x:c r="F753"/>
      <x:c r="G753"/>
      <x:c r="H753"/>
      <x:c r="I753"/>
      <x:c r="J753"/>
      <x:c r="K753"/>
      <x:c r="L753"/>
      <x:c r="M753"/>
    </x:row>
    <x:row r="754">
      <x:c r="A754"/>
      <x:c r="B754"/>
      <x:c r="C754"/>
      <x:c r="D754"/>
      <x:c r="E754"/>
      <x:c r="F754"/>
      <x:c r="G754"/>
      <x:c r="H754"/>
      <x:c r="I754"/>
      <x:c r="J754"/>
      <x:c r="K754"/>
      <x:c r="L754"/>
      <x:c r="M754"/>
    </x:row>
    <x:row r="755">
      <x:c r="A755"/>
      <x:c r="B755"/>
      <x:c r="C755"/>
      <x:c r="D755"/>
      <x:c r="E755"/>
      <x:c r="F755"/>
      <x:c r="G755"/>
      <x:c r="H755"/>
      <x:c r="I755"/>
      <x:c r="J755"/>
      <x:c r="K755"/>
      <x:c r="L755"/>
      <x:c r="M755"/>
    </x:row>
    <x:row r="756">
      <x:c r="A756"/>
      <x:c r="B756"/>
      <x:c r="C756"/>
      <x:c r="D756"/>
      <x:c r="E756"/>
      <x:c r="F756"/>
      <x:c r="G756"/>
      <x:c r="H756"/>
      <x:c r="I756"/>
      <x:c r="J756"/>
      <x:c r="K756"/>
      <x:c r="L756"/>
      <x:c r="M756"/>
    </x:row>
    <x:row r="757">
      <x:c r="A757"/>
      <x:c r="B757"/>
      <x:c r="C757"/>
      <x:c r="D757"/>
      <x:c r="E757"/>
      <x:c r="F757"/>
      <x:c r="G757"/>
      <x:c r="H757"/>
      <x:c r="I757"/>
      <x:c r="J757"/>
      <x:c r="K757"/>
      <x:c r="L757"/>
      <x:c r="M757"/>
    </x:row>
    <x:row r="758">
      <x:c r="A758"/>
      <x:c r="B758"/>
      <x:c r="C758"/>
      <x:c r="D758"/>
      <x:c r="E758"/>
      <x:c r="F758"/>
      <x:c r="G758"/>
      <x:c r="H758"/>
      <x:c r="I758"/>
      <x:c r="J758"/>
      <x:c r="K758"/>
      <x:c r="L758"/>
      <x:c r="M758"/>
    </x:row>
    <x:row r="759">
      <x:c r="A759"/>
      <x:c r="B759"/>
      <x:c r="C759"/>
      <x:c r="D759"/>
      <x:c r="E759"/>
      <x:c r="F759"/>
      <x:c r="G759"/>
      <x:c r="H759"/>
      <x:c r="I759"/>
      <x:c r="J759"/>
      <x:c r="K759"/>
      <x:c r="L759"/>
      <x:c r="M759"/>
    </x:row>
    <x:row r="760">
      <x:c r="A760"/>
      <x:c r="B760"/>
      <x:c r="C760"/>
      <x:c r="D760"/>
      <x:c r="E760"/>
      <x:c r="F760"/>
      <x:c r="G760"/>
      <x:c r="H760"/>
      <x:c r="I760"/>
      <x:c r="J760"/>
      <x:c r="K760"/>
      <x:c r="L760"/>
      <x:c r="M760"/>
    </x:row>
    <x:row r="761">
      <x:c r="A761"/>
      <x:c r="B761"/>
      <x:c r="C761"/>
      <x:c r="D761"/>
      <x:c r="E761"/>
      <x:c r="F761"/>
      <x:c r="G761"/>
      <x:c r="H761"/>
      <x:c r="I761"/>
      <x:c r="J761"/>
      <x:c r="K761"/>
      <x:c r="L761"/>
      <x:c r="M761"/>
    </x:row>
    <x:row r="762">
      <x:c r="A762"/>
      <x:c r="B762"/>
      <x:c r="C762"/>
      <x:c r="D762"/>
      <x:c r="E762"/>
      <x:c r="F762"/>
      <x:c r="G762"/>
      <x:c r="H762"/>
      <x:c r="I762"/>
      <x:c r="J762"/>
      <x:c r="K762"/>
      <x:c r="L762"/>
      <x:c r="M762"/>
    </x:row>
    <x:row r="763">
      <x:c r="A763"/>
      <x:c r="B763"/>
      <x:c r="C763"/>
      <x:c r="D763"/>
      <x:c r="E763"/>
      <x:c r="F763"/>
      <x:c r="G763"/>
      <x:c r="H763"/>
      <x:c r="I763"/>
      <x:c r="J763"/>
      <x:c r="K763"/>
      <x:c r="L763"/>
      <x:c r="M763"/>
    </x:row>
    <x:row r="764">
      <x:c r="A764"/>
      <x:c r="B764"/>
      <x:c r="C764"/>
      <x:c r="D764"/>
      <x:c r="E764"/>
      <x:c r="F764"/>
      <x:c r="G764"/>
      <x:c r="H764"/>
      <x:c r="I764"/>
      <x:c r="J764"/>
      <x:c r="K764"/>
      <x:c r="L764"/>
      <x:c r="M764"/>
    </x:row>
    <x:row r="765">
      <x:c r="A765"/>
      <x:c r="B765"/>
      <x:c r="C765"/>
      <x:c r="D765"/>
      <x:c r="E765"/>
      <x:c r="F765"/>
      <x:c r="G765"/>
      <x:c r="H765"/>
      <x:c r="I765"/>
      <x:c r="J765"/>
      <x:c r="K765"/>
      <x:c r="L765"/>
      <x:c r="M765"/>
    </x:row>
    <x:row r="766">
      <x:c r="A766"/>
      <x:c r="B766"/>
      <x:c r="C766"/>
      <x:c r="D766"/>
      <x:c r="E766"/>
      <x:c r="F766"/>
      <x:c r="G766"/>
      <x:c r="H766"/>
      <x:c r="I766"/>
      <x:c r="J766"/>
      <x:c r="K766"/>
      <x:c r="L766"/>
      <x:c r="M766"/>
    </x:row>
    <x:row r="767">
      <x:c r="A767"/>
      <x:c r="B767"/>
      <x:c r="C767"/>
      <x:c r="D767"/>
      <x:c r="E767"/>
      <x:c r="F767"/>
      <x:c r="G767"/>
      <x:c r="H767"/>
      <x:c r="I767"/>
      <x:c r="J767"/>
      <x:c r="K767"/>
      <x:c r="L767"/>
      <x:c r="M767"/>
    </x:row>
    <x:row r="768">
      <x:c r="A768"/>
      <x:c r="B768"/>
      <x:c r="C768"/>
      <x:c r="D768"/>
      <x:c r="E768"/>
      <x:c r="F768"/>
      <x:c r="G768"/>
      <x:c r="H768"/>
      <x:c r="I768"/>
      <x:c r="J768"/>
      <x:c r="K768"/>
      <x:c r="L768"/>
      <x:c r="M768"/>
    </x:row>
    <x:row r="769">
      <x:c r="A769"/>
      <x:c r="B769"/>
      <x:c r="C769"/>
      <x:c r="D769"/>
      <x:c r="E769"/>
      <x:c r="F769"/>
      <x:c r="G769"/>
      <x:c r="H769"/>
      <x:c r="I769"/>
      <x:c r="J769"/>
      <x:c r="K769"/>
      <x:c r="L769"/>
      <x:c r="M769"/>
    </x:row>
    <x:row r="770">
      <x:c r="A770"/>
      <x:c r="B770"/>
      <x:c r="C770"/>
      <x:c r="D770"/>
      <x:c r="E770"/>
      <x:c r="F770"/>
      <x:c r="G770"/>
      <x:c r="H770"/>
      <x:c r="I770"/>
      <x:c r="J770"/>
      <x:c r="K770"/>
      <x:c r="L770"/>
      <x:c r="M770"/>
    </x:row>
    <x:row r="771">
      <x:c r="A771"/>
      <x:c r="B771"/>
      <x:c r="C771"/>
      <x:c r="D771"/>
      <x:c r="E771"/>
      <x:c r="F771"/>
      <x:c r="G771"/>
      <x:c r="H771"/>
      <x:c r="I771"/>
      <x:c r="J771"/>
      <x:c r="K771"/>
      <x:c r="L771"/>
      <x:c r="M771"/>
    </x:row>
    <x:row r="772">
      <x:c r="A772"/>
      <x:c r="B772"/>
      <x:c r="C772"/>
      <x:c r="D772"/>
      <x:c r="E772"/>
      <x:c r="F772"/>
      <x:c r="G772"/>
      <x:c r="H772"/>
      <x:c r="I772"/>
      <x:c r="J772"/>
      <x:c r="K772"/>
      <x:c r="L772"/>
      <x:c r="M772"/>
    </x:row>
    <x:row r="773">
      <x:c r="A773"/>
      <x:c r="B773"/>
      <x:c r="C773"/>
      <x:c r="D773"/>
      <x:c r="E773"/>
      <x:c r="F773"/>
      <x:c r="G773"/>
      <x:c r="H773"/>
      <x:c r="I773"/>
      <x:c r="J773"/>
      <x:c r="K773"/>
      <x:c r="L773"/>
      <x:c r="M773"/>
    </x:row>
    <x:row r="774">
      <x:c r="A774"/>
      <x:c r="B774"/>
      <x:c r="C774"/>
      <x:c r="D774"/>
      <x:c r="E774"/>
      <x:c r="F774"/>
      <x:c r="G774"/>
      <x:c r="H774"/>
      <x:c r="I774"/>
      <x:c r="J774"/>
      <x:c r="K774"/>
      <x:c r="L774"/>
      <x:c r="M774"/>
    </x:row>
    <x:row r="775">
      <x:c r="A775"/>
      <x:c r="B775"/>
      <x:c r="C775"/>
      <x:c r="D775"/>
      <x:c r="E775"/>
      <x:c r="F775"/>
      <x:c r="G775"/>
      <x:c r="H775"/>
      <x:c r="I775"/>
      <x:c r="J775"/>
      <x:c r="K775"/>
      <x:c r="L775"/>
      <x:c r="M775"/>
    </x:row>
    <x:row r="776">
      <x:c r="A776"/>
      <x:c r="B776"/>
      <x:c r="C776"/>
      <x:c r="D776"/>
      <x:c r="E776"/>
      <x:c r="F776"/>
      <x:c r="G776"/>
      <x:c r="H776"/>
      <x:c r="I776"/>
      <x:c r="J776"/>
      <x:c r="K776"/>
      <x:c r="L776"/>
      <x:c r="M776"/>
    </x:row>
    <x:row r="777">
      <x:c r="A777"/>
      <x:c r="B777"/>
      <x:c r="C777"/>
      <x:c r="D777"/>
      <x:c r="E777"/>
      <x:c r="F777"/>
      <x:c r="G777"/>
      <x:c r="H777"/>
      <x:c r="I777"/>
      <x:c r="J777"/>
      <x:c r="K777"/>
      <x:c r="L777"/>
      <x:c r="M777"/>
    </x:row>
    <x:row r="778">
      <x:c r="A778"/>
      <x:c r="B778"/>
      <x:c r="C778"/>
      <x:c r="D778"/>
      <x:c r="E778"/>
      <x:c r="F778"/>
      <x:c r="G778"/>
      <x:c r="H778"/>
      <x:c r="I778"/>
      <x:c r="J778"/>
      <x:c r="K778"/>
      <x:c r="L778"/>
      <x:c r="M778"/>
    </x:row>
    <x:row r="779">
      <x:c r="A779"/>
      <x:c r="B779"/>
      <x:c r="C779"/>
      <x:c r="D779"/>
      <x:c r="E779"/>
      <x:c r="F779"/>
      <x:c r="G779"/>
      <x:c r="H779"/>
      <x:c r="I779"/>
      <x:c r="J779"/>
      <x:c r="K779"/>
      <x:c r="L779"/>
      <x:c r="M779"/>
    </x:row>
    <x:row r="780">
      <x:c r="A780"/>
      <x:c r="B780"/>
      <x:c r="C780"/>
      <x:c r="D780"/>
      <x:c r="E780"/>
      <x:c r="F780"/>
      <x:c r="G780"/>
      <x:c r="H780"/>
      <x:c r="I780"/>
      <x:c r="J780"/>
      <x:c r="K780"/>
      <x:c r="L780"/>
      <x:c r="M780"/>
    </x:row>
    <x:row r="781">
      <x:c r="A781"/>
      <x:c r="B781"/>
      <x:c r="C781"/>
      <x:c r="D781"/>
      <x:c r="E781"/>
      <x:c r="F781"/>
      <x:c r="G781"/>
      <x:c r="H781"/>
      <x:c r="I781"/>
      <x:c r="J781"/>
      <x:c r="K781"/>
      <x:c r="L781"/>
      <x:c r="M781"/>
    </x:row>
    <x:row r="782">
      <x:c r="A782"/>
      <x:c r="B782"/>
      <x:c r="C782"/>
      <x:c r="D782"/>
      <x:c r="E782"/>
      <x:c r="F782"/>
      <x:c r="G782"/>
      <x:c r="H782"/>
      <x:c r="I782"/>
      <x:c r="J782"/>
      <x:c r="K782"/>
      <x:c r="L782"/>
      <x:c r="M782"/>
    </x:row>
    <x:row r="783">
      <x:c r="A783"/>
      <x:c r="B783"/>
      <x:c r="C783"/>
      <x:c r="D783"/>
      <x:c r="E783"/>
      <x:c r="F783"/>
      <x:c r="G783"/>
      <x:c r="H783"/>
      <x:c r="I783"/>
      <x:c r="J783"/>
      <x:c r="K783"/>
      <x:c r="L783"/>
      <x:c r="M783"/>
    </x:row>
    <x:row r="784">
      <x:c r="A784"/>
      <x:c r="B784"/>
      <x:c r="C784"/>
      <x:c r="D784"/>
      <x:c r="E784"/>
      <x:c r="F784"/>
      <x:c r="G784"/>
      <x:c r="H784"/>
      <x:c r="I784"/>
      <x:c r="J784"/>
      <x:c r="K784"/>
      <x:c r="L784"/>
      <x:c r="M784"/>
    </x:row>
    <x:row r="785">
      <x:c r="A785"/>
      <x:c r="B785"/>
      <x:c r="C785"/>
      <x:c r="D785"/>
      <x:c r="E785"/>
      <x:c r="F785"/>
      <x:c r="G785"/>
      <x:c r="H785"/>
      <x:c r="I785"/>
      <x:c r="J785"/>
      <x:c r="K785"/>
      <x:c r="L785"/>
      <x:c r="M785"/>
    </x:row>
    <x:row r="786">
      <x:c r="A786"/>
      <x:c r="B786"/>
      <x:c r="C786"/>
      <x:c r="D786"/>
      <x:c r="E786"/>
      <x:c r="F786"/>
      <x:c r="G786"/>
      <x:c r="H786"/>
      <x:c r="I786"/>
      <x:c r="J786"/>
      <x:c r="K786"/>
      <x:c r="L786"/>
      <x:c r="M786"/>
    </x:row>
    <x:row r="787">
      <x:c r="A787"/>
      <x:c r="B787"/>
      <x:c r="C787"/>
      <x:c r="D787"/>
      <x:c r="E787"/>
      <x:c r="F787"/>
      <x:c r="G787"/>
      <x:c r="H787"/>
      <x:c r="I787"/>
      <x:c r="J787"/>
      <x:c r="K787"/>
      <x:c r="L787"/>
      <x:c r="M787"/>
    </x:row>
    <x:row r="788">
      <x:c r="A788"/>
      <x:c r="B788"/>
      <x:c r="C788"/>
      <x:c r="D788"/>
      <x:c r="E788"/>
      <x:c r="F788"/>
      <x:c r="G788"/>
      <x:c r="H788"/>
      <x:c r="I788"/>
      <x:c r="J788"/>
      <x:c r="K788"/>
      <x:c r="L788"/>
      <x:c r="M788"/>
    </x:row>
    <x:row r="789">
      <x:c r="A789"/>
      <x:c r="B789"/>
      <x:c r="C789"/>
      <x:c r="D789"/>
      <x:c r="E789"/>
      <x:c r="F789"/>
      <x:c r="G789"/>
      <x:c r="H789"/>
      <x:c r="I789"/>
      <x:c r="J789"/>
      <x:c r="K789"/>
      <x:c r="L789"/>
      <x:c r="M789"/>
    </x:row>
    <x:row r="790">
      <x:c r="A790"/>
      <x:c r="B790"/>
      <x:c r="C790"/>
      <x:c r="D790"/>
      <x:c r="E790"/>
      <x:c r="F790"/>
      <x:c r="G790"/>
      <x:c r="H790"/>
      <x:c r="I790"/>
      <x:c r="J790"/>
      <x:c r="K790"/>
      <x:c r="L790"/>
      <x:c r="M790"/>
    </x:row>
    <x:row r="791">
      <x:c r="A791"/>
      <x:c r="B791"/>
      <x:c r="C791"/>
      <x:c r="D791"/>
      <x:c r="E791"/>
      <x:c r="F791"/>
      <x:c r="G791"/>
      <x:c r="H791"/>
      <x:c r="I791"/>
      <x:c r="J791"/>
      <x:c r="K791"/>
      <x:c r="L791"/>
      <x:c r="M791"/>
    </x:row>
    <x:row r="792">
      <x:c r="A792"/>
      <x:c r="B792"/>
      <x:c r="C792"/>
      <x:c r="D792"/>
      <x:c r="E792"/>
      <x:c r="F792"/>
      <x:c r="G792"/>
      <x:c r="H792"/>
      <x:c r="I792"/>
      <x:c r="J792"/>
      <x:c r="K792"/>
      <x:c r="L792"/>
      <x:c r="M792"/>
    </x:row>
    <x:row r="793">
      <x:c r="A793"/>
      <x:c r="B793"/>
      <x:c r="C793"/>
      <x:c r="D793"/>
      <x:c r="E793"/>
      <x:c r="F793"/>
      <x:c r="G793"/>
      <x:c r="H793"/>
      <x:c r="I793"/>
      <x:c r="J793"/>
      <x:c r="K793"/>
      <x:c r="L793"/>
      <x:c r="M793"/>
    </x:row>
    <x:row r="794">
      <x:c r="A794"/>
      <x:c r="B794"/>
      <x:c r="C794"/>
      <x:c r="D794"/>
      <x:c r="E794"/>
      <x:c r="F794"/>
      <x:c r="G794"/>
      <x:c r="H794"/>
      <x:c r="I794"/>
      <x:c r="J794"/>
      <x:c r="K794"/>
      <x:c r="L794"/>
      <x:c r="M794"/>
    </x:row>
    <x:row r="795">
      <x:c r="A795"/>
      <x:c r="B795"/>
      <x:c r="C795"/>
      <x:c r="D795"/>
      <x:c r="E795"/>
      <x:c r="F795"/>
      <x:c r="G795"/>
      <x:c r="H795"/>
      <x:c r="I795"/>
      <x:c r="J795"/>
      <x:c r="K795"/>
      <x:c r="L795"/>
      <x:c r="M795"/>
    </x:row>
    <x:row r="796">
      <x:c r="A796"/>
      <x:c r="B796"/>
      <x:c r="C796"/>
      <x:c r="D796"/>
      <x:c r="E796"/>
      <x:c r="F796"/>
      <x:c r="G796"/>
      <x:c r="H796"/>
      <x:c r="I796"/>
      <x:c r="J796"/>
      <x:c r="K796"/>
      <x:c r="L796"/>
      <x:c r="M796"/>
    </x:row>
    <x:row r="797">
      <x:c r="A797"/>
      <x:c r="B797"/>
      <x:c r="C797"/>
      <x:c r="D797"/>
      <x:c r="E797"/>
      <x:c r="F797"/>
      <x:c r="G797"/>
      <x:c r="H797"/>
      <x:c r="I797"/>
      <x:c r="J797"/>
      <x:c r="K797"/>
      <x:c r="L797"/>
      <x:c r="M797"/>
    </x:row>
    <x:row r="798">
      <x:c r="A798"/>
      <x:c r="B798"/>
      <x:c r="C798"/>
      <x:c r="D798"/>
      <x:c r="E798"/>
      <x:c r="F798"/>
      <x:c r="G798"/>
      <x:c r="H798"/>
      <x:c r="I798"/>
      <x:c r="J798"/>
      <x:c r="K798"/>
      <x:c r="L798"/>
      <x:c r="M798"/>
    </x:row>
    <x:row r="799">
      <x:c r="A799"/>
      <x:c r="B799"/>
      <x:c r="C799"/>
      <x:c r="D799"/>
      <x:c r="E799"/>
      <x:c r="F799"/>
      <x:c r="G799"/>
      <x:c r="H799"/>
      <x:c r="I799"/>
      <x:c r="J799"/>
      <x:c r="K799"/>
      <x:c r="L799"/>
      <x:c r="M799"/>
    </x:row>
    <x:row r="800">
      <x:c r="A800"/>
      <x:c r="B800"/>
      <x:c r="C800"/>
      <x:c r="D800"/>
      <x:c r="E800"/>
      <x:c r="F800"/>
      <x:c r="G800"/>
      <x:c r="H800"/>
      <x:c r="I800"/>
      <x:c r="J800"/>
      <x:c r="K800"/>
      <x:c r="L800"/>
      <x:c r="M800"/>
    </x:row>
    <x:row r="801">
      <x:c r="A801"/>
      <x:c r="B801"/>
      <x:c r="C801"/>
      <x:c r="D801"/>
      <x:c r="E801"/>
      <x:c r="F801"/>
      <x:c r="G801"/>
      <x:c r="H801"/>
      <x:c r="I801"/>
      <x:c r="J801"/>
      <x:c r="K801"/>
      <x:c r="L801"/>
      <x:c r="M801"/>
    </x:row>
    <x:row r="802">
      <x:c r="A802"/>
      <x:c r="B802"/>
      <x:c r="C802"/>
      <x:c r="D802"/>
      <x:c r="E802"/>
      <x:c r="F802"/>
      <x:c r="G802"/>
      <x:c r="H802"/>
      <x:c r="I802"/>
      <x:c r="J802"/>
      <x:c r="K802"/>
      <x:c r="L802"/>
      <x:c r="M802"/>
    </x:row>
    <x:row r="803">
      <x:c r="A803"/>
      <x:c r="B803"/>
      <x:c r="C803"/>
      <x:c r="D803"/>
      <x:c r="E803"/>
      <x:c r="F803"/>
      <x:c r="G803"/>
      <x:c r="H803"/>
      <x:c r="I803"/>
      <x:c r="J803"/>
      <x:c r="K803"/>
      <x:c r="L803"/>
      <x:c r="M803"/>
    </x:row>
    <x:row r="804">
      <x:c r="A804"/>
      <x:c r="B804"/>
      <x:c r="C804"/>
      <x:c r="D804"/>
      <x:c r="E804"/>
      <x:c r="F804"/>
      <x:c r="G804"/>
      <x:c r="H804"/>
      <x:c r="I804"/>
      <x:c r="J804"/>
      <x:c r="K804"/>
      <x:c r="L804"/>
      <x:c r="M804"/>
    </x:row>
    <x:row r="805">
      <x:c r="A805"/>
      <x:c r="B805"/>
      <x:c r="C805"/>
      <x:c r="D805"/>
      <x:c r="E805"/>
      <x:c r="F805"/>
      <x:c r="G805"/>
      <x:c r="H805"/>
      <x:c r="I805"/>
      <x:c r="J805"/>
      <x:c r="K805"/>
      <x:c r="L805"/>
      <x:c r="M805"/>
    </x:row>
    <x:row r="806">
      <x:c r="A806"/>
      <x:c r="B806"/>
      <x:c r="C806"/>
      <x:c r="D806"/>
      <x:c r="E806"/>
      <x:c r="F806"/>
      <x:c r="G806"/>
      <x:c r="H806"/>
      <x:c r="I806"/>
      <x:c r="J806"/>
      <x:c r="K806"/>
      <x:c r="L806"/>
      <x:c r="M806"/>
    </x:row>
    <x:row r="807">
      <x:c r="A807"/>
      <x:c r="B807"/>
      <x:c r="C807"/>
      <x:c r="D807"/>
      <x:c r="E807"/>
      <x:c r="F807"/>
      <x:c r="G807"/>
      <x:c r="H807"/>
      <x:c r="I807"/>
      <x:c r="J807"/>
      <x:c r="K807"/>
      <x:c r="L807"/>
      <x:c r="M807"/>
    </x:row>
    <x:row r="808">
      <x:c r="A808"/>
      <x:c r="B808"/>
      <x:c r="C808"/>
      <x:c r="D808"/>
      <x:c r="E808"/>
      <x:c r="F808"/>
      <x:c r="G808"/>
      <x:c r="H808"/>
      <x:c r="I808"/>
      <x:c r="J808"/>
      <x:c r="K808"/>
      <x:c r="L808"/>
      <x:c r="M808"/>
    </x:row>
    <x:row r="809">
      <x:c r="A809"/>
      <x:c r="B809"/>
      <x:c r="C809"/>
      <x:c r="D809"/>
      <x:c r="E809"/>
      <x:c r="F809"/>
      <x:c r="G809"/>
      <x:c r="H809"/>
      <x:c r="I809"/>
      <x:c r="J809"/>
      <x:c r="K809"/>
      <x:c r="L809"/>
      <x:c r="M809"/>
    </x:row>
    <x:row r="810">
      <x:c r="A810"/>
      <x:c r="B810"/>
      <x:c r="C810"/>
      <x:c r="D810"/>
      <x:c r="E810"/>
      <x:c r="F810"/>
      <x:c r="G810"/>
      <x:c r="H810"/>
      <x:c r="I810"/>
      <x:c r="J810"/>
      <x:c r="K810"/>
      <x:c r="L810"/>
      <x:c r="M810"/>
    </x:row>
    <x:row r="811">
      <x:c r="A811"/>
      <x:c r="B811"/>
      <x:c r="C811"/>
      <x:c r="D811"/>
      <x:c r="E811"/>
      <x:c r="F811"/>
      <x:c r="G811"/>
      <x:c r="H811"/>
      <x:c r="I811"/>
      <x:c r="J811"/>
      <x:c r="K811"/>
      <x:c r="L811"/>
      <x:c r="M811"/>
    </x:row>
    <x:row r="812">
      <x:c r="A812"/>
      <x:c r="B812"/>
      <x:c r="C812"/>
      <x:c r="D812"/>
      <x:c r="E812"/>
      <x:c r="F812"/>
      <x:c r="G812"/>
      <x:c r="H812"/>
      <x:c r="I812"/>
      <x:c r="J812"/>
      <x:c r="K812"/>
      <x:c r="L812"/>
      <x:c r="M812"/>
    </x:row>
    <x:row r="813">
      <x:c r="A813"/>
      <x:c r="B813"/>
      <x:c r="C813"/>
      <x:c r="D813"/>
      <x:c r="E813"/>
      <x:c r="F813"/>
      <x:c r="G813"/>
      <x:c r="H813"/>
      <x:c r="I813"/>
      <x:c r="J813"/>
      <x:c r="K813"/>
      <x:c r="L813"/>
      <x:c r="M813"/>
    </x:row>
    <x:row r="814">
      <x:c r="A814"/>
      <x:c r="B814"/>
      <x:c r="C814"/>
      <x:c r="D814"/>
      <x:c r="E814"/>
      <x:c r="F814"/>
      <x:c r="G814"/>
      <x:c r="H814"/>
      <x:c r="I814"/>
      <x:c r="J814"/>
      <x:c r="K814"/>
      <x:c r="L814"/>
      <x:c r="M814"/>
    </x:row>
    <x:row r="815">
      <x:c r="A815"/>
      <x:c r="B815"/>
      <x:c r="C815"/>
      <x:c r="D815"/>
      <x:c r="E815"/>
      <x:c r="F815"/>
      <x:c r="G815"/>
      <x:c r="H815"/>
      <x:c r="I815"/>
      <x:c r="J815"/>
      <x:c r="K815"/>
      <x:c r="L815"/>
      <x:c r="M815"/>
    </x:row>
    <x:row r="816">
      <x:c r="A816"/>
      <x:c r="B816"/>
      <x:c r="C816"/>
      <x:c r="D816"/>
      <x:c r="E816"/>
      <x:c r="F816"/>
      <x:c r="G816"/>
      <x:c r="H816"/>
      <x:c r="I816"/>
      <x:c r="J816"/>
      <x:c r="K816"/>
      <x:c r="L816"/>
      <x:c r="M816"/>
    </x:row>
    <x:row r="817">
      <x:c r="A817"/>
      <x:c r="B817"/>
      <x:c r="C817"/>
      <x:c r="D817"/>
      <x:c r="E817"/>
      <x:c r="F817"/>
      <x:c r="G817"/>
      <x:c r="H817"/>
      <x:c r="I817"/>
      <x:c r="J817"/>
      <x:c r="K817"/>
      <x:c r="L817"/>
      <x:c r="M817"/>
    </x:row>
    <x:row r="818">
      <x:c r="A818"/>
      <x:c r="B818"/>
      <x:c r="C818"/>
      <x:c r="D818"/>
      <x:c r="E818"/>
      <x:c r="F818"/>
      <x:c r="G818"/>
      <x:c r="H818"/>
      <x:c r="I818"/>
      <x:c r="J818"/>
      <x:c r="K818"/>
      <x:c r="L818"/>
      <x:c r="M818"/>
    </x:row>
    <x:row r="819">
      <x:c r="A819"/>
      <x:c r="B819"/>
      <x:c r="C819"/>
      <x:c r="D819"/>
      <x:c r="E819"/>
      <x:c r="F819"/>
      <x:c r="G819"/>
      <x:c r="H819"/>
      <x:c r="I819"/>
      <x:c r="J819"/>
      <x:c r="K819"/>
      <x:c r="L819"/>
      <x:c r="M819"/>
    </x:row>
    <x:row r="820">
      <x:c r="A820"/>
      <x:c r="B820"/>
      <x:c r="C820"/>
      <x:c r="D820"/>
      <x:c r="E820"/>
      <x:c r="F820"/>
      <x:c r="G820"/>
      <x:c r="H820"/>
      <x:c r="I820"/>
      <x:c r="J820"/>
      <x:c r="K820"/>
      <x:c r="L820"/>
      <x:c r="M820"/>
    </x:row>
    <x:row r="821">
      <x:c r="A821"/>
      <x:c r="B821"/>
      <x:c r="C821"/>
      <x:c r="D821"/>
      <x:c r="E821"/>
      <x:c r="F821"/>
      <x:c r="G821"/>
      <x:c r="H821"/>
      <x:c r="I821"/>
      <x:c r="J821"/>
      <x:c r="K821"/>
      <x:c r="L821"/>
      <x:c r="M821"/>
    </x:row>
    <x:row r="822">
      <x:c r="A822"/>
      <x:c r="B822"/>
      <x:c r="C822"/>
      <x:c r="D822"/>
      <x:c r="E822"/>
      <x:c r="F822"/>
      <x:c r="G822"/>
      <x:c r="H822"/>
      <x:c r="I822"/>
      <x:c r="J822"/>
      <x:c r="K822"/>
      <x:c r="L822"/>
      <x:c r="M822"/>
    </x:row>
    <x:row r="823">
      <x:c r="A823"/>
      <x:c r="B823"/>
      <x:c r="C823"/>
      <x:c r="D823"/>
      <x:c r="E823"/>
      <x:c r="F823"/>
      <x:c r="G823"/>
      <x:c r="H823"/>
      <x:c r="I823"/>
      <x:c r="J823"/>
      <x:c r="K823"/>
      <x:c r="L823"/>
      <x:c r="M823"/>
    </x:row>
    <x:row r="824">
      <x:c r="A824"/>
      <x:c r="B824"/>
      <x:c r="C824"/>
      <x:c r="D824"/>
      <x:c r="E824"/>
      <x:c r="F824"/>
      <x:c r="G824"/>
      <x:c r="H824"/>
      <x:c r="I824"/>
      <x:c r="J824"/>
      <x:c r="K824"/>
      <x:c r="L824"/>
      <x:c r="M824"/>
    </x:row>
    <x:row r="825">
      <x:c r="A825"/>
      <x:c r="B825"/>
      <x:c r="C825"/>
      <x:c r="D825"/>
      <x:c r="E825"/>
      <x:c r="F825"/>
      <x:c r="G825"/>
      <x:c r="H825"/>
      <x:c r="I825"/>
      <x:c r="J825"/>
      <x:c r="K825"/>
      <x:c r="L825"/>
      <x:c r="M825"/>
    </x:row>
    <x:row r="826">
      <x:c r="A826"/>
      <x:c r="B826"/>
      <x:c r="C826"/>
      <x:c r="D826"/>
      <x:c r="E826"/>
      <x:c r="F826"/>
      <x:c r="G826"/>
      <x:c r="H826"/>
      <x:c r="I826"/>
      <x:c r="J826"/>
      <x:c r="K826"/>
      <x:c r="L826"/>
      <x:c r="M826"/>
    </x:row>
    <x:row r="827">
      <x:c r="A827"/>
      <x:c r="B827"/>
      <x:c r="C827"/>
      <x:c r="D827"/>
      <x:c r="E827"/>
      <x:c r="F827"/>
      <x:c r="G827"/>
      <x:c r="H827"/>
      <x:c r="I827"/>
      <x:c r="J827"/>
      <x:c r="K827"/>
      <x:c r="L827"/>
      <x:c r="M827"/>
    </x:row>
    <x:row r="828">
      <x:c r="A828"/>
      <x:c r="B828"/>
      <x:c r="C828"/>
      <x:c r="D828"/>
      <x:c r="E828"/>
      <x:c r="F828"/>
      <x:c r="G828"/>
      <x:c r="H828"/>
      <x:c r="I828"/>
      <x:c r="J828"/>
      <x:c r="K828"/>
      <x:c r="L828"/>
      <x:c r="M828"/>
    </x:row>
    <x:row r="829">
      <x:c r="A829"/>
      <x:c r="B829"/>
      <x:c r="C829"/>
      <x:c r="D829"/>
      <x:c r="E829"/>
      <x:c r="F829"/>
      <x:c r="G829"/>
      <x:c r="H829"/>
      <x:c r="I829"/>
      <x:c r="J829"/>
      <x:c r="K829"/>
      <x:c r="L829"/>
      <x:c r="M829"/>
    </x:row>
    <x:row r="830">
      <x:c r="A830"/>
      <x:c r="B830"/>
      <x:c r="C830"/>
      <x:c r="D830"/>
      <x:c r="E830"/>
      <x:c r="F830"/>
      <x:c r="G830"/>
      <x:c r="H830"/>
      <x:c r="I830"/>
      <x:c r="J830"/>
      <x:c r="K830"/>
      <x:c r="L830"/>
      <x:c r="M830"/>
    </x:row>
    <x:row r="831">
      <x:c r="A831"/>
      <x:c r="B831"/>
      <x:c r="C831"/>
      <x:c r="D831"/>
      <x:c r="E831"/>
      <x:c r="F831"/>
      <x:c r="G831"/>
      <x:c r="H831"/>
      <x:c r="I831"/>
      <x:c r="J831"/>
      <x:c r="K831"/>
      <x:c r="L831"/>
      <x:c r="M831"/>
    </x:row>
    <x:row r="832">
      <x:c r="A832"/>
      <x:c r="B832"/>
      <x:c r="C832"/>
      <x:c r="D832"/>
      <x:c r="E832"/>
      <x:c r="F832"/>
      <x:c r="G832"/>
      <x:c r="H832"/>
      <x:c r="I832"/>
      <x:c r="J832"/>
      <x:c r="K832"/>
      <x:c r="L832"/>
      <x:c r="M832"/>
    </x:row>
    <x:row r="833">
      <x:c r="A833"/>
      <x:c r="B833"/>
      <x:c r="C833"/>
      <x:c r="D833"/>
      <x:c r="E833"/>
      <x:c r="F833"/>
      <x:c r="G833"/>
      <x:c r="H833"/>
      <x:c r="I833"/>
      <x:c r="J833"/>
      <x:c r="K833"/>
      <x:c r="L833"/>
      <x:c r="M833"/>
    </x:row>
    <x:row r="834">
      <x:c r="A834"/>
      <x:c r="B834"/>
      <x:c r="C834"/>
      <x:c r="D834"/>
      <x:c r="E834"/>
      <x:c r="F834"/>
      <x:c r="G834"/>
      <x:c r="H834"/>
      <x:c r="I834"/>
      <x:c r="J834"/>
      <x:c r="K834"/>
      <x:c r="L834"/>
      <x:c r="M834"/>
    </x:row>
    <x:row r="835">
      <x:c r="A835"/>
      <x:c r="B835"/>
      <x:c r="C835"/>
      <x:c r="D835"/>
      <x:c r="E835"/>
      <x:c r="F835"/>
      <x:c r="G835"/>
      <x:c r="H835"/>
      <x:c r="I835"/>
      <x:c r="J835"/>
      <x:c r="K835"/>
      <x:c r="L835"/>
      <x:c r="M835"/>
    </x:row>
    <x:row r="836">
      <x:c r="A836"/>
      <x:c r="B836"/>
      <x:c r="C836"/>
      <x:c r="D836"/>
      <x:c r="E836"/>
      <x:c r="F836"/>
      <x:c r="G836"/>
      <x:c r="H836"/>
      <x:c r="I836"/>
      <x:c r="J836"/>
      <x:c r="K836"/>
      <x:c r="L836"/>
      <x:c r="M836"/>
    </x:row>
    <x:row r="837">
      <x:c r="A837"/>
      <x:c r="B837"/>
      <x:c r="C837"/>
      <x:c r="D837"/>
      <x:c r="E837"/>
      <x:c r="F837"/>
      <x:c r="G837"/>
      <x:c r="H837"/>
      <x:c r="I837"/>
      <x:c r="J837"/>
      <x:c r="K837"/>
      <x:c r="L837"/>
      <x:c r="M837"/>
    </x:row>
    <x:row r="838">
      <x:c r="A838"/>
      <x:c r="B838"/>
      <x:c r="C838"/>
      <x:c r="D838"/>
      <x:c r="E838"/>
      <x:c r="F838"/>
      <x:c r="G838"/>
      <x:c r="H838"/>
      <x:c r="I838"/>
      <x:c r="J838"/>
      <x:c r="K838"/>
      <x:c r="L838"/>
      <x:c r="M838"/>
    </x:row>
    <x:row r="839">
      <x:c r="A839"/>
      <x:c r="B839"/>
      <x:c r="C839"/>
      <x:c r="D839"/>
      <x:c r="E839"/>
      <x:c r="F839"/>
      <x:c r="G839"/>
      <x:c r="H839"/>
      <x:c r="I839"/>
      <x:c r="J839"/>
      <x:c r="K839"/>
      <x:c r="L839"/>
      <x:c r="M839"/>
    </x:row>
    <x:row r="840">
      <x:c r="A840"/>
      <x:c r="B840"/>
      <x:c r="C840"/>
      <x:c r="D840"/>
      <x:c r="E840"/>
      <x:c r="F840"/>
      <x:c r="G840"/>
      <x:c r="H840"/>
      <x:c r="I840"/>
      <x:c r="J840"/>
      <x:c r="K840"/>
      <x:c r="L840"/>
      <x:c r="M840"/>
    </x:row>
    <x:row r="841">
      <x:c r="A841"/>
      <x:c r="B841"/>
      <x:c r="C841"/>
      <x:c r="D841"/>
      <x:c r="E841"/>
      <x:c r="F841"/>
      <x:c r="G841"/>
      <x:c r="H841"/>
      <x:c r="I841"/>
      <x:c r="J841"/>
      <x:c r="K841"/>
      <x:c r="L841"/>
      <x:c r="M841"/>
    </x:row>
    <x:row r="842">
      <x:c r="A842"/>
      <x:c r="B842"/>
      <x:c r="C842"/>
      <x:c r="D842"/>
      <x:c r="E842"/>
      <x:c r="F842"/>
      <x:c r="G842"/>
      <x:c r="H842"/>
      <x:c r="I842"/>
      <x:c r="J842"/>
      <x:c r="K842"/>
      <x:c r="L842"/>
      <x:c r="M842"/>
    </x:row>
    <x:row r="843">
      <x:c r="A843"/>
      <x:c r="B843"/>
      <x:c r="C843"/>
      <x:c r="D843"/>
      <x:c r="E843"/>
      <x:c r="F843"/>
      <x:c r="G843"/>
      <x:c r="H843"/>
      <x:c r="I843"/>
      <x:c r="J843"/>
      <x:c r="K843"/>
      <x:c r="L843"/>
      <x:c r="M843"/>
    </x:row>
    <x:row r="844">
      <x:c r="A844"/>
      <x:c r="B844"/>
      <x:c r="C844"/>
      <x:c r="D844"/>
      <x:c r="E844"/>
      <x:c r="F844"/>
      <x:c r="G844"/>
      <x:c r="H844"/>
      <x:c r="I844"/>
      <x:c r="J844"/>
      <x:c r="K844"/>
      <x:c r="L844"/>
      <x:c r="M844"/>
    </x:row>
    <x:row r="845">
      <x:c r="A845"/>
      <x:c r="B845"/>
      <x:c r="C845"/>
      <x:c r="D845"/>
      <x:c r="E845"/>
      <x:c r="F845"/>
      <x:c r="G845"/>
      <x:c r="H845"/>
      <x:c r="I845"/>
      <x:c r="J845"/>
      <x:c r="K845"/>
      <x:c r="L845"/>
      <x:c r="M845"/>
    </x:row>
    <x:row r="846">
      <x:c r="A846"/>
      <x:c r="B846"/>
      <x:c r="C846"/>
      <x:c r="D846"/>
      <x:c r="E846"/>
      <x:c r="F846"/>
      <x:c r="G846"/>
      <x:c r="H846"/>
      <x:c r="I846"/>
      <x:c r="J846"/>
      <x:c r="K846"/>
      <x:c r="L846"/>
      <x:c r="M846"/>
    </x:row>
    <x:row r="847">
      <x:c r="A847"/>
      <x:c r="B847"/>
      <x:c r="C847"/>
      <x:c r="D847"/>
      <x:c r="E847"/>
      <x:c r="F847"/>
      <x:c r="G847"/>
      <x:c r="H847"/>
      <x:c r="I847"/>
      <x:c r="J847"/>
      <x:c r="K847"/>
      <x:c r="L847"/>
      <x:c r="M847"/>
    </x:row>
    <x:row r="848">
      <x:c r="A848"/>
      <x:c r="B848"/>
      <x:c r="C848"/>
      <x:c r="D848"/>
      <x:c r="E848"/>
      <x:c r="F848"/>
      <x:c r="G848"/>
      <x:c r="H848"/>
      <x:c r="I848"/>
      <x:c r="J848"/>
      <x:c r="K848"/>
      <x:c r="L848"/>
      <x:c r="M848"/>
    </x:row>
    <x:row r="849">
      <x:c r="A849"/>
      <x:c r="B849"/>
      <x:c r="C849"/>
      <x:c r="D849"/>
      <x:c r="E849"/>
      <x:c r="F849"/>
      <x:c r="G849"/>
      <x:c r="H849"/>
      <x:c r="I849"/>
      <x:c r="J849"/>
      <x:c r="K849"/>
      <x:c r="L849"/>
      <x:c r="M849"/>
    </x:row>
    <x:row r="850">
      <x:c r="A850"/>
      <x:c r="B850"/>
      <x:c r="C850"/>
      <x:c r="D850"/>
      <x:c r="E850"/>
      <x:c r="F850"/>
      <x:c r="G850"/>
      <x:c r="H850"/>
      <x:c r="I850"/>
      <x:c r="J850"/>
      <x:c r="K850"/>
      <x:c r="L850"/>
      <x:c r="M850"/>
    </x:row>
    <x:row r="851">
      <x:c r="A851"/>
      <x:c r="B851"/>
      <x:c r="C851"/>
      <x:c r="D851"/>
      <x:c r="E851"/>
      <x:c r="F851"/>
      <x:c r="G851"/>
      <x:c r="H851"/>
      <x:c r="I851"/>
      <x:c r="J851"/>
      <x:c r="K851"/>
      <x:c r="L851"/>
      <x:c r="M851"/>
    </x:row>
    <x:row r="852">
      <x:c r="A852"/>
      <x:c r="B852"/>
      <x:c r="C852"/>
      <x:c r="D852"/>
      <x:c r="E852"/>
      <x:c r="F852"/>
      <x:c r="G852"/>
      <x:c r="H852"/>
      <x:c r="I852"/>
      <x:c r="J852"/>
      <x:c r="K852"/>
      <x:c r="L852"/>
      <x:c r="M852"/>
    </x:row>
    <x:row r="853">
      <x:c r="A853"/>
      <x:c r="B853"/>
      <x:c r="C853"/>
      <x:c r="D853"/>
      <x:c r="E853"/>
      <x:c r="F853"/>
      <x:c r="G853"/>
      <x:c r="H853"/>
      <x:c r="I853"/>
      <x:c r="J853"/>
      <x:c r="K853"/>
      <x:c r="L853"/>
      <x:c r="M853"/>
    </x:row>
    <x:row r="854">
      <x:c r="A854"/>
      <x:c r="B854"/>
      <x:c r="C854"/>
      <x:c r="D854"/>
      <x:c r="E854"/>
      <x:c r="F854"/>
      <x:c r="G854"/>
      <x:c r="H854"/>
      <x:c r="I854"/>
      <x:c r="J854"/>
      <x:c r="K854"/>
      <x:c r="L854"/>
      <x:c r="M854"/>
    </x:row>
    <x:row r="855">
      <x:c r="A855"/>
      <x:c r="B855"/>
      <x:c r="C855"/>
      <x:c r="D855"/>
      <x:c r="E855"/>
      <x:c r="F855"/>
      <x:c r="G855"/>
      <x:c r="H855"/>
      <x:c r="I855"/>
      <x:c r="J855"/>
      <x:c r="K855"/>
      <x:c r="L855"/>
      <x:c r="M855"/>
    </x:row>
    <x:row r="856">
      <x:c r="A856"/>
      <x:c r="B856"/>
      <x:c r="C856"/>
      <x:c r="D856"/>
      <x:c r="E856"/>
      <x:c r="F856"/>
      <x:c r="G856"/>
      <x:c r="H856"/>
      <x:c r="I856"/>
      <x:c r="J856"/>
      <x:c r="K856"/>
      <x:c r="L856"/>
      <x:c r="M856"/>
    </x:row>
    <x:row r="857">
      <x:c r="A857"/>
      <x:c r="B857"/>
      <x:c r="C857"/>
      <x:c r="D857"/>
      <x:c r="E857"/>
      <x:c r="F857"/>
      <x:c r="G857"/>
      <x:c r="H857"/>
      <x:c r="I857"/>
      <x:c r="J857"/>
      <x:c r="K857"/>
      <x:c r="L857"/>
      <x:c r="M857"/>
    </x:row>
    <x:row r="858">
      <x:c r="A858"/>
      <x:c r="B858"/>
      <x:c r="C858"/>
      <x:c r="D858"/>
      <x:c r="E858"/>
      <x:c r="F858"/>
      <x:c r="G858"/>
      <x:c r="H858"/>
      <x:c r="I858"/>
      <x:c r="J858"/>
      <x:c r="K858"/>
      <x:c r="L858"/>
      <x:c r="M858"/>
    </x:row>
    <x:row r="859">
      <x:c r="A859"/>
      <x:c r="B859"/>
      <x:c r="C859"/>
      <x:c r="D859"/>
      <x:c r="E859"/>
      <x:c r="F859"/>
      <x:c r="G859"/>
      <x:c r="H859"/>
      <x:c r="I859"/>
      <x:c r="J859"/>
      <x:c r="K859"/>
      <x:c r="L859"/>
      <x:c r="M859"/>
    </x:row>
    <x:row r="860">
      <x:c r="A860"/>
      <x:c r="B860"/>
      <x:c r="C860"/>
      <x:c r="D860"/>
      <x:c r="E860"/>
      <x:c r="F860"/>
      <x:c r="G860"/>
      <x:c r="H860"/>
      <x:c r="I860"/>
      <x:c r="J860"/>
      <x:c r="K860"/>
      <x:c r="L860"/>
      <x:c r="M860"/>
    </x:row>
    <x:row r="861">
      <x:c r="A861"/>
      <x:c r="B861"/>
      <x:c r="C861"/>
      <x:c r="D861"/>
      <x:c r="E861"/>
      <x:c r="F861"/>
      <x:c r="G861"/>
      <x:c r="H861"/>
      <x:c r="I861"/>
      <x:c r="J861"/>
      <x:c r="K861"/>
      <x:c r="L861"/>
      <x:c r="M861"/>
    </x:row>
    <x:row r="862">
      <x:c r="A862"/>
      <x:c r="B862"/>
      <x:c r="C862"/>
      <x:c r="D862"/>
      <x:c r="E862"/>
      <x:c r="F862"/>
      <x:c r="G862"/>
      <x:c r="H862"/>
      <x:c r="I862"/>
      <x:c r="J862"/>
      <x:c r="K862"/>
      <x:c r="L862"/>
      <x:c r="M862"/>
    </x:row>
    <x:row r="863">
      <x:c r="A863"/>
      <x:c r="B863"/>
      <x:c r="C863"/>
      <x:c r="D863"/>
      <x:c r="E863"/>
      <x:c r="F863"/>
      <x:c r="G863"/>
      <x:c r="H863"/>
      <x:c r="I863"/>
      <x:c r="J863"/>
      <x:c r="K863"/>
      <x:c r="L863"/>
      <x:c r="M863"/>
    </x:row>
    <x:row r="864">
      <x:c r="A864"/>
      <x:c r="B864"/>
      <x:c r="C864"/>
      <x:c r="D864"/>
      <x:c r="E864"/>
      <x:c r="F864"/>
      <x:c r="G864"/>
      <x:c r="H864"/>
      <x:c r="I864"/>
      <x:c r="J864"/>
      <x:c r="K864"/>
      <x:c r="L864"/>
      <x:c r="M864"/>
    </x:row>
    <x:row r="865">
      <x:c r="A865"/>
      <x:c r="B865"/>
      <x:c r="C865"/>
      <x:c r="D865"/>
      <x:c r="E865"/>
      <x:c r="F865"/>
      <x:c r="G865"/>
      <x:c r="H865"/>
      <x:c r="I865"/>
      <x:c r="J865"/>
      <x:c r="K865"/>
      <x:c r="L865"/>
      <x:c r="M865"/>
    </x:row>
    <x:row r="866">
      <x:c r="A866"/>
      <x:c r="B866"/>
      <x:c r="C866"/>
      <x:c r="D866"/>
      <x:c r="E866"/>
      <x:c r="F866"/>
      <x:c r="G866"/>
      <x:c r="H866"/>
      <x:c r="I866"/>
      <x:c r="J866"/>
      <x:c r="K866"/>
      <x:c r="L866"/>
      <x:c r="M866"/>
    </x:row>
    <x:row r="867">
      <x:c r="A867"/>
      <x:c r="B867"/>
      <x:c r="C867"/>
      <x:c r="D867"/>
      <x:c r="E867"/>
      <x:c r="F867"/>
      <x:c r="G867"/>
      <x:c r="H867"/>
      <x:c r="I867"/>
      <x:c r="J867"/>
      <x:c r="K867"/>
      <x:c r="L867"/>
      <x:c r="M867"/>
    </x:row>
    <x:row r="868">
      <x:c r="A868"/>
      <x:c r="B868"/>
      <x:c r="C868"/>
      <x:c r="D868"/>
      <x:c r="E868"/>
      <x:c r="F868"/>
      <x:c r="G868"/>
      <x:c r="H868"/>
      <x:c r="I868"/>
      <x:c r="J868"/>
      <x:c r="K868"/>
      <x:c r="L868"/>
      <x:c r="M868"/>
    </x:row>
    <x:row r="869">
      <x:c r="A869"/>
      <x:c r="B869"/>
      <x:c r="C869"/>
      <x:c r="D869"/>
      <x:c r="E869"/>
      <x:c r="F869"/>
      <x:c r="G869"/>
      <x:c r="H869"/>
      <x:c r="I869"/>
      <x:c r="J869"/>
      <x:c r="K869"/>
      <x:c r="L869"/>
      <x:c r="M869"/>
    </x:row>
    <x:row r="870">
      <x:c r="A870"/>
      <x:c r="B870"/>
      <x:c r="C870"/>
      <x:c r="D870"/>
      <x:c r="E870"/>
      <x:c r="F870"/>
      <x:c r="G870"/>
      <x:c r="H870"/>
      <x:c r="I870"/>
      <x:c r="J870"/>
      <x:c r="K870"/>
      <x:c r="L870"/>
      <x:c r="M870"/>
    </x:row>
    <x:row r="871">
      <x:c r="A871"/>
      <x:c r="B871"/>
      <x:c r="C871"/>
      <x:c r="D871"/>
      <x:c r="E871"/>
      <x:c r="F871"/>
      <x:c r="G871"/>
      <x:c r="H871"/>
      <x:c r="I871"/>
      <x:c r="J871"/>
      <x:c r="K871"/>
      <x:c r="L871"/>
      <x:c r="M871"/>
    </x:row>
    <x:row r="872">
      <x:c r="A872"/>
      <x:c r="B872"/>
      <x:c r="C872"/>
      <x:c r="D872"/>
      <x:c r="E872"/>
      <x:c r="F872"/>
      <x:c r="G872"/>
      <x:c r="H872"/>
      <x:c r="I872"/>
      <x:c r="J872"/>
      <x:c r="K872"/>
      <x:c r="L872"/>
      <x:c r="M872"/>
    </x:row>
    <x:row r="873">
      <x:c r="A873"/>
      <x:c r="B873"/>
      <x:c r="C873"/>
      <x:c r="D873"/>
      <x:c r="E873"/>
      <x:c r="F873"/>
      <x:c r="G873"/>
      <x:c r="H873"/>
      <x:c r="I873"/>
      <x:c r="J873"/>
      <x:c r="K873"/>
      <x:c r="L873"/>
      <x:c r="M873"/>
    </x:row>
    <x:row r="874">
      <x:c r="A874"/>
      <x:c r="B874"/>
      <x:c r="C874"/>
      <x:c r="D874"/>
      <x:c r="E874"/>
      <x:c r="F874"/>
      <x:c r="G874"/>
      <x:c r="H874"/>
      <x:c r="I874"/>
      <x:c r="J874"/>
      <x:c r="K874"/>
      <x:c r="L874"/>
      <x:c r="M874"/>
    </x:row>
    <x:row r="875">
      <x:c r="A875"/>
      <x:c r="B875"/>
      <x:c r="C875"/>
      <x:c r="D875"/>
      <x:c r="E875"/>
      <x:c r="F875"/>
      <x:c r="G875"/>
      <x:c r="H875"/>
      <x:c r="I875"/>
      <x:c r="J875"/>
      <x:c r="K875"/>
      <x:c r="L875"/>
      <x:c r="M875"/>
    </x:row>
    <x:row r="876">
      <x:c r="A876"/>
      <x:c r="B876"/>
      <x:c r="C876"/>
      <x:c r="D876"/>
      <x:c r="E876"/>
      <x:c r="F876"/>
      <x:c r="G876"/>
      <x:c r="H876"/>
      <x:c r="I876"/>
      <x:c r="J876"/>
      <x:c r="K876"/>
      <x:c r="L876"/>
      <x:c r="M876"/>
    </x:row>
    <x:row r="877">
      <x:c r="A877"/>
      <x:c r="B877"/>
      <x:c r="C877"/>
      <x:c r="D877"/>
      <x:c r="E877"/>
      <x:c r="F877"/>
      <x:c r="G877"/>
      <x:c r="H877"/>
      <x:c r="I877"/>
      <x:c r="J877"/>
      <x:c r="K877"/>
      <x:c r="L877"/>
      <x:c r="M877"/>
    </x:row>
    <x:row r="878">
      <x:c r="A878"/>
      <x:c r="B878"/>
      <x:c r="C878"/>
      <x:c r="D878"/>
      <x:c r="E878"/>
      <x:c r="F878"/>
      <x:c r="G878"/>
      <x:c r="H878"/>
      <x:c r="I878"/>
      <x:c r="J878"/>
      <x:c r="K878"/>
      <x:c r="L878"/>
      <x:c r="M878"/>
    </x:row>
    <x:row r="879">
      <x:c r="A879"/>
      <x:c r="B879"/>
      <x:c r="C879"/>
      <x:c r="D879"/>
      <x:c r="E879"/>
      <x:c r="F879"/>
      <x:c r="G879"/>
      <x:c r="H879"/>
      <x:c r="I879"/>
      <x:c r="J879"/>
      <x:c r="K879"/>
      <x:c r="L879"/>
      <x:c r="M879"/>
    </x:row>
    <x:row r="880">
      <x:c r="A880"/>
      <x:c r="B880"/>
      <x:c r="C880"/>
      <x:c r="D880"/>
      <x:c r="E880"/>
      <x:c r="F880"/>
      <x:c r="G880"/>
      <x:c r="H880"/>
      <x:c r="I880"/>
      <x:c r="J880"/>
      <x:c r="K880"/>
      <x:c r="L880"/>
      <x:c r="M880"/>
    </x:row>
    <x:row r="881">
      <x:c r="A881"/>
      <x:c r="B881"/>
      <x:c r="C881"/>
      <x:c r="D881"/>
      <x:c r="E881"/>
      <x:c r="F881"/>
      <x:c r="G881"/>
      <x:c r="H881"/>
      <x:c r="I881"/>
      <x:c r="J881"/>
      <x:c r="K881"/>
      <x:c r="L881"/>
      <x:c r="M881"/>
    </x:row>
    <x:row r="882">
      <x:c r="A882"/>
      <x:c r="B882"/>
      <x:c r="C882"/>
      <x:c r="D882"/>
      <x:c r="E882"/>
      <x:c r="F882"/>
      <x:c r="G882"/>
      <x:c r="H882"/>
      <x:c r="I882"/>
      <x:c r="J882"/>
      <x:c r="K882"/>
      <x:c r="L882"/>
      <x:c r="M882"/>
    </x:row>
    <x:row r="883">
      <x:c r="A883"/>
      <x:c r="B883"/>
      <x:c r="C883"/>
      <x:c r="D883"/>
      <x:c r="E883"/>
      <x:c r="F883"/>
      <x:c r="G883"/>
      <x:c r="H883"/>
      <x:c r="I883"/>
      <x:c r="J883"/>
      <x:c r="K883"/>
      <x:c r="L883"/>
      <x:c r="M883"/>
    </x:row>
    <x:row r="884">
      <x:c r="A884"/>
      <x:c r="B884"/>
      <x:c r="C884"/>
      <x:c r="D884"/>
      <x:c r="E884"/>
      <x:c r="F884"/>
      <x:c r="G884"/>
      <x:c r="H884"/>
      <x:c r="I884"/>
      <x:c r="J884"/>
      <x:c r="K884"/>
      <x:c r="L884"/>
      <x:c r="M884"/>
    </x:row>
    <x:row r="885">
      <x:c r="A885"/>
      <x:c r="B885"/>
      <x:c r="C885"/>
      <x:c r="D885"/>
      <x:c r="E885"/>
      <x:c r="F885"/>
      <x:c r="G885"/>
      <x:c r="H885"/>
      <x:c r="I885"/>
      <x:c r="J885"/>
      <x:c r="K885"/>
      <x:c r="L885"/>
      <x:c r="M885"/>
    </x:row>
    <x:row r="886">
      <x:c r="A886"/>
      <x:c r="B886"/>
      <x:c r="C886"/>
      <x:c r="D886"/>
      <x:c r="E886"/>
      <x:c r="F886"/>
      <x:c r="G886"/>
      <x:c r="H886"/>
      <x:c r="I886"/>
      <x:c r="J886"/>
      <x:c r="K886"/>
      <x:c r="L886"/>
      <x:c r="M886"/>
    </x:row>
    <x:row r="887">
      <x:c r="A887"/>
      <x:c r="B887"/>
      <x:c r="C887"/>
      <x:c r="D887"/>
      <x:c r="E887"/>
      <x:c r="F887"/>
      <x:c r="G887"/>
      <x:c r="H887"/>
      <x:c r="I887"/>
      <x:c r="J887"/>
      <x:c r="K887"/>
      <x:c r="L887"/>
      <x:c r="M887"/>
    </x:row>
    <x:row r="888">
      <x:c r="A888"/>
      <x:c r="B888"/>
      <x:c r="C888"/>
      <x:c r="D888"/>
      <x:c r="E888"/>
      <x:c r="F888"/>
      <x:c r="G888"/>
      <x:c r="H888"/>
      <x:c r="I888"/>
      <x:c r="J888"/>
      <x:c r="K888"/>
      <x:c r="L888"/>
      <x:c r="M888"/>
    </x:row>
    <x:row r="889">
      <x:c r="A889"/>
      <x:c r="B889"/>
      <x:c r="C889"/>
      <x:c r="D889"/>
      <x:c r="E889"/>
      <x:c r="F889"/>
      <x:c r="G889"/>
      <x:c r="H889"/>
      <x:c r="I889"/>
      <x:c r="J889"/>
      <x:c r="K889"/>
      <x:c r="L889"/>
      <x:c r="M889"/>
    </x:row>
    <x:row r="890">
      <x:c r="A890"/>
      <x:c r="B890"/>
      <x:c r="C890"/>
      <x:c r="D890"/>
      <x:c r="E890"/>
      <x:c r="F890"/>
      <x:c r="G890"/>
      <x:c r="H890"/>
      <x:c r="I890"/>
      <x:c r="J890"/>
      <x:c r="K890"/>
      <x:c r="L890"/>
      <x:c r="M890"/>
    </x:row>
    <x:row r="891">
      <x:c r="A891"/>
      <x:c r="B891"/>
      <x:c r="C891"/>
      <x:c r="D891"/>
      <x:c r="E891"/>
      <x:c r="F891"/>
      <x:c r="G891"/>
      <x:c r="H891"/>
      <x:c r="I891"/>
      <x:c r="J891"/>
      <x:c r="K891"/>
      <x:c r="L891"/>
      <x:c r="M891"/>
    </x:row>
    <x:row r="892">
      <x:c r="A892"/>
      <x:c r="B892"/>
      <x:c r="C892"/>
      <x:c r="D892"/>
      <x:c r="E892"/>
      <x:c r="F892"/>
      <x:c r="G892"/>
      <x:c r="H892"/>
      <x:c r="I892"/>
      <x:c r="J892"/>
      <x:c r="K892"/>
      <x:c r="L892"/>
      <x:c r="M892"/>
    </x:row>
    <x:row r="893">
      <x:c r="A893"/>
      <x:c r="B893"/>
      <x:c r="C893"/>
      <x:c r="D893"/>
      <x:c r="E893"/>
      <x:c r="F893"/>
      <x:c r="G893"/>
      <x:c r="H893"/>
      <x:c r="I893"/>
      <x:c r="J893"/>
      <x:c r="K893"/>
      <x:c r="L893"/>
      <x:c r="M893"/>
    </x:row>
    <x:row r="894">
      <x:c r="A894"/>
      <x:c r="B894"/>
      <x:c r="C894"/>
      <x:c r="D894"/>
      <x:c r="E894"/>
      <x:c r="F894"/>
      <x:c r="G894"/>
      <x:c r="H894"/>
      <x:c r="I894"/>
      <x:c r="J894"/>
      <x:c r="K894"/>
      <x:c r="L894"/>
      <x:c r="M894"/>
    </x:row>
    <x:row r="895">
      <x:c r="A895"/>
      <x:c r="B895"/>
      <x:c r="C895"/>
      <x:c r="D895"/>
      <x:c r="E895"/>
      <x:c r="F895"/>
      <x:c r="G895"/>
      <x:c r="H895"/>
      <x:c r="I895"/>
      <x:c r="J895"/>
      <x:c r="K895"/>
      <x:c r="L895"/>
      <x:c r="M895"/>
    </x:row>
    <x:row r="896">
      <x:c r="A896"/>
      <x:c r="B896"/>
      <x:c r="C896"/>
      <x:c r="D896"/>
      <x:c r="E896"/>
      <x:c r="F896"/>
      <x:c r="G896"/>
      <x:c r="H896"/>
      <x:c r="I896"/>
      <x:c r="J896"/>
      <x:c r="K896"/>
      <x:c r="L896"/>
      <x:c r="M896"/>
    </x:row>
    <x:row r="897">
      <x:c r="A897"/>
      <x:c r="B897"/>
      <x:c r="C897"/>
      <x:c r="D897"/>
      <x:c r="E897"/>
      <x:c r="F897"/>
      <x:c r="G897"/>
      <x:c r="H897"/>
      <x:c r="I897"/>
      <x:c r="J897"/>
      <x:c r="K897"/>
      <x:c r="L897"/>
      <x:c r="M897"/>
    </x:row>
    <x:row r="898">
      <x:c r="A898"/>
      <x:c r="B898"/>
      <x:c r="C898"/>
      <x:c r="D898"/>
      <x:c r="E898"/>
      <x:c r="F898"/>
      <x:c r="G898"/>
      <x:c r="H898"/>
      <x:c r="I898"/>
      <x:c r="J898"/>
      <x:c r="K898"/>
      <x:c r="L898"/>
      <x:c r="M898"/>
    </x:row>
    <x:row r="899">
      <x:c r="A899"/>
      <x:c r="B899"/>
      <x:c r="C899"/>
      <x:c r="D899"/>
      <x:c r="E899"/>
      <x:c r="F899"/>
      <x:c r="G899"/>
      <x:c r="H899"/>
      <x:c r="I899"/>
      <x:c r="J899"/>
      <x:c r="K899"/>
      <x:c r="L899"/>
      <x:c r="M899"/>
    </x:row>
    <x:row r="900">
      <x:c r="A900"/>
      <x:c r="B900"/>
      <x:c r="C900"/>
      <x:c r="D900"/>
      <x:c r="E900"/>
      <x:c r="F900"/>
      <x:c r="G900"/>
      <x:c r="H900"/>
      <x:c r="I900"/>
      <x:c r="J900"/>
      <x:c r="K900"/>
      <x:c r="L900"/>
      <x:c r="M900"/>
    </x:row>
    <x:row r="901">
      <x:c r="A901"/>
      <x:c r="B901"/>
      <x:c r="C901"/>
      <x:c r="D901"/>
      <x:c r="E901"/>
      <x:c r="F901"/>
      <x:c r="G901"/>
      <x:c r="H901"/>
      <x:c r="I901"/>
      <x:c r="J901"/>
      <x:c r="K901"/>
      <x:c r="L901"/>
      <x:c r="M901"/>
    </x:row>
    <x:row r="902">
      <x:c r="A902"/>
      <x:c r="B902"/>
      <x:c r="C902"/>
      <x:c r="D902"/>
      <x:c r="E902"/>
      <x:c r="F902"/>
      <x:c r="G902"/>
      <x:c r="H902"/>
      <x:c r="I902"/>
      <x:c r="J902"/>
      <x:c r="K902"/>
      <x:c r="L902"/>
      <x:c r="M902"/>
    </x:row>
    <x:row r="903">
      <x:c r="A903"/>
      <x:c r="B903"/>
      <x:c r="C903"/>
      <x:c r="D903"/>
      <x:c r="E903"/>
      <x:c r="F903"/>
      <x:c r="G903"/>
      <x:c r="H903"/>
      <x:c r="I903"/>
      <x:c r="J903"/>
      <x:c r="K903"/>
      <x:c r="L903"/>
      <x:c r="M903"/>
    </x:row>
    <x:row r="904">
      <x:c r="A904"/>
      <x:c r="B904"/>
      <x:c r="C904"/>
      <x:c r="D904"/>
      <x:c r="E904"/>
      <x:c r="F904"/>
      <x:c r="G904"/>
      <x:c r="H904"/>
      <x:c r="I904"/>
      <x:c r="J904"/>
      <x:c r="K904"/>
      <x:c r="L904"/>
      <x:c r="M904"/>
    </x:row>
    <x:row r="905">
      <x:c r="A905"/>
      <x:c r="B905"/>
      <x:c r="C905"/>
      <x:c r="D905"/>
      <x:c r="E905"/>
      <x:c r="F905"/>
      <x:c r="G905"/>
      <x:c r="H905"/>
      <x:c r="I905"/>
      <x:c r="J905"/>
      <x:c r="K905"/>
      <x:c r="L905"/>
      <x:c r="M905"/>
    </x:row>
    <x:row r="906">
      <x:c r="A906"/>
      <x:c r="B906"/>
      <x:c r="C906"/>
      <x:c r="D906"/>
      <x:c r="E906"/>
      <x:c r="F906"/>
      <x:c r="G906"/>
      <x:c r="H906"/>
      <x:c r="I906"/>
      <x:c r="J906"/>
      <x:c r="K906"/>
      <x:c r="L906"/>
      <x:c r="M906"/>
    </x:row>
    <x:row r="907">
      <x:c r="A907"/>
      <x:c r="B907"/>
      <x:c r="C907"/>
      <x:c r="D907"/>
      <x:c r="E907"/>
      <x:c r="F907"/>
      <x:c r="G907"/>
      <x:c r="H907"/>
      <x:c r="I907"/>
      <x:c r="J907"/>
      <x:c r="K907"/>
      <x:c r="L907"/>
      <x:c r="M907"/>
    </x:row>
    <x:row r="908">
      <x:c r="A908"/>
      <x:c r="B908"/>
      <x:c r="C908"/>
      <x:c r="D908"/>
      <x:c r="E908"/>
      <x:c r="F908"/>
      <x:c r="G908"/>
      <x:c r="H908"/>
      <x:c r="I908"/>
      <x:c r="J908"/>
      <x:c r="K908"/>
      <x:c r="L908"/>
      <x:c r="M908"/>
    </x:row>
    <x:row r="909">
      <x:c r="A909"/>
      <x:c r="B909"/>
      <x:c r="C909"/>
      <x:c r="D909"/>
      <x:c r="E909"/>
      <x:c r="F909"/>
      <x:c r="G909"/>
      <x:c r="H909"/>
      <x:c r="I909"/>
      <x:c r="J909"/>
      <x:c r="K909"/>
      <x:c r="L909"/>
      <x:c r="M909"/>
    </x:row>
    <x:row r="910">
      <x:c r="A910"/>
      <x:c r="B910"/>
      <x:c r="C910"/>
      <x:c r="D910"/>
      <x:c r="E910"/>
      <x:c r="F910"/>
      <x:c r="G910"/>
      <x:c r="H910"/>
      <x:c r="I910"/>
      <x:c r="J910"/>
      <x:c r="K910"/>
      <x:c r="L910"/>
      <x:c r="M910"/>
    </x:row>
    <x:row r="911">
      <x:c r="A911"/>
      <x:c r="B911"/>
      <x:c r="C911"/>
      <x:c r="D911"/>
      <x:c r="E911"/>
      <x:c r="F911"/>
      <x:c r="G911"/>
      <x:c r="H911"/>
      <x:c r="I911"/>
      <x:c r="J911"/>
      <x:c r="K911"/>
      <x:c r="L911"/>
      <x:c r="M911"/>
    </x:row>
    <x:row r="912">
      <x:c r="A912"/>
      <x:c r="B912"/>
      <x:c r="C912"/>
      <x:c r="D912"/>
      <x:c r="E912"/>
      <x:c r="F912"/>
      <x:c r="G912"/>
      <x:c r="H912"/>
      <x:c r="I912"/>
      <x:c r="J912"/>
      <x:c r="K912"/>
      <x:c r="L912"/>
      <x:c r="M912"/>
    </x:row>
    <x:row r="913">
      <x:c r="A913"/>
      <x:c r="B913"/>
      <x:c r="C913"/>
      <x:c r="D913"/>
      <x:c r="E913"/>
      <x:c r="F913"/>
      <x:c r="G913"/>
      <x:c r="H913"/>
      <x:c r="I913"/>
      <x:c r="J913"/>
      <x:c r="K913"/>
      <x:c r="L913"/>
      <x:c r="M913"/>
    </x:row>
    <x:row r="914">
      <x:c r="A914"/>
      <x:c r="B914"/>
      <x:c r="C914"/>
      <x:c r="D914"/>
      <x:c r="E914"/>
      <x:c r="F914"/>
      <x:c r="G914"/>
      <x:c r="H914"/>
      <x:c r="I914"/>
      <x:c r="J914"/>
      <x:c r="K914"/>
      <x:c r="L914"/>
      <x:c r="M914"/>
    </x:row>
    <x:row r="915">
      <x:c r="A915"/>
      <x:c r="B915"/>
      <x:c r="C915"/>
      <x:c r="D915"/>
      <x:c r="E915"/>
      <x:c r="F915"/>
      <x:c r="G915"/>
      <x:c r="H915"/>
      <x:c r="I915"/>
      <x:c r="J915"/>
      <x:c r="K915"/>
      <x:c r="L915"/>
      <x:c r="M915"/>
    </x:row>
    <x:row r="916">
      <x:c r="A916"/>
      <x:c r="B916"/>
      <x:c r="C916"/>
      <x:c r="D916"/>
      <x:c r="E916"/>
      <x:c r="F916"/>
      <x:c r="G916"/>
      <x:c r="H916"/>
      <x:c r="I916"/>
      <x:c r="J916"/>
      <x:c r="K916"/>
      <x:c r="L916"/>
      <x:c r="M916"/>
    </x:row>
    <x:row r="917">
      <x:c r="A917"/>
      <x:c r="B917"/>
      <x:c r="C917"/>
      <x:c r="D917"/>
      <x:c r="E917"/>
      <x:c r="F917"/>
      <x:c r="G917"/>
      <x:c r="H917"/>
      <x:c r="I917"/>
      <x:c r="J917"/>
      <x:c r="K917"/>
      <x:c r="L917"/>
      <x:c r="M917"/>
    </x:row>
    <x:row r="918">
      <x:c r="A918"/>
      <x:c r="B918"/>
      <x:c r="C918"/>
      <x:c r="D918"/>
      <x:c r="E918"/>
      <x:c r="F918"/>
      <x:c r="G918"/>
      <x:c r="H918"/>
      <x:c r="I918"/>
      <x:c r="J918"/>
      <x:c r="K918"/>
      <x:c r="L918"/>
      <x:c r="M918"/>
    </x:row>
    <x:row r="919">
      <x:c r="A919"/>
      <x:c r="B919"/>
      <x:c r="C919"/>
      <x:c r="D919"/>
      <x:c r="E919"/>
      <x:c r="F919"/>
      <x:c r="G919"/>
      <x:c r="H919"/>
      <x:c r="I919"/>
      <x:c r="J919"/>
      <x:c r="K919"/>
      <x:c r="L919"/>
      <x:c r="M919"/>
    </x:row>
    <x:row r="920">
      <x:c r="A920"/>
      <x:c r="B920"/>
      <x:c r="C920"/>
      <x:c r="D920"/>
      <x:c r="E920"/>
      <x:c r="F920"/>
      <x:c r="G920"/>
      <x:c r="H920"/>
      <x:c r="I920"/>
      <x:c r="J920"/>
      <x:c r="K920"/>
      <x:c r="L920"/>
      <x:c r="M920"/>
    </x:row>
    <x:row r="921">
      <x:c r="A921"/>
      <x:c r="B921"/>
      <x:c r="C921"/>
      <x:c r="D921"/>
      <x:c r="E921"/>
      <x:c r="F921"/>
      <x:c r="G921"/>
      <x:c r="H921"/>
      <x:c r="I921"/>
      <x:c r="J921"/>
      <x:c r="K921"/>
      <x:c r="L921"/>
      <x:c r="M921"/>
    </x:row>
    <x:row r="922">
      <x:c r="A922"/>
      <x:c r="B922"/>
      <x:c r="C922"/>
      <x:c r="D922"/>
      <x:c r="E922"/>
      <x:c r="F922"/>
      <x:c r="G922"/>
      <x:c r="H922"/>
      <x:c r="I922"/>
      <x:c r="J922"/>
      <x:c r="K922"/>
      <x:c r="L922"/>
      <x:c r="M922"/>
    </x:row>
    <x:row r="923">
      <x:c r="A923"/>
      <x:c r="B923"/>
      <x:c r="C923"/>
      <x:c r="D923"/>
      <x:c r="E923"/>
      <x:c r="F923"/>
      <x:c r="G923"/>
      <x:c r="H923"/>
      <x:c r="I923"/>
      <x:c r="J923"/>
      <x:c r="K923"/>
      <x:c r="L923"/>
      <x:c r="M923"/>
    </x:row>
    <x:row r="924">
      <x:c r="A924"/>
      <x:c r="B924"/>
      <x:c r="C924"/>
      <x:c r="D924"/>
      <x:c r="E924"/>
      <x:c r="F924"/>
      <x:c r="G924"/>
      <x:c r="H924"/>
      <x:c r="I924"/>
      <x:c r="J924"/>
      <x:c r="K924"/>
      <x:c r="L924"/>
      <x:c r="M924"/>
    </x:row>
    <x:row r="925">
      <x:c r="A925"/>
      <x:c r="B925"/>
      <x:c r="C925"/>
      <x:c r="D925"/>
      <x:c r="E925"/>
      <x:c r="F925"/>
      <x:c r="G925"/>
      <x:c r="H925"/>
      <x:c r="I925"/>
      <x:c r="J925"/>
      <x:c r="K925"/>
      <x:c r="L925"/>
      <x:c r="M925"/>
    </x:row>
    <x:row r="926">
      <x:c r="A926"/>
      <x:c r="B926"/>
      <x:c r="C926"/>
      <x:c r="D926"/>
      <x:c r="E926"/>
      <x:c r="F926"/>
      <x:c r="G926"/>
      <x:c r="H926"/>
      <x:c r="I926"/>
      <x:c r="J926"/>
      <x:c r="K926"/>
      <x:c r="L926"/>
      <x:c r="M926"/>
    </x:row>
    <x:row r="927">
      <x:c r="A927"/>
      <x:c r="B927"/>
      <x:c r="C927"/>
      <x:c r="D927"/>
      <x:c r="E927"/>
      <x:c r="F927"/>
      <x:c r="G927"/>
      <x:c r="H927"/>
      <x:c r="I927"/>
      <x:c r="J927"/>
      <x:c r="K927"/>
      <x:c r="L927"/>
      <x:c r="M927"/>
    </x:row>
    <x:row r="928">
      <x:c r="A928"/>
      <x:c r="B928"/>
      <x:c r="C928"/>
      <x:c r="D928"/>
      <x:c r="E928"/>
      <x:c r="F928"/>
      <x:c r="G928"/>
      <x:c r="H928"/>
      <x:c r="I928"/>
      <x:c r="J928"/>
      <x:c r="K928"/>
      <x:c r="L928"/>
      <x:c r="M928"/>
    </x:row>
    <x:row r="929">
      <x:c r="A929"/>
      <x:c r="B929"/>
      <x:c r="C929"/>
      <x:c r="D929"/>
      <x:c r="E929"/>
      <x:c r="F929"/>
      <x:c r="G929"/>
      <x:c r="H929"/>
      <x:c r="I929"/>
      <x:c r="J929"/>
      <x:c r="K929"/>
      <x:c r="L929"/>
      <x:c r="M929"/>
    </x:row>
    <x:row r="930">
      <x:c r="A930"/>
      <x:c r="B930"/>
      <x:c r="C930"/>
      <x:c r="D930"/>
      <x:c r="E930"/>
      <x:c r="F930"/>
      <x:c r="G930"/>
      <x:c r="H930"/>
      <x:c r="I930"/>
      <x:c r="J930"/>
      <x:c r="K930"/>
      <x:c r="L930"/>
      <x:c r="M930"/>
    </x:row>
    <x:row r="931">
      <x:c r="A931"/>
      <x:c r="B931"/>
      <x:c r="C931"/>
      <x:c r="D931"/>
      <x:c r="E931"/>
      <x:c r="F931"/>
      <x:c r="G931"/>
      <x:c r="H931"/>
      <x:c r="I931"/>
      <x:c r="J931"/>
      <x:c r="K931"/>
      <x:c r="L931"/>
      <x:c r="M931"/>
    </x:row>
    <x:row r="932">
      <x:c r="A932"/>
      <x:c r="B932"/>
      <x:c r="C932"/>
      <x:c r="D932"/>
      <x:c r="E932"/>
      <x:c r="F932"/>
      <x:c r="G932"/>
      <x:c r="H932"/>
      <x:c r="I932"/>
      <x:c r="J932"/>
      <x:c r="K932"/>
      <x:c r="L932"/>
      <x:c r="M932"/>
    </x:row>
    <x:row r="933">
      <x:c r="A933"/>
      <x:c r="B933"/>
      <x:c r="C933"/>
      <x:c r="D933"/>
      <x:c r="E933"/>
      <x:c r="F933"/>
      <x:c r="G933"/>
      <x:c r="H933"/>
      <x:c r="I933"/>
      <x:c r="J933"/>
      <x:c r="K933"/>
      <x:c r="L933"/>
      <x:c r="M933"/>
    </x:row>
    <x:row r="934">
      <x:c r="A934"/>
      <x:c r="B934"/>
      <x:c r="C934"/>
      <x:c r="D934"/>
      <x:c r="E934"/>
      <x:c r="F934"/>
      <x:c r="G934"/>
      <x:c r="H934"/>
      <x:c r="I934"/>
      <x:c r="J934"/>
      <x:c r="K934"/>
      <x:c r="L934"/>
      <x:c r="M934"/>
    </x:row>
    <x:row r="935">
      <x:c r="A935"/>
      <x:c r="B935"/>
      <x:c r="C935"/>
      <x:c r="D935"/>
      <x:c r="E935"/>
      <x:c r="F935"/>
      <x:c r="G935"/>
      <x:c r="H935"/>
      <x:c r="I935"/>
      <x:c r="J935"/>
      <x:c r="K935"/>
      <x:c r="L935"/>
      <x:c r="M935"/>
    </x:row>
    <x:row r="936">
      <x:c r="A936"/>
      <x:c r="B936"/>
      <x:c r="C936"/>
      <x:c r="D936"/>
      <x:c r="E936"/>
      <x:c r="F936"/>
      <x:c r="G936"/>
      <x:c r="H936"/>
      <x:c r="I936"/>
      <x:c r="J936"/>
      <x:c r="K936"/>
      <x:c r="L936"/>
      <x:c r="M936"/>
    </x:row>
    <x:row r="937">
      <x:c r="A937"/>
      <x:c r="B937"/>
      <x:c r="C937"/>
      <x:c r="D937"/>
      <x:c r="E937"/>
      <x:c r="F937"/>
      <x:c r="G937"/>
      <x:c r="H937"/>
      <x:c r="I937"/>
      <x:c r="J937"/>
      <x:c r="K937"/>
      <x:c r="L937"/>
      <x:c r="M937"/>
    </x:row>
    <x:row r="938">
      <x:c r="A938"/>
      <x:c r="B938"/>
      <x:c r="C938"/>
      <x:c r="D938"/>
      <x:c r="E938"/>
      <x:c r="F938"/>
      <x:c r="G938"/>
      <x:c r="H938"/>
      <x:c r="I938"/>
      <x:c r="J938"/>
      <x:c r="K938"/>
      <x:c r="L938"/>
      <x:c r="M938"/>
    </x:row>
    <x:row r="939">
      <x:c r="A939"/>
      <x:c r="B939"/>
      <x:c r="C939"/>
      <x:c r="D939"/>
      <x:c r="E939"/>
      <x:c r="F939"/>
      <x:c r="G939"/>
      <x:c r="H939"/>
      <x:c r="I939"/>
      <x:c r="J939"/>
      <x:c r="K939"/>
      <x:c r="L939"/>
      <x:c r="M939"/>
    </x:row>
    <x:row r="940">
      <x:c r="A940"/>
      <x:c r="B940"/>
      <x:c r="C940"/>
      <x:c r="D940"/>
      <x:c r="E940"/>
      <x:c r="F940"/>
      <x:c r="G940"/>
      <x:c r="H940"/>
      <x:c r="I940"/>
      <x:c r="J940"/>
      <x:c r="K940"/>
      <x:c r="L940"/>
      <x:c r="M940"/>
    </x:row>
    <x:row r="941">
      <x:c r="A941"/>
      <x:c r="B941"/>
      <x:c r="C941"/>
      <x:c r="D941"/>
      <x:c r="E941"/>
      <x:c r="F941"/>
      <x:c r="G941"/>
      <x:c r="H941"/>
      <x:c r="I941"/>
      <x:c r="J941"/>
      <x:c r="K941"/>
      <x:c r="L941"/>
      <x:c r="M941"/>
    </x:row>
    <x:row r="942">
      <x:c r="A942"/>
      <x:c r="B942"/>
      <x:c r="C942"/>
      <x:c r="D942"/>
      <x:c r="E942"/>
      <x:c r="F942"/>
      <x:c r="G942"/>
      <x:c r="H942"/>
      <x:c r="I942"/>
      <x:c r="J942"/>
      <x:c r="K942"/>
      <x:c r="L942"/>
      <x:c r="M942"/>
    </x:row>
    <x:row r="943">
      <x:c r="A943"/>
      <x:c r="B943"/>
      <x:c r="C943"/>
      <x:c r="D943"/>
      <x:c r="E943"/>
      <x:c r="F943"/>
      <x:c r="G943"/>
      <x:c r="H943"/>
      <x:c r="I943"/>
      <x:c r="J943"/>
      <x:c r="K943"/>
      <x:c r="L943"/>
      <x:c r="M943"/>
    </x:row>
    <x:row r="944">
      <x:c r="A944"/>
      <x:c r="B944"/>
      <x:c r="C944"/>
      <x:c r="D944"/>
      <x:c r="E944"/>
      <x:c r="F944"/>
      <x:c r="G944"/>
      <x:c r="H944"/>
      <x:c r="I944"/>
      <x:c r="J944"/>
      <x:c r="K944"/>
      <x:c r="L944"/>
      <x:c r="M944"/>
    </x:row>
    <x:row r="945">
      <x:c r="A945"/>
      <x:c r="B945"/>
      <x:c r="C945"/>
      <x:c r="D945"/>
      <x:c r="E945"/>
      <x:c r="F945"/>
      <x:c r="G945"/>
      <x:c r="H945"/>
      <x:c r="I945"/>
      <x:c r="J945"/>
      <x:c r="K945"/>
      <x:c r="L945"/>
      <x:c r="M945"/>
    </x:row>
    <x:row r="946">
      <x:c r="A946"/>
      <x:c r="B946"/>
      <x:c r="C946"/>
      <x:c r="D946"/>
      <x:c r="E946"/>
      <x:c r="F946"/>
      <x:c r="G946"/>
      <x:c r="H946"/>
      <x:c r="I946"/>
      <x:c r="J946"/>
      <x:c r="K946"/>
      <x:c r="L946"/>
      <x:c r="M946"/>
    </x:row>
    <x:row r="947">
      <x:c r="A947"/>
      <x:c r="B947"/>
      <x:c r="C947"/>
      <x:c r="D947"/>
      <x:c r="E947"/>
      <x:c r="F947"/>
      <x:c r="G947"/>
      <x:c r="H947"/>
      <x:c r="I947"/>
      <x:c r="J947"/>
      <x:c r="K947"/>
      <x:c r="L947"/>
      <x:c r="M947"/>
    </x:row>
    <x:row r="948">
      <x:c r="A948"/>
      <x:c r="B948"/>
      <x:c r="C948"/>
      <x:c r="D948"/>
      <x:c r="E948"/>
      <x:c r="F948"/>
      <x:c r="G948"/>
      <x:c r="H948"/>
      <x:c r="I948"/>
      <x:c r="J948"/>
      <x:c r="K948"/>
      <x:c r="L948"/>
      <x:c r="M948"/>
    </x:row>
    <x:row r="949">
      <x:c r="A949"/>
      <x:c r="B949"/>
      <x:c r="C949"/>
      <x:c r="D949"/>
      <x:c r="E949"/>
      <x:c r="F949"/>
      <x:c r="G949"/>
      <x:c r="H949"/>
      <x:c r="I949"/>
      <x:c r="J949"/>
      <x:c r="K949"/>
      <x:c r="L949"/>
      <x:c r="M949"/>
    </x:row>
    <x:row r="950">
      <x:c r="A950"/>
      <x:c r="B950"/>
      <x:c r="C950"/>
      <x:c r="D950"/>
      <x:c r="E950"/>
      <x:c r="F950"/>
      <x:c r="G950"/>
      <x:c r="H950"/>
      <x:c r="I950"/>
      <x:c r="J950"/>
      <x:c r="K950"/>
      <x:c r="L950"/>
      <x:c r="M950"/>
    </x:row>
  </x:sheetData>
  <x:conditionalFormatting sqref="F2:F496">
    <x:cfRule type="expression" dxfId="10" priority="1">
      <x:formula>F2="Hoàn thành"</x:formula>
    </x:cfRule>
    <x:cfRule type="expression" dxfId="9" priority="2">
      <x:formula>F2="Đang làm"</x:formula>
    </x:cfRule>
    <x:cfRule type="expression" dxfId="8" priority="3">
      <x:formula>F2="Bị chặn"</x:formula>
    </x:cfRule>
  </x:conditionalFormatting>
  <x:conditionalFormatting sqref="F136:F534">
    <x:cfRule type="expression" dxfId="7" priority="6">
      <x:formula>F136="Đang làm"</x:formula>
    </x:cfRule>
    <x:cfRule type="expression" dxfId="6" priority="7">
      <x:formula>F136="Hoàn thành"</x:formula>
    </x:cfRule>
    <x:cfRule type="expression" dxfId="5" priority="8">
      <x:formula>F136="Bị chặn"</x:formula>
    </x:cfRule>
    <x:cfRule type="expression" dxfId="4" priority="9">
      <x:formula>F136="Tạm hoãn"</x:formula>
    </x:cfRule>
  </x:conditionalFormatting>
  <x:conditionalFormatting sqref="G2:G496">
    <x:cfRule type="expression" dxfId="3" priority="4">
      <x:formula>G2="Cao"</x:formula>
    </x:cfRule>
  </x:conditionalFormatting>
  <x:conditionalFormatting sqref="G136:H534">
    <x:cfRule type="expression" dxfId="2" priority="10">
      <x:formula>G136="Cao"</x:formula>
    </x:cfRule>
    <x:cfRule type="expression" dxfId="1" priority="11">
      <x:formula>G136="Thấp"</x:formula>
    </x:cfRule>
  </x:conditionalFormatting>
  <x:conditionalFormatting sqref="H2:H496">
    <x:cfRule type="expression" dxfId="0" priority="5">
      <x:formula>H2="Cao"</x:formula>
    </x:cfRule>
  </x:conditionalFormatting>
  <x:dataValidations count="2">
    <x:dataValidation type="list" allowBlank="1" sqref="F2:F534">
      <x:formula1>"Chưa làm,Đang làm,Hoàn thành,Bị chặn,Tạm hoãn"</x:formula1>
    </x:dataValidation>
    <x:dataValidation type="list" allowBlank="1" sqref="G2:H534">
      <x:formula1>"Cao,Trung bình,Thấp"</x:formula1>
    </x:dataValidation>
  </x:dataValidations>
  <x:pageMargins left="0.7" right="0.7" top="0.75" bottom="0.75" header="0.3" footer="0.3"/>
  <x:tableParts count="1">
    <x:tablePart xmlns:r="http://schemas.openxmlformats.org/officeDocument/2006/relationships" r:id="Re44192d4decf47ff"/>
  </x:tableParts>
</x:worksheet>
</file>

<file path=xl/worksheets/sheet3.xml><?xml version="1.0" encoding="utf-8"?>
<x:worksheet xmlns:x="http://schemas.openxmlformats.org/spreadsheetml/2006/main">
  <x:sheetFormatPr defaultRowHeight="13.800000190734863"/>
  <x:cols>
    <x:col min="1" max="1" width="45" customWidth="1"/>
    <x:col min="2" max="8" width="14" customWidth="1"/>
  </x:cols>
  <x:sheetData>
    <x:row r="1">
      <x:c r="A1" s="1" t="s">
        <x:v>22</x:v>
      </x:c>
      <x:c r="B1" s="1" t="s">
        <x:v>23</x:v>
      </x:c>
      <x:c r="C1" s="1" t="s">
        <x:v>3</x:v>
      </x:c>
      <x:c r="D1" s="1" t="s">
        <x:v>6</x:v>
      </x:c>
      <x:c r="E1" s="1" t="s">
        <x:v>9</x:v>
      </x:c>
      <x:c r="F1" s="1" t="s">
        <x:v>12</x:v>
      </x:c>
      <x:c r="G1" s="1" t="s">
        <x:v>24</x:v>
      </x:c>
      <x:c r="H1" s="1" t="s">
        <x:v>25</x:v>
      </x:c>
    </x:row>
    <x:row r="2">
      <x:c r="A2" t="s">
        <x:v>26</x:v>
      </x:c>
      <x:c r="B2" t="n">
        <x:f>COUNTIF(Checklist!$B:$B,A2)</x:f>
        <x:v>8</x:v>
      </x:c>
      <x:c r="C2" t="n">
        <x:f>COUNTIFS(Checklist!$B:$B,A2,Checklist!$F:$F,"Chưa làm")</x:f>
        <x:v>0</x:v>
      </x:c>
      <x:c r="D2" t="n">
        <x:f>COUNTIFS(Checklist!$B:$B,A2,Checklist!$F:$F,"Đang làm")</x:f>
        <x:v>0</x:v>
      </x:c>
      <x:c r="E2" t="n">
        <x:f>COUNTIFS(Checklist!$B:$B,A2,Checklist!$F:$F,"Hoàn thành")</x:f>
        <x:v>8</x:v>
      </x:c>
      <x:c r="F2" t="n">
        <x:f>COUNTIFS(Checklist!$B:$B,A2,Checklist!$F:$F,"Bị chặn")</x:f>
        <x:v>0</x:v>
      </x:c>
      <x:c r="G2" t="n">
        <x:f>COUNTIFS(Checklist!$B:$B,A2,Checklist!$F:$F,"Tạm hoãn")</x:f>
        <x:v>0</x:v>
      </x:c>
      <x:c r="H2" s="6" t="n">
        <x:f t="shared" ref="H2:H13" si="0">IFERROR(E2/B2,0)</x:f>
        <x:v>1</x:v>
      </x:c>
    </x:row>
    <x:row r="3">
      <x:c r="A3" t="s">
        <x:v>27</x:v>
      </x:c>
      <x:c r="B3" t="n">
        <x:f>COUNTIF(Checklist!$B:$B,A3)</x:f>
        <x:v>23</x:v>
      </x:c>
      <x:c r="C3" t="n">
        <x:f>COUNTIFS(Checklist!$B:$B,A3,Checklist!$F:$F,"Chưa làm")</x:f>
        <x:v>2</x:v>
      </x:c>
      <x:c r="D3" t="n">
        <x:f>COUNTIFS(Checklist!$B:$B,A3,Checklist!$F:$F,"Đang làm")</x:f>
        <x:v>0</x:v>
      </x:c>
      <x:c r="E3" t="n">
        <x:f>COUNTIFS(Checklist!$B:$B,A3,Checklist!$F:$F,"Hoàn thành")</x:f>
        <x:v>19</x:v>
      </x:c>
      <x:c r="F3" t="n">
        <x:f>COUNTIFS(Checklist!$B:$B,A3,Checklist!$F:$F,"Bị chặn")</x:f>
        <x:v>2</x:v>
      </x:c>
      <x:c r="G3" t="n">
        <x:f>COUNTIFS(Checklist!$B:$B,A3,Checklist!$F:$F,"Tạm hoãn")</x:f>
        <x:v>0</x:v>
      </x:c>
      <x:c r="H3" s="6" t="n">
        <x:f t="shared" si="0">IFERROR(E3/B3,0)</x:f>
        <x:v>0.8260869565217391</x:v>
      </x:c>
    </x:row>
    <x:row r="4">
      <x:c r="A4" t="s">
        <x:v>28</x:v>
      </x:c>
      <x:c r="B4" t="n">
        <x:f>COUNTIF(Checklist!$B:$B,A4)</x:f>
        <x:v>51</x:v>
      </x:c>
      <x:c r="C4" t="n">
        <x:f>COUNTIFS(Checklist!$B:$B,A4,Checklist!$F:$F,"Chưa làm")</x:f>
        <x:v>0</x:v>
      </x:c>
      <x:c r="D4" t="n">
        <x:f>COUNTIFS(Checklist!$B:$B,A4,Checklist!$F:$F,"Đang làm")</x:f>
        <x:v>0</x:v>
      </x:c>
      <x:c r="E4" t="n">
        <x:f>COUNTIFS(Checklist!$B:$B,A4,Checklist!$F:$F,"Hoàn thành")</x:f>
        <x:v>51</x:v>
      </x:c>
      <x:c r="F4" t="n">
        <x:f>COUNTIFS(Checklist!$B:$B,A4,Checklist!$F:$F,"Bị chặn")</x:f>
        <x:v>0</x:v>
      </x:c>
      <x:c r="G4" t="n">
        <x:f>COUNTIFS(Checklist!$B:$B,A4,Checklist!$F:$F,"Tạm hoãn")</x:f>
        <x:v>0</x:v>
      </x:c>
      <x:c r="H4" s="6" t="n">
        <x:f t="shared" si="0">IFERROR(E4/B4,0)</x:f>
        <x:v>1</x:v>
      </x:c>
    </x:row>
    <x:row r="5">
      <x:c r="A5" t="s">
        <x:v>29</x:v>
      </x:c>
      <x:c r="B5" t="n">
        <x:f>COUNTIF(Checklist!$B:$B,A5)</x:f>
        <x:v>153</x:v>
      </x:c>
      <x:c r="C5" t="n">
        <x:f>COUNTIFS(Checklist!$B:$B,A5,Checklist!$F:$F,"Chưa làm")</x:f>
        <x:v>12</x:v>
      </x:c>
      <x:c r="D5" t="n">
        <x:f>COUNTIFS(Checklist!$B:$B,A5,Checklist!$F:$F,"Đang làm")</x:f>
        <x:v>0</x:v>
      </x:c>
      <x:c r="E5" t="n">
        <x:f>COUNTIFS(Checklist!$B:$B,A5,Checklist!$F:$F,"Hoàn thành")</x:f>
        <x:v>141</x:v>
      </x:c>
      <x:c r="F5" t="n">
        <x:f>COUNTIFS(Checklist!$B:$B,A5,Checklist!$F:$F,"Bị chặn")</x:f>
        <x:v>0</x:v>
      </x:c>
      <x:c r="G5" t="n">
        <x:f>COUNTIFS(Checklist!$B:$B,A5,Checklist!$F:$F,"Tạm hoãn")</x:f>
        <x:v>0</x:v>
      </x:c>
      <x:c r="H5" s="6" t="n">
        <x:f t="shared" si="0">IFERROR(E5/B5,0)</x:f>
        <x:v>0.9215686274509803</x:v>
      </x:c>
    </x:row>
    <x:row r="6">
      <x:c r="A6" t="s">
        <x:v>30</x:v>
      </x:c>
      <x:c r="B6" t="n">
        <x:f>COUNTIF(Checklist!$B:$B,A6)</x:f>
        <x:v>17</x:v>
      </x:c>
      <x:c r="C6" t="n">
        <x:f>COUNTIFS(Checklist!$B:$B,A6,Checklist!$F:$F,"Chưa làm")</x:f>
        <x:v>17</x:v>
      </x:c>
      <x:c r="D6" t="n">
        <x:f>COUNTIFS(Checklist!$B:$B,A6,Checklist!$F:$F,"Đang làm")</x:f>
        <x:v>0</x:v>
      </x:c>
      <x:c r="E6" t="n">
        <x:f>COUNTIFS(Checklist!$B:$B,A6,Checklist!$F:$F,"Hoàn thành")</x:f>
        <x:v>0</x:v>
      </x:c>
      <x:c r="F6" t="n">
        <x:f>COUNTIFS(Checklist!$B:$B,A6,Checklist!$F:$F,"Bị chặn")</x:f>
        <x:v>0</x:v>
      </x:c>
      <x:c r="G6" t="n">
        <x:f>COUNTIFS(Checklist!$B:$B,A6,Checklist!$F:$F,"Tạm hoãn")</x:f>
        <x:v>0</x:v>
      </x:c>
      <x:c r="H6" s="6" t="n">
        <x:f t="shared" si="0">IFERROR(E6/B6,0)</x:f>
        <x:v>0</x:v>
      </x:c>
    </x:row>
    <x:row r="7">
      <x:c r="A7" t="s">
        <x:v>31</x:v>
      </x:c>
      <x:c r="B7" t="n">
        <x:f>COUNTIF(Checklist!$B:$B,A7)</x:f>
        <x:v>47</x:v>
      </x:c>
      <x:c r="C7" t="n">
        <x:f>COUNTIFS(Checklist!$B:$B,A7,Checklist!$F:$F,"Chưa làm")</x:f>
        <x:v>47</x:v>
      </x:c>
      <x:c r="D7" t="n">
        <x:f>COUNTIFS(Checklist!$B:$B,A7,Checklist!$F:$F,"Đang làm")</x:f>
        <x:v>0</x:v>
      </x:c>
      <x:c r="E7" t="n">
        <x:f>COUNTIFS(Checklist!$B:$B,A7,Checklist!$F:$F,"Hoàn thành")</x:f>
        <x:v>0</x:v>
      </x:c>
      <x:c r="F7" t="n">
        <x:f>COUNTIFS(Checklist!$B:$B,A7,Checklist!$F:$F,"Bị chặn")</x:f>
        <x:v>0</x:v>
      </x:c>
      <x:c r="G7" t="n">
        <x:f>COUNTIFS(Checklist!$B:$B,A7,Checklist!$F:$F,"Tạm hoãn")</x:f>
        <x:v>0</x:v>
      </x:c>
      <x:c r="H7" s="6" t="n">
        <x:f t="shared" si="0">IFERROR(E7/B7,0)</x:f>
        <x:v>0</x:v>
      </x:c>
    </x:row>
    <x:row r="8">
      <x:c r="A8" t="s">
        <x:v>32</x:v>
      </x:c>
      <x:c r="B8" t="n">
        <x:f>COUNTIF(Checklist!$B:$B,A8)</x:f>
        <x:v>101</x:v>
      </x:c>
      <x:c r="C8" t="n">
        <x:f>COUNTIFS(Checklist!$B:$B,A8,Checklist!$F:$F,"Chưa làm")</x:f>
        <x:v>101</x:v>
      </x:c>
      <x:c r="D8" t="n">
        <x:f>COUNTIFS(Checklist!$B:$B,A8,Checklist!$F:$F,"Đang làm")</x:f>
        <x:v>0</x:v>
      </x:c>
      <x:c r="E8" t="n">
        <x:f>COUNTIFS(Checklist!$B:$B,A8,Checklist!$F:$F,"Hoàn thành")</x:f>
        <x:v>0</x:v>
      </x:c>
      <x:c r="F8" t="n">
        <x:f>COUNTIFS(Checklist!$B:$B,A8,Checklist!$F:$F,"Bị chặn")</x:f>
        <x:v>0</x:v>
      </x:c>
      <x:c r="G8" t="n">
        <x:f>COUNTIFS(Checklist!$B:$B,A8,Checklist!$F:$F,"Tạm hoãn")</x:f>
        <x:v>0</x:v>
      </x:c>
      <x:c r="H8" s="6" t="n">
        <x:f t="shared" si="0">IFERROR(E8/B8,0)</x:f>
        <x:v>0</x:v>
      </x:c>
    </x:row>
    <x:row r="9">
      <x:c r="A9" t="s">
        <x:v>33</x:v>
      </x:c>
      <x:c r="B9" t="n">
        <x:f>COUNTIF(Checklist!$B:$B,A9)</x:f>
        <x:v>56</x:v>
      </x:c>
      <x:c r="C9" t="n">
        <x:f>COUNTIFS(Checklist!$B:$B,A9,Checklist!$F:$F,"Chưa làm")</x:f>
        <x:v>56</x:v>
      </x:c>
      <x:c r="D9" t="n">
        <x:f>COUNTIFS(Checklist!$B:$B,A9,Checklist!$F:$F,"Đang làm")</x:f>
        <x:v>0</x:v>
      </x:c>
      <x:c r="E9" t="n">
        <x:f>COUNTIFS(Checklist!$B:$B,A9,Checklist!$F:$F,"Hoàn thành")</x:f>
        <x:v>0</x:v>
      </x:c>
      <x:c r="F9" t="n">
        <x:f>COUNTIFS(Checklist!$B:$B,A9,Checklist!$F:$F,"Bị chặn")</x:f>
        <x:v>0</x:v>
      </x:c>
      <x:c r="G9" t="n">
        <x:f>COUNTIFS(Checklist!$B:$B,A9,Checklist!$F:$F,"Tạm hoãn")</x:f>
        <x:v>0</x:v>
      </x:c>
      <x:c r="H9" s="6" t="n">
        <x:f t="shared" si="0">IFERROR(E9/B9,0)</x:f>
        <x:v>0</x:v>
      </x:c>
    </x:row>
    <x:row r="10">
      <x:c r="A10" t="s">
        <x:v>34</x:v>
      </x:c>
      <x:c r="B10" t="n">
        <x:f>COUNTIF(Checklist!$B:$B,A10)</x:f>
        <x:v>32</x:v>
      </x:c>
      <x:c r="C10" t="n">
        <x:f>COUNTIFS(Checklist!$B:$B,A10,Checklist!$F:$F,"Chưa làm")</x:f>
        <x:v>32</x:v>
      </x:c>
      <x:c r="D10" t="n">
        <x:f>COUNTIFS(Checklist!$B:$B,A10,Checklist!$F:$F,"Đang làm")</x:f>
        <x:v>0</x:v>
      </x:c>
      <x:c r="E10" t="n">
        <x:f>COUNTIFS(Checklist!$B:$B,A10,Checklist!$F:$F,"Hoàn thành")</x:f>
        <x:v>0</x:v>
      </x:c>
      <x:c r="F10" t="n">
        <x:f>COUNTIFS(Checklist!$B:$B,A10,Checklist!$F:$F,"Bị chặn")</x:f>
        <x:v>0</x:v>
      </x:c>
      <x:c r="G10" t="n">
        <x:f>COUNTIFS(Checklist!$B:$B,A10,Checklist!$F:$F,"Tạm hoãn")</x:f>
        <x:v>0</x:v>
      </x:c>
      <x:c r="H10" s="6" t="n">
        <x:f t="shared" si="0">IFERROR(E10/B10,0)</x:f>
        <x:v>0</x:v>
      </x:c>
    </x:row>
    <x:row r="11">
      <x:c r="A11" t="s">
        <x:v>35</x:v>
      </x:c>
      <x:c r="B11" t="n">
        <x:f>COUNTIF(Checklist!$B:$B,A11)</x:f>
        <x:v>20</x:v>
      </x:c>
      <x:c r="C11" t="n">
        <x:f>COUNTIFS(Checklist!$B:$B,A11,Checklist!$F:$F,"Chưa làm")</x:f>
        <x:v>20</x:v>
      </x:c>
      <x:c r="D11" t="n">
        <x:f>COUNTIFS(Checklist!$B:$B,A11,Checklist!$F:$F,"Đang làm")</x:f>
        <x:v>0</x:v>
      </x:c>
      <x:c r="E11" t="n">
        <x:f>COUNTIFS(Checklist!$B:$B,A11,Checklist!$F:$F,"Hoàn thành")</x:f>
        <x:v>0</x:v>
      </x:c>
      <x:c r="F11" t="n">
        <x:f>COUNTIFS(Checklist!$B:$B,A11,Checklist!$F:$F,"Bị chặn")</x:f>
        <x:v>0</x:v>
      </x:c>
      <x:c r="G11" t="n">
        <x:f>COUNTIFS(Checklist!$B:$B,A11,Checklist!$F:$F,"Tạm hoãn")</x:f>
        <x:v>0</x:v>
      </x:c>
      <x:c r="H11" s="6" t="n">
        <x:f t="shared" si="0">IFERROR(E11/B11,0)</x:f>
        <x:v>0</x:v>
      </x:c>
    </x:row>
    <x:row r="12">
      <x:c r="A12" t="s">
        <x:v>36</x:v>
      </x:c>
      <x:c r="B12" t="n">
        <x:f>COUNTIF(Checklist!$B:$B,A12)</x:f>
        <x:v>18</x:v>
      </x:c>
      <x:c r="C12" t="n">
        <x:f>COUNTIFS(Checklist!$B:$B,A12,Checklist!$F:$F,"Chưa làm")</x:f>
        <x:v>18</x:v>
      </x:c>
      <x:c r="D12" t="n">
        <x:f>COUNTIFS(Checklist!$B:$B,A12,Checklist!$F:$F,"Đang làm")</x:f>
        <x:v>0</x:v>
      </x:c>
      <x:c r="E12" t="n">
        <x:f>COUNTIFS(Checklist!$B:$B,A12,Checklist!$F:$F,"Hoàn thành")</x:f>
        <x:v>0</x:v>
      </x:c>
      <x:c r="F12" t="n">
        <x:f>COUNTIFS(Checklist!$B:$B,A12,Checklist!$F:$F,"Bị chặn")</x:f>
        <x:v>0</x:v>
      </x:c>
      <x:c r="G12" t="n">
        <x:f>COUNTIFS(Checklist!$B:$B,A12,Checklist!$F:$F,"Tạm hoãn")</x:f>
        <x:v>0</x:v>
      </x:c>
      <x:c r="H12" s="6" t="n">
        <x:f t="shared" si="0">IFERROR(E12/B12,0)</x:f>
        <x:v>0</x:v>
      </x:c>
    </x:row>
    <x:row r="13">
      <x:c r="A13" t="s">
        <x:v>37</x:v>
      </x:c>
      <x:c r="B13" t="n">
        <x:f>COUNTIF(Checklist!$B:$B,A13)</x:f>
        <x:v>7</x:v>
      </x:c>
      <x:c r="C13" t="n">
        <x:f>COUNTIFS(Checklist!$B:$B,A13,Checklist!$F:$F,"Chưa làm")</x:f>
        <x:v>7</x:v>
      </x:c>
      <x:c r="D13" t="n">
        <x:f>COUNTIFS(Checklist!$B:$B,A13,Checklist!$F:$F,"Đang làm")</x:f>
        <x:v>0</x:v>
      </x:c>
      <x:c r="E13" t="n">
        <x:f>COUNTIFS(Checklist!$B:$B,A13,Checklist!$F:$F,"Hoàn thành")</x:f>
        <x:v>0</x:v>
      </x:c>
      <x:c r="F13" t="n">
        <x:f>COUNTIFS(Checklist!$B:$B,A13,Checklist!$F:$F,"Bị chặn")</x:f>
        <x:v>0</x:v>
      </x:c>
      <x:c r="G13" t="n">
        <x:f>COUNTIFS(Checklist!$B:$B,A13,Checklist!$F:$F,"Tạm hoãn")</x:f>
        <x:v>0</x:v>
      </x:c>
      <x:c r="H13" s="6" t="n">
        <x:f t="shared" si="0">IFERROR(E13/B13,0)</x:f>
        <x:v>0</x:v>
      </x:c>
    </x:row>
  </x:sheetData>
  <x:conditionalFormatting sqref="H2:H13">
    <x:cfRule type="dataBar" priority="1">
      <x:dataBar>
        <x:cfvo type="min"/>
        <x:cfvo type="max"/>
        <x:color rgb="FF2563EB"/>
      </x:dataBar>
    </x:cfRule>
    <x:cfRule type="dataBar" priority="2">
      <x:dataBar>
        <x:cfvo type="min"/>
        <x:cfvo type="max"/>
        <x:color rgb="FF2563EB"/>
      </x:dataBar>
    </x:cfRule>
    <x:cfRule type="dataBar" priority="3">
      <x:dataBar>
        <x:cfvo type="min"/>
        <x:cfvo type="max"/>
        <x:color rgb="FF2563EB"/>
      </x:dataBar>
    </x:cfRule>
    <x:cfRule type="dataBar" priority="4">
      <x:dataBar>
        <x:cfvo type="min"/>
        <x:cfvo type="max"/>
        <x:color rgb="FF2563EB"/>
      </x:dataBar>
      <x:extLst>
        <x:ext xmlns:x14="http://schemas.microsoft.com/office/spreadsheetml/2009/9/main" uri="{B025F937-C7B1-47D3-B67F-A62EFF666E3E}">
          <x14:id>{AD83FEA1-1E63-DAB2-4B99-051C2DBA3A1A}</x14:id>
        </x:ext>
      </x:extLst>
    </x:cfRule>
  </x:conditionalFormatting>
  <x:pageMargins left="0.7" right="0.7" top="0.75" bottom="0.75" header="0.3" footer="0.3"/>
  <x:tableParts count="1">
    <x:tablePart xmlns:r="http://schemas.openxmlformats.org/officeDocument/2006/relationships" r:id="Rbf6bf186454b471c"/>
  </x:tableParts>
  <x:extLst>
    <x:ext xmlns:x14="http://schemas.microsoft.com/office/spreadsheetml/2009/9/main" xmlns:xm="http://schemas.microsoft.com/office/excel/2006/main" uri="{78C0D931-6437-407d-A8EE-F0AAD7539E65}">
      <x14:conditionalFormattings>
        <x14:conditionalFormatting>
          <x14:cfRule type="dataBar" priority="4" id="{AD83FEA1-1E63-DAB2-4B99-051C2DBA3A1A}">
            <x14:dataBar>
              <x14:cfvo type="min"/>
              <x14:cfvo type="max"/>
              <x14:fillColor rgb="FF2563EB"/>
              <x14:negativeFillColor auto="1"/>
              <x14:axisColor auto="1"/>
            </x14:dataBar>
          </x14:cfRule>
          <xm:sqref>H2:H13</xm:sqref>
        </x14:conditionalFormatting>
      </x14:conditionalFormattings>
    </x:ext>
  </x:extLst>
</x:worksheet>
</file>

<file path=xl/worksheets/sheet4.xml><?xml version="1.0" encoding="utf-8"?>
<x:worksheet xmlns:x="http://schemas.openxmlformats.org/spreadsheetml/2006/main">
  <x:sheetFormatPr defaultRowHeight="13.800000190734863"/>
  <x:cols>
    <x:col min="1" max="3" width="16" customWidth="1"/>
  </x:cols>
  <x:sheetData>
    <x:row r="1">
      <x:c r="A1" s="1" t="s">
        <x:v>42</x:v>
      </x:c>
      <x:c r="B1" s="1" t="s">
        <x:v>43</x:v>
      </x:c>
      <x:c r="C1" s="1" t="s">
        <x:v>44</x:v>
      </x:c>
    </x:row>
    <x:row r="2">
      <x:c r="A2" t="s">
        <x:v>3</x:v>
      </x:c>
      <x:c r="B2" t="s">
        <x:v>52</x:v>
      </x:c>
      <x:c r="C2" t="s">
        <x:v>52</x:v>
      </x:c>
    </x:row>
    <x:row r="3">
      <x:c r="A3" t="s">
        <x:v>6</x:v>
      </x:c>
      <x:c r="B3" t="s">
        <x:v>64</x:v>
      </x:c>
      <x:c r="C3" t="s">
        <x:v>64</x:v>
      </x:c>
    </x:row>
    <x:row r="4">
      <x:c r="A4" t="s">
        <x:v>9</x:v>
      </x:c>
      <x:c r="B4" t="s">
        <x:v>53</x:v>
      </x:c>
      <x:c r="C4" t="s">
        <x:v>53</x:v>
      </x:c>
    </x:row>
    <x:row r="5">
      <x:c r="A5" t="s">
        <x:v>12</x:v>
      </x:c>
    </x:row>
    <x:row r="6">
      <x:c r="A6" t="s">
        <x:v>24</x:v>
      </x:c>
    </x:row>
  </x:sheetData>
  <x:pageMargins left="0.7" right="0.7" top="0.75" bottom="0.75" header="0.3" footer="0.3"/>
</x:worksheet>
</file>