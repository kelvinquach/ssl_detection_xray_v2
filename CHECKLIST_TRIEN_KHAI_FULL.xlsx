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22da1698b94d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803bee6e9cf4002"/>
    <x:sheet xmlns:r="http://schemas.openxmlformats.org/officeDocument/2006/relationships" name="Checklist" sheetId="2" r:id="Rf488c25af4514b13"/>
    <x:sheet xmlns:r="http://schemas.openxmlformats.org/officeDocument/2006/relationships" name="Phase Summary" sheetId="3" r:id="Rd961bc86c1f34ab8"/>
    <x:sheet xmlns:r="http://schemas.openxmlformats.org/officeDocument/2006/relationships" name="Lists" sheetId="4" r:id="Rb52d4bd7b7094233"/>
  </x:sheets>
</x:workbook>
</file>

<file path=xl/sharedStrings.xml><?xml version="1.0" encoding="utf-8"?>
<x:sst xmlns:x="http://schemas.openxmlformats.org/spreadsheetml/2006/main">
  <x:si>
    <x:t xml:space="preserve">CHECKLIST TRIỂN KHAI FULL — SEMI-SUPERVISED OBJECT DETECTION TRÊN X-QUANG PHỔI</x:t>
  </x:si>
  <x:si>
    <x:t xml:space="preserve">Tổng số task</x:t>
  </x:si>
  <x:si>
    <x:t xml:space="preserve">Gợi ý sử dụng file</x:t>
  </x:si>
  <x:si>
    <x:t xml:space="preserve">Chưa làm</x:t>
  </x:si>
  <x:si>
    <x:t xml:space="preserve">1</x:t>
  </x:si>
  <x:si>
    <x:t xml:space="preserve">Cập nhật Status tại sheet Checklist bằng dropdown.</x:t>
  </x:si>
  <x:si>
    <x:t xml:space="preserve">Đang làm</x:t>
  </x:si>
  <x:si>
    <x:t xml:space="preserve">2</x:t>
  </x:si>
  <x:si>
    <x:t xml:space="preserve">Dùng Priority/Risk/Owner/Due Date để quản lý tiến độ.</x:t>
  </x:si>
  <x:si>
    <x:t xml:space="preserve">Hoàn thành</x:t>
  </x:si>
  <x:si>
    <x:t xml:space="preserve">3</x:t>
  </x:si>
  <x:si>
    <x:t xml:space="preserve">Theo dõi tiến độ theo phase ở sheet Phase Summary.</x:t>
  </x:si>
  <x:si>
    <x:t xml:space="preserve">Bị chặn</x:t>
  </x:si>
  <x:si>
    <x:t xml:space="preserve">4</x:t>
  </x:si>
  <x:si>
    <x:t xml:space="preserve">Không sửa công thức Done Flag trừ khi thay đổi cấu trúc.</x:t>
  </x:si>
  <x:si>
    <x:t xml:space="preserve">Tiến độ</x:t>
  </x:si>
  <x:si>
    <x:t xml:space="preserve">5</x:t>
  </x:si>
  <x:si>
    <x:t xml:space="preserve">Metric chính đã khóa: mAP@0.5:0.95.</x:t>
  </x:si>
  <x:si>
    <x:t xml:space="preserve">6</x:t>
  </x:si>
  <x:si>
    <x:t xml:space="preserve">No Finding là ảnh âm tính không bbox, không phải detection class.</x:t>
  </x:si>
  <x:si>
    <x:t xml:space="preserve">7</x:t>
  </x:si>
  <x:si>
    <x:t xml:space="preserve">Pseudo-BBox phải có NMS + box-quality filtering trước khi student học.</x:t>
  </x:si>
  <x:si>
    <x:t xml:space="preserve">Phase</x:t>
  </x:si>
  <x:si>
    <x:t xml:space="preserve">Total</x:t>
  </x:si>
  <x:si>
    <x:t xml:space="preserve">Tạm hoãn</x:t>
  </x:si>
  <x:si>
    <x:t xml:space="preserve">Completion %</x:t>
  </x:si>
  <x:si>
    <x:t xml:space="preserve">Nguyên tắc chung</x:t>
  </x:si>
  <x:si>
    <x:t xml:space="preserve">PHASE 0 — Setup repo và môi trường</x:t>
  </x:si>
  <x:si>
    <x:t xml:space="preserve">PHASE 1 — Kiểm tra dữ liệu gốc &amp; feasibility</x:t>
  </x:si>
  <x:si>
    <x:t xml:space="preserve">PHASE 2 — Chuẩn hóa dữ liệu và COCO master</x:t>
  </x:si>
  <x:si>
    <x:t xml:space="preserve">PHASE 3 — Pre-training dataset diagnostics</x:t>
  </x:si>
  <x:si>
    <x:t xml:space="preserve">PHASE 4 — Supervised baseline</x:t>
  </x:si>
  <x:si>
    <x:t xml:space="preserve">PHASE 5 — SSL detection</x:t>
  </x:si>
  <x:si>
    <x:t xml:space="preserve">PHASE 6 — Threshold sweep và phân tích lỗi</x:t>
  </x:si>
  <x:si>
    <x:t xml:space="preserve">PHASE 7 — Tổng hợp báo cáo và viết thesis/paper</x:t>
  </x:si>
  <x:si>
    <x:t xml:space="preserve">Checklist bắt buộc trước khi chạy train lớn</x:t>
  </x:si>
  <x:si>
    <x:t xml:space="preserve">Checklist chống lỗi âm thầm</x:t>
  </x:si>
  <x:si>
    <x:t xml:space="preserve">Quy tắc kết luận kết quả</x:t>
  </x:si>
  <x:si>
    <x:t xml:space="preserve">ID</x:t>
  </x:si>
  <x:si>
    <x:t xml:space="preserve">Section</x:t>
  </x:si>
  <x:si>
    <x:t xml:space="preserve">Type</x:t>
  </x:si>
  <x:si>
    <x:t xml:space="preserve">Task</x:t>
  </x:si>
  <x:si>
    <x:t xml:space="preserve">Status</x:t>
  </x:si>
  <x:si>
    <x:t xml:space="preserve">Priority</x:t>
  </x:si>
  <x:si>
    <x:t xml:space="preserve">Risk</x:t>
  </x:si>
  <x:si>
    <x:t xml:space="preserve">Owner</x:t>
  </x:si>
  <x:si>
    <x:t xml:space="preserve">Due Date</x:t>
  </x:si>
  <x:si>
    <x:t xml:space="preserve">Notes</x:t>
  </x:si>
  <x:si>
    <x:t xml:space="preserve">Evidence / Link</x:t>
  </x:si>
  <x:si>
    <x:t xml:space="preserve">Done Flag</x:t>
  </x:si>
  <x:si>
    <x:t xml:space="preserve">Checklist</x:t>
  </x:si>
  <x:si>
    <x:t xml:space="preserve">Mọi kết quả phải truy vết được từ: config → seed/split manifest → log → checkpoint → report.</x:t>
  </x:si>
  <x:si>
    <x:t xml:space="preserve">Cao</x:t>
  </x:si>
  <x:si>
    <x:t xml:space="preserve">Thấp</x:t>
  </x:si>
  <x:si>
    <x:t xml:space="preserve">Metric chính để kết luận là mAP@0.5:0.95.</x:t>
  </x:si>
  <x:si>
    <x:t xml:space="preserve">Test set chỉ dùng để đánh giá cuối; không dùng để chọn checkpoint, threshold, backbone, augmentation hoặc model tốt nhất.</x:t>
  </x:si>
  <x:si>
    <x:t xml:space="preserve">No Finding / normal là ảnh âm tính không có bbox, không phải detection class.</x:t>
  </x:si>
  <x:si>
    <x:t xml:space="preserve">Supervised low-label và SSL phải so sánh trên cùng labeled split, cùng split_seed, cùng fixed test set.</x:t>
  </x:si>
  <x:si>
    <x:t xml:space="preserve">Stability phải được đo bằng nhiều training_seed; không được nhầm training_seed với split_seed.</x:t>
  </x:si>
  <x:si>
    <x:t xml:space="preserve">Không kết luận SSL tốt hơn nếu SSL gain nhỏ hơn hoặc tương đương std giữa các seed.</x:t>
  </x:si>
  <x:si>
    <x:t xml:space="preserve">Class imbalance được theo dõi/phân tích trong SSL; không dùng oversampling/undersampling/class weighting như đóng góp xử lý độc lập.</x:t>
  </x:si>
  <x:si>
    <x:t xml:space="preserve">0A. Tạo cấu trúc repo</x:t>
  </x:si>
  <x:si>
    <x:t xml:space="preserve">Việc cần làm</x:t>
  </x:si>
  <x:si>
    <x:t xml:space="preserve">Tạo repo tên: ssl_detection_xray_v2</x:t>
  </x:si>
  <x:si>
    <x:t xml:space="preserve">Trung bình</x:t>
  </x:si>
  <x:si>
    <x:t xml:space="preserve">Tạo thư mục chính: configs/, data/, src/, scripts/, experiments/, reports/, plots/, models/, logs/, tests/, draft/.</x:t>
  </x:si>
  <x:si>
    <x:t xml:space="preserve">Tạo .gitignore loại dữ liệu lớn và checkpoint: data/raw/, data/interim/, data/processed/images/, models/, logs/, experiments/*/checkpoints/.</x:t>
  </x:si>
  <x:si>
    <x:t xml:space="preserve">Đưa file định hướng vào repo: README.md, CLAUDE.md, STRUCTURE.md, RESEARCH_CHECKLIST.md, repository_structure.md, CHECKLIST_TRIEN_KHAI_FULL.xlsx, research_log.md.</x:t>
  </x:si>
  <x:si>
    <x:t xml:space="preserve">Không dùng lẫn RESEARCH_STRUCTURE.md nếu repo đã khóa tên STRUCTURE.md.</x:t>
  </x:si>
  <x:si>
    <x:t xml:space="preserve">0B. Khóa môi trường và tái lập</x:t>
  </x:si>
  <x:si>
    <x:t xml:space="preserve">Tạo requirements.txt.</x:t>
  </x:si>
  <x:si>
    <x:t xml:space="preserve">Tạo environment.yml nếu dùng Conda.</x:t>
  </x:si>
  <x:si>
    <x:t xml:space="preserve">Ghi rõ Python, PyTorch, CUDA, Detectron2/MMDetection, OpenCV, pandas, numpy, pydicom, pycocotools.</x:t>
  </x:si>
  <x:si>
    <x:t xml:space="preserve">Tạo scripts/00_setup_environment.sh.</x:t>
  </x:si>
  <x:si>
    <x:t xml:space="preserve">Phân biệt và lưu seed number, RNG state và deterministic flags.</x:t>
  </x:si>
  <x:si>
    <x:t xml:space="preserve">Lưu trạng thái RNG của Python random, NumPy, PyTorch CPU, PyTorch CUDA.</x:t>
  </x:si>
  <x:si>
    <x:t xml:space="preserve">Ghi rõ cờ deterministic: torch.use_deterministic_algorithms, torch.backends.cudnn.deterministic, torch.backends.cudnn.benchmark.</x:t>
  </x:si>
  <x:si>
    <x:t xml:space="preserve">Ghi rõ nếu có CUDA operation không deterministic và ảnh hưởng dự kiến.</x:t>
  </x:si>
  <x:si>
    <x:t xml:space="preserve">Output</x:t>
  </x:si>
  <x:si>
    <x:t xml:space="preserve">requirements.txt</x:t>
  </x:si>
  <x:si>
    <x:t xml:space="preserve">environment.yml</x:t>
  </x:si>
  <x:si>
    <x:t xml:space="preserve">scripts/00_setup_environment.sh</x:t>
  </x:si>
  <x:si>
    <x:t xml:space="preserve">data/manifests/seed_state_manifest.json</x:t>
  </x:si>
  <x:si>
    <x:t xml:space="preserve">reports/reproducibility_settings.md</x:t>
  </x:si>
  <x:si>
    <x:t xml:space="preserve">DoD</x:t>
  </x:si>
  <x:si>
    <x:t xml:space="preserve">Cài môi trường được trên máy mới.</x:t>
  </x:si>
  <x:si>
    <x:t xml:space="preserve">Import được framework detection.</x:t>
  </x:si>
  <x:si>
    <x:t xml:space="preserve">Chạy được kiểm tra torch.cuda.is_available().</x:t>
  </x:si>
  <x:si>
    <x:t xml:space="preserve">Mỗi lần chạy lưu được seed number, RNG state và deterministic configuration.</x:t>
  </x:si>
  <x:si>
    <x:t xml:space="preserve">Truy vết được một kết quả từ config → seed state → checkpoint → metric.</x:t>
  </x:si>
  <x:si>
    <x:t xml:space="preserve">1A. Dataset inspection</x:t>
  </x:si>
  <x:si>
    <x:t xml:space="preserve">Kiểm tra số file ảnh thực tế.</x:t>
  </x:si>
  <x:si>
    <x:t xml:space="preserve">Kiểm tra số file annotation.</x:t>
  </x:si>
  <x:si>
    <x:t xml:space="preserve">Đọc train.csv hoặc annotation gốc.</x:t>
  </x:si>
  <x:si>
    <x:t xml:space="preserve">Đếm tổng số dòng annotation.</x:t>
  </x:si>
  <x:si>
    <x:t xml:space="preserve">Đếm số image_id duy nhất.</x:t>
  </x:si>
  <x:si>
    <x:t xml:space="preserve">Đếm số ảnh abnormal có bbox.</x:t>
  </x:si>
  <x:si>
    <x:t xml:space="preserve">Đếm số ảnh No Finding / normal.</x:t>
  </x:si>
  <x:si>
    <x:t xml:space="preserve">Đếm số class abnormal.</x:t>
  </x:si>
  <x:si>
    <x:t xml:space="preserve">Đếm số bbox theo từng class.</x:t>
  </x:si>
  <x:si>
    <x:t xml:space="preserve">Thống kê per-radiologist / reader metadata nếu có.</x:t>
  </x:si>
  <x:si>
    <x:t xml:space="preserve">Kiểm tra class No Finding không đưa vào detection categories.</x:t>
  </x:si>
  <x:si>
    <x:t xml:space="preserve">reports/dataset_overview.csv</x:t>
  </x:si>
  <x:si>
    <x:t xml:space="preserve">reports/dataset_overview.md</x:t>
  </x:si>
  <x:si>
    <x:t xml:space="preserve">Biết chính xác tổng ảnh, tổng bbox, số ảnh No Finding và 14 abnormal classes.</x:t>
  </x:si>
  <x:si>
    <x:t xml:space="preserve">Có kết luận: No Finding là ảnh âm tính không có bbox, không phải detection class.</x:t>
  </x:si>
  <x:si>
    <x:t xml:space="preserve">1B. Annotation sanity check</x:t>
  </x:si>
  <x:si>
    <x:t xml:space="preserve">Kiểm tra bbox tọa độ âm.</x:t>
  </x:si>
  <x:si>
    <x:t xml:space="preserve">Kiểm tra bbox vượt biên ảnh.</x:t>
  </x:si>
  <x:si>
    <x:t xml:space="preserve">Kiểm tra bbox có width/height bằng 0 hoặc area bằng 0.</x:t>
  </x:si>
  <x:si>
    <x:t xml:space="preserve">Kiểm tra ảnh No Finding nhưng có bbox.</x:t>
  </x:si>
  <x:si>
    <x:t xml:space="preserve">Kiểm tra ảnh abnormal nhưng không có bbox.</x:t>
  </x:si>
  <x:si>
    <x:t xml:space="preserve">Kiểm tra duplicate bbox và near-duplicate bbox.</x:t>
  </x:si>
  <x:si>
    <x:t xml:space="preserve">Kiểm tra class mapping nhất quán.</x:t>
  </x:si>
  <x:si>
    <x:t xml:space="preserve">reports/annotation_sanity_report.md</x:t>
  </x:si>
  <x:si>
    <x:t xml:space="preserve">reports/invalid_bbox_rows.csv</x:t>
  </x:si>
  <x:si>
    <x:t xml:space="preserve">reports/duplicate_bbox_candidates.csv</x:t>
  </x:si>
  <x:si>
    <x:t xml:space="preserve">Tất cả lỗi nghiêm trọng được liệt kê.</x:t>
  </x:si>
  <x:si>
    <x:t xml:space="preserve">Có quyết định xử lý từng loại lỗi trong research_log.md.</x:t>
  </x:si>
  <x:si>
    <x:t xml:space="preserve">Không tự động xóa dữ liệu nếu chưa ghi quyết định.</x:t>
  </x:si>
  <x:si>
    <x:t xml:space="preserve">1C. Chốt scope subset</x:t>
  </x:si>
  <x:si>
    <x:t xml:space="preserve">Chốt subset dùng cho nghiên cứu: 4.894 ảnh, 14 abnormal classes, 500 ảnh negative / No Finding.</x:t>
  </x:si>
  <x:si>
    <x:t xml:space="preserve">Ghi rõ No Finding không phải detection class.</x:t>
  </x:si>
  <x:si>
    <x:t xml:space="preserve">Không dùng oversampling/undersampling/class weighting/reweighting loss như kỹ thuật xử lý imbalance độc lập.</x:t>
  </x:si>
  <x:si>
    <x:t xml:space="preserve">Class imbalance được giữ và phân tích qua class-wise AP, pseudo-label count theo class, retained pseudo-label ratio, rare-class survival rate.</x:t>
  </x:si>
  <x:si>
    <x:t xml:space="preserve">Ghi limitation nếu dùng subset thay vì full dataset.</x:t>
  </x:si>
  <x:si>
    <x:t xml:space="preserve">reports/scope_decision.md</x:t>
  </x:si>
  <x:si>
    <x:t xml:space="preserve">research_log.md</x:t>
  </x:si>
  <x:si>
    <x:t xml:space="preserve">Có văn bản chốt scope.</x:t>
  </x:si>
  <x:si>
    <x:t xml:space="preserve">Các script sau chỉ dùng scope đã khóa.</x:t>
  </x:si>
  <x:si>
    <x:t xml:space="preserve">Không thay đổi số ảnh tùy tiện giữa các phase.</x:t>
  </x:si>
  <x:si>
    <x:t xml:space="preserve">1D. Kappa Feasibility / Limitation-aware Analysis</x:t>
  </x:si>
  <x:si>
    <x:t xml:space="preserve">Đọc reader metadata / rad_id nếu có.</x:t>
  </x:si>
  <x:si>
    <x:t xml:space="preserve">Đếm số reader trên mỗi ảnh.</x:t>
  </x:si>
  <x:si>
    <x:t xml:space="preserve">Kiểm tra có đủ multi-reader labels để tính Kappa không.</x:t>
  </x:si>
  <x:si>
    <x:t xml:space="preserve">Nếu đủ điều kiện: tính Kappa hoặc agreement proxy phù hợp.</x:t>
  </x:si>
  <x:si>
    <x:t xml:space="preserve">Nếu không đủ điều kiện: ghi limitation về inter-reader agreement / label noise.</x:t>
  </x:si>
  <x:si>
    <x:t xml:space="preserve">Tạo Gate Phase 1D: chỉ qua phase sau khi đã xác định tính khả thi hoặc limitation.</x:t>
  </x:si>
  <x:si>
    <x:t xml:space="preserve">reports/reader_metadata_report.csv</x:t>
  </x:si>
  <x:si>
    <x:t xml:space="preserve">reports/kappa_feasibility_report.md</x:t>
  </x:si>
  <x:si>
    <x:t xml:space="preserve">reports/kappa_results.csv</x:t>
  </x:si>
  <x:si>
    <x:t xml:space="preserve">reports/label_noise_limitation.md</x:t>
  </x:si>
  <x:si>
    <x:t xml:space="preserve">Biết rõ có đủ điều kiện tính Kappa không.</x:t>
  </x:si>
  <x:si>
    <x:t xml:space="preserve">Nếu tính được thì có kết quả Kappa; nếu không thì có limitation được ghi rõ.</x:t>
  </x:si>
  <x:si>
    <x:t xml:space="preserve">Phase 1D Gate pass trước khi chuẩn hóa dữ liệu.</x:t>
  </x:si>
  <x:si>
    <x:t xml:space="preserve">2A. DICOM &amp; BBox Validation</x:t>
  </x:si>
  <x:si>
    <x:t xml:space="preserve">Đọc ảnh DICOM.</x:t>
  </x:si>
  <x:si>
    <x:t xml:space="preserve">Lấy đúng pixel array, width, height gốc.</x:t>
  </x:si>
  <x:si>
    <x:t xml:space="preserve">Normalize ảnh nếu cần.</x:t>
  </x:si>
  <x:si>
    <x:t xml:space="preserve">Convert sang PNG/JPG để train.</x:t>
  </x:si>
  <x:si>
    <x:t xml:space="preserve">Lưu mapping ảnh gốc → ảnh processed.</x:t>
  </x:si>
  <x:si>
    <x:t xml:space="preserve">Không làm mất image_id.</x:t>
  </x:si>
  <x:si>
    <x:t xml:space="preserve">Validate bbox boundary theo width/height ảnh gốc sau khi đọc DICOM.</x:t>
  </x:si>
  <x:si>
    <x:t xml:space="preserve">Kiểm tra bbox có cần scale khi ảnh resize/convert không.</x:t>
  </x:si>
  <x:si>
    <x:t xml:space="preserve">data/interim/dicom_png/</x:t>
  </x:si>
  <x:si>
    <x:t xml:space="preserve">data/processed/images/</x:t>
  </x:si>
  <x:si>
    <x:t xml:space="preserve">reports/image_preprocessing_report.csv</x:t>
  </x:si>
  <x:si>
    <x:t xml:space="preserve">reports/dicom_bbox_validation_report.csv</x:t>
  </x:si>
  <x:si>
    <x:t xml:space="preserve">Số ảnh processed bằng số ảnh trong scope.</x:t>
  </x:si>
  <x:si>
    <x:t xml:space="preserve">Mỗi ảnh processed truy ngược được về ảnh gốc.</x:t>
  </x:si>
  <x:si>
    <x:t xml:space="preserve">BBox hợp lệ theo kích thước ảnh gốc.</x:t>
  </x:si>
  <x:si>
    <x:t xml:space="preserve">Không đổi bbox nếu chưa có logic scale rõ ràng.</x:t>
  </x:si>
  <x:si>
    <x:t xml:space="preserve">2B. Canonical Detection Annotation Schema</x:t>
  </x:si>
  <x:si>
    <x:t xml:space="preserve">Tạo canonical_image_table.csv.</x:t>
  </x:si>
  <x:si>
    <x:t xml:space="preserve">Tạo canonical_bbox_table.csv.</x:t>
  </x:si>
  <x:si>
    <x:t xml:space="preserve">Tạo class_mapping.csv.</x:t>
  </x:si>
  <x:si>
    <x:t xml:space="preserve">Giữ traceability: image_id, rad_id, source_row_id, class_name, class_id, bbox, width, height, is_negative, has_bbox.</x:t>
  </x:si>
  <x:si>
    <x:t xml:space="preserve">Đảm bảo No Finding có is_negative=True, has_bbox=False.</x:t>
  </x:si>
  <x:si>
    <x:t xml:space="preserve">data/processed/canonical/canonical_image_table.csv</x:t>
  </x:si>
  <x:si>
    <x:t xml:space="preserve">data/processed/canonical/canonical_bbox_table.csv</x:t>
  </x:si>
  <x:si>
    <x:t xml:space="preserve">data/processed/canonical/class_mapping.csv</x:t>
  </x:si>
  <x:si>
    <x:t xml:space="preserve">reports/canonical_schema_report.md</x:t>
  </x:si>
  <x:si>
    <x:t xml:space="preserve">Mỗi bbox gắn đúng image.</x:t>
  </x:si>
  <x:si>
    <x:t xml:space="preserve">No Finding không có class_id trong detection categories.</x:t>
  </x:si>
  <x:si>
    <x:t xml:space="preserve">Canonical schema truy vết được đến raw source row.</x:t>
  </x:si>
  <x:si>
    <x:t xml:space="preserve">2C. Framework &amp; Format Decision</x:t>
  </x:si>
  <x:si>
    <x:t xml:space="preserve">So sánh COCO / YOLO / VOC / JSONL.</x:t>
  </x:si>
  <x:si>
    <x:t xml:space="preserve">Chọn framework chính: Detectron2 hoặc MMDetection.</x:t>
  </x:si>
  <x:si>
    <x:t xml:space="preserve">Kiểm tra framework hỗ trợ SSOD / teacher-student hoặc có thể custom.</x:t>
  </x:si>
  <x:si>
    <x:t xml:space="preserve">Kiểm tra framework hỗ trợ ảnh empty / No Finding không bbox.</x:t>
  </x:si>
  <x:si>
    <x:t xml:space="preserve">Đánh giá traceability, COCO evaluation, risk, compatibility với mAP@0.5:0.95.</x:t>
  </x:si>
  <x:si>
    <x:t xml:space="preserve">Chốt primary framework và fallback framework.</x:t>
  </x:si>
  <x:si>
    <x:t xml:space="preserve">reports/framework_format_decision.md</x:t>
  </x:si>
  <x:si>
    <x:t xml:space="preserve">configs/dataset/coco_paths.yaml</x:t>
  </x:si>
  <x:si>
    <x:t xml:space="preserve">configs/framework/main_framework.yaml</x:t>
  </x:si>
  <x:si>
    <x:t xml:space="preserve">Có quyết định framework/format chính và fallback.</x:t>
  </x:si>
  <x:si>
    <x:t xml:space="preserve">Quyết định có lý do gắn với SSOD, negative images và mAP evaluation.</x:t>
  </x:si>
  <x:si>
    <x:t xml:space="preserve">2D. COCO Master Conversion &amp; Validation</x:t>
  </x:si>
  <x:si>
    <x:t xml:space="preserve">Convert canonical schema sang COCO master.</x:t>
  </x:si>
  <x:si>
    <x:t xml:space="preserve">COCO images chứa toàn bộ ảnh trong scope.</x:t>
  </x:si>
  <x:si>
    <x:t xml:space="preserve">COCO annotations chỉ chứa bbox abnormal.</x:t>
  </x:si>
  <x:si>
    <x:t xml:space="preserve">COCO categories chỉ chứa 14 abnormal classes.</x:t>
  </x:si>
  <x:si>
    <x:t xml:space="preserve">Bbox format là [x, y, width, height] — xywh, không phải xyxy.</x:t>
  </x:si>
  <x:si>
    <x:t xml:space="preserve">Tính đúng area.</x:t>
  </x:si>
  <x:si>
    <x:t xml:space="preserve">Ảnh No Finding nằm trong images, không có annotation.</x:t>
  </x:si>
  <x:si>
    <x:t xml:space="preserve">data/processed/coco/coco_master.json</x:t>
  </x:si>
  <x:si>
    <x:t xml:space="preserve">reports/phase2D_coco_master_validation.json
reports/phase2D_coco_master_validation.md</x:t>
  </x:si>
  <x:si>
    <x:t xml:space="preserve">COCO validator pass 100%.</x:t>
  </x:si>
  <x:si>
    <x:t xml:space="preserve">Không có No Finding trong categories.</x:t>
  </x:si>
  <x:si>
    <x:t xml:space="preserve">Số ảnh negative trong images đúng bằng scope.</x:t>
  </x:si>
  <x:si>
    <x:t xml:space="preserve">Số annotation khớp với canonical bbox table.</x:t>
  </x:si>
  <x:si>
    <x:t xml:space="preserve">2D.1A. Image Representation Protocol Decision</x:t>
  </x:si>
  <x:si>
    <x:t xml:space="preserve">Khóa vai trò: DICOM là immutable raw medical source; JPG là processed training representation.</x:t>
  </x:si>
  <x:si>
    <x:t xml:space="preserve">CLOSED / PASS; GPT review PASS; full conversion not run</x:t>
  </x:si>
  <x:si>
    <x:t xml:space="preserve">Khóa vai trò: coco_master.json là annotation master; coco_master_jpg.json là training derivative.</x:t>
  </x:si>
  <x:si>
    <x:t xml:space="preserve">Khóa DICOM pixel decoding và modality transformation policy.</x:t>
  </x:si>
  <x:si>
    <x:t xml:space="preserve">Khóa RescaleSlope / RescaleIntercept và modality LUT policy.</x:t>
  </x:si>
  <x:si>
    <x:t xml:space="preserve">Khóa VOI LUT / windowing và intensity clipping policy.</x:t>
  </x:si>
  <x:si>
    <x:t xml:space="preserve">Khóa PhotometricInterpretation và MONOCHROME1 inversion policy.</x:t>
  </x:si>
  <x:si>
    <x:t xml:space="preserve">Khóa uint8 [0,255] conversion và output channel policy.</x:t>
  </x:si>
  <x:si>
    <x:t xml:space="preserve">Khóa no-resize, no-crop, no-rotation và bbox scaling policy.</x:t>
  </x:si>
  <x:si>
    <x:t xml:space="preserve">Định nghĩa pilot so sánh JPEG quality 95 và 100; chưa khóa final quality trước pilot.</x:t>
  </x:si>
  <x:si>
    <x:t xml:space="preserve">Khóa JPG filename, COCO-JPG path và DICOM↔JPG traceability policy.</x:t>
  </x:si>
  <x:si>
    <x:t xml:space="preserve">Khóa pilot subset và fidelity metrics: file size, MAE, PSNR, SSIM, visual audit.</x:t>
  </x:si>
  <x:si>
    <x:t xml:space="preserve">Tạo protocol YAML Phase 2D.1A.</x:t>
  </x:si>
  <x:si>
    <x:t xml:space="preserve">configs/protocol/phase2D1_jpg_representation.yaml</x:t>
  </x:si>
  <x:si>
    <x:t xml:space="preserve">Tạo decision reports Markdown và JSON.</x:t>
  </x:si>
  <x:si>
    <x:t xml:space="preserve">reports/phase2D1_image_representation_decision.md
reports/phase2D1_image_representation_decision.json</x:t>
  </x:si>
  <x:si>
    <x:t xml:space="preserve">Phase 2D.1A evidence đầy đủ và GPT review PASS; chưa full-convert dataset.</x:t>
  </x:si>
  <x:si>
    <x:t xml:space="preserve">scripts/02D1A_image_representation_protocol.py
configs/protocol/phase2D1_jpg_representation.yaml
reports/phase2D1_image_representation_decision.md
reports/phase2D1_image_representation_decision.json
tests/test_phase2D1A_protocol_guardrails.py</x:t>
  </x:si>
  <x:si>
    <x:t xml:space="preserve">2D.1B-Pilot. DICOM-to-JPG Pilot</x:t>
  </x:si>
  <x:si>
    <x:t xml:space="preserve">Chọn pilot có abnormal, No Finding, min/max dimensions và metadata DICOM đại diện.</x:t>
  </x:si>
  <x:si>
    <x:t xml:space="preserve">CLOSED / PASS; pilot=64 images; No Finding=16; metadata/features coverage=54/54; abnormal class coverage=14/14.</x:t>
  </x:si>
  <x:si>
    <x:t xml:space="preserve">reports/phase2D1B_pilot_selection.csv; reports/phase2D1B_pilot_selection_coverage.csv</x:t>
  </x:si>
  <x:si>
    <x:t xml:space="preserve">Decode DICOM theo protocol 2D.1A và tạo pre-JPEG uint8 reference.</x:t>
  </x:si>
  <x:si>
    <x:t xml:space="preserve">CLOSED / PASS; explicit Pillow backend; pixel decode=64/64; decode errors=0; no silent decoder fallback.</x:t>
  </x:si>
  <x:si>
    <x:t xml:space="preserve">reports/phase2D1B_pilot_run_output_pillow.txt; reports/phase2D1B_pilot_environment.json; reports/phase2D1B_pilot_header_inventory.csv; data/processed/image_mapping/phase2D1B_pilot_dicom_to_jpg_mapping.csv</x:t>
  </x:si>
  <x:si>
    <x:t xml:space="preserve">Encode/decode pilot với JPEG quality 95.</x:t>
  </x:si>
  <x:si>
    <x:t xml:space="preserve">CLOSED / PASS; JPEG quality 95 paired encode/decode completed; whole-image and bbox-ROI fidelity evidence complete.</x:t>
  </x:si>
  <x:si>
    <x:t xml:space="preserve">reports/phase2D1B_pilot_fidelity_metrics.csv; reports/phase2D1B_pilot_bbox_roi_metrics.csv; data/processed/images_jpg_pilot/q95/</x:t>
  </x:si>
  <x:si>
    <x:t xml:space="preserve">Encode/decode pilot với JPEG quality 100.</x:t>
  </x:si>
  <x:si>
    <x:t xml:space="preserve">CLOSED / PASS; JPEG quality 100 paired encode/decode completed; whole-image and bbox-ROI fidelity evidence complete.</x:t>
  </x:si>
  <x:si>
    <x:t xml:space="preserve">reports/phase2D1B_pilot_fidelity_metrics.csv; reports/phase2D1B_pilot_bbox_roi_metrics.csv; data/processed/images_jpg_pilot/q100/</x:t>
  </x:si>
  <x:si>
    <x:t xml:space="preserve">So sánh pre-JPEG uint8 với decoded JPG bằng file size, compression ratio, MAE, RMSE, PSNR, SSIM, Max AE, p95/p99 AE và bbox-ROI metrics.</x:t>
  </x:si>
  <x:si>
    <x:t xml:space="preserve">q100 wins numerical fidelity. q95 selected as fidelity-storage/I/O trade-off. q95: PSNR=47.2414 dB, SSIM=0.981217, ROI PSNR=47.9413 dB, ROI SSIM=0.996632, projected storage=7.38 GiB. q100: PSNR=58.8577 dB, SSIM=0.998981, ROI PSNR=58.7247 dB, ROI SSIM=0.999820, projected storage=14.41 GiB. q95 reduces projected storage by approximately 48.79%.</x:t>
  </x:si>
  <x:si>
    <x:t xml:space="preserve">reports/phase2D1B_pilot_quality_summary.csv; reports/phase2D1B_pilot_quality_pairwise.csv; reports/phase2D1B_pilot_fidelity_metrics.csv; reports/phase2D1B_pilot_bbox_roi_metrics.csv</x:t>
  </x:si>
  <x:si>
    <x:t xml:space="preserve">Thực hiện visual audit gồm No Finding, abnormal images, lesion nhỏ, rare class, multi-window, padding, polarity, dimension/bbox extrema và worst-case q95/q100.</x:t>
  </x:si>
  <x:si>
    <x:t xml:space="preserve">Visual review complete; no critical polarity inversion, crop, rotation, flip, transpose, geometry deformation or conversion-induced anatomical truncation observed. This is representation-pipeline evidence, not clinical validation.</x:t>
  </x:si>
  <x:si>
    <x:t xml:space="preserve">reports/phase2D1B_pilot_visual_audit_manifest.csv; plots/phase2D1B_pilot/contact_sheets/; plots/phase2D1B_pilot/bbox_crops/; plots/phase2D1B_pilot/difference_heatmaps/</x:t>
  </x:si>
  <x:si>
    <x:t xml:space="preserve">Khóa một final JPEG quality dựa trên pilot evidence và GPT review.</x:t>
  </x:si>
  <x:si>
    <x:t xml:space="preserve">Final JPEG quality=95 / LOCKED after quantitative, geometry, bbox-ROI, storage and visual review. Full controlled-scope conversion authorized. This is a fidelity-storage/I/O decision and does not claim detector superiority or clinical equivalence.</x:t>
  </x:si>
  <x:si>
    <x:t xml:space="preserve">reports/phase2D1B_pilot_decision_template.json; reports/phase2D1B_pilot_quality_summary.csv; reports/phase2D1B_pilot_quality_pairwise.csv</x:t>
  </x:si>
  <x:si>
    <x:t xml:space="preserve">Tạo pilot fidelity và decision evidence.</x:t>
  </x:si>
  <x:si>
    <x:t xml:space="preserve">Phase 2D.1B-Pilot fidelity and decision evidence package completed. Pilot CLOSED / PASS; final JPEG quality=95. Generated structural validation JSON remains historical pre-review evidence and must not be edited retroactively.</x:t>
  </x:si>
  <x:si>
    <x:t xml:space="preserve">reports/phase2D1B_pilot_fidelity_metrics.csv; reports/phase2D1B_pilot_bbox_roi_metrics.csv; reports/phase2D1B_pilot_quality_summary.csv; reports/phase2D1B_pilot_quality_pairwise.csv; reports/phase2D1B_pilot_geometry_validation.csv; reports/phase2D1B_pilot_visual_audit_manifest.csv; reports/phase2D1B_pilot_validation.json; reports/phase2D1B_pilot_validation.md; reports/phase2D1B_pilot_decision_template.json</x:t>
  </x:si>
  <x:si>
    <x:t xml:space="preserve">2D.1B-Full. DICOM-to-JPG Conversion &amp; Validation</x:t>
  </x:si>
  <x:si>
    <x:t xml:space="preserve">Tạo script full DICOM-to-JPG conversion theo protocol và final quality đã khóa.</x:t>
  </x:si>
  <x:si>
    <x:t xml:space="preserve">Tạo đúng 4,894 JPG; missing=0, duplicate image_id=0, decode error=0.</x:t>
  </x:si>
  <x:si>
    <x:t xml:space="preserve">JPG width/height khớp DICOM/COCO; resize/crop/rotation=0.</x:t>
  </x:si>
  <x:si>
    <x:t xml:space="preserve">Xác nhận bbox_scaling_required=false chỉ khi dimensions và orientation không đổi.</x:t>
  </x:si>
  <x:si>
    <x:t xml:space="preserve">Tạo coco_master_jpg.json; chỉ đổi file_name/path representation.</x:t>
  </x:si>
  <x:si>
    <x:t xml:space="preserve">COCO-JPG giữ images=4,894; annotations=36,096; categories=14.</x:t>
  </x:si>
  <x:si>
    <x:t xml:space="preserve">COCO-JPG giữ abnormal=4,394; No Finding=500; No Finding annotations=0.</x:t>
  </x:si>
  <x:si>
    <x:t xml:space="preserve">BBox, area, category, annotation ID và traceability mismatch=0.</x:t>
  </x:si>
  <x:si>
    <x:t xml:space="preserve">Tạo DICOM-to-JPG mapping manifest có path, dimensions, protocol và hashes.</x:t>
  </x:si>
  <x:si>
    <x:t xml:space="preserve">Tạo JPG metadata, bbox validation, No Finding audit và error CSV.</x:t>
  </x:si>
  <x:si>
    <x:t xml:space="preserve">Tạo full-conversion validation JSON và Markdown report.</x:t>
  </x:si>
  <x:si>
    <x:t xml:space="preserve">Phase 2D.1B full conversion và validation được GPT review PASS.</x:t>
  </x:si>
  <x:si>
    <x:t xml:space="preserve">2D.1C. MMDetection Dataset / Empty-Image Loading Validation</x:t>
  </x:si>
  <x:si>
    <x:t xml:space="preserve">Cài/pin Colab environment và ghi Python, PyTorch, CUDA, MMEngine, MMCV, MMDetection, pycocotools.</x:t>
  </x:si>
  <x:si>
    <x:t xml:space="preserve">reports/phase2D1_mmdet_environment_versions.txt
reports/phase2D1_mmdet_pip_freeze.txt</x:t>
  </x:si>
  <x:si>
    <x:t xml:space="preserve">MMDetection import PASS; COCO-JPG parse và dataset build PASS.</x:t>
  </x:si>
  <x:si>
    <x:t xml:space="preserve">dataset.full_init() PASS và len(dataset)=4,894.</x:t>
  </x:si>
  <x:si>
    <x:t xml:space="preserve">Giữ abnormal images=4,394 và No Finding images=500.</x:t>
  </x:si>
  <x:si>
    <x:t xml:space="preserve">Empty-GT samples=500; unexpected empty abnormal=0; annotated No Finding=0.</x:t>
  </x:si>
  <x:si>
    <x:t xml:space="preserve">Chứng minh filter_empty_gt=False hoặc cơ chế tương đương có hiệu lực.</x:t>
  </x:si>
  <x:si>
    <x:t xml:space="preserve">Abnormal sample load đúng bbox/labels; No Finding load với bbox (0,4), labels (0,).</x:t>
  </x:si>
  <x:si>
    <x:t xml:space="preserve">Dataloader smoke test num_workers=0 và num_workers&gt;0 PASS; all image IDs seen=4,894.</x:t>
  </x:si>
  <x:si>
    <x:t xml:space="preserve">Tạo MMDetection config và loading-validation script.</x:t>
  </x:si>
  <x:si>
    <x:t xml:space="preserve">configs/dataset/mmdet_coco_jpg_loading.py
scripts/02D1C_mmdet_loading_validation.py</x:t>
  </x:si>
  <x:si>
    <x:t xml:space="preserve">Tạo loading, empty-image, sample và dataloader audit reports; GPT review PASS.</x:t>
  </x:si>
  <x:si>
    <x:t xml:space="preserve">reports/phase2D1_mmdet_loading_check.md
reports/phase2D1_mmdet_loading_check.json
reports/phase2D1_empty_image_retention_audit.csv
reports/phase2D1_sample_loading_audit.csv
reports/phase2D1_dataloader_iteration_audit.csv</x:t>
  </x:si>
  <x:si>
    <x:t xml:space="preserve">2D.1D. Evidence Consolidation, GPT Review &amp; Closure</x:t>
  </x:si>
  <x:si>
    <x:t xml:space="preserve">Tải Colab evidence về local và kiểm tra file/hash.</x:t>
  </x:si>
  <x:si>
    <x:t xml:space="preserve">LOCKED until 2D.1C PASS</x:t>
  </x:si>
  <x:si>
    <x:t xml:space="preserve">Cập nhật PROJECT_CONTEXT.md, PHASE_HANDOFF.md, research_log.md và checklist sau PASS.</x:t>
  </x:si>
  <x:si>
    <x:t xml:space="preserve">GPT final review Phase 2D.1 PASS; readiness flags cập nhật đúng, training vẫn locked.</x:t>
  </x:si>
  <x:si>
    <x:t xml:space="preserve">Stage reviewed evidence, commit/push Phase 2D.1; không commit 4,894 JPG vào ordinary Git.</x:t>
  </x:si>
  <x:si>
    <x:t xml:space="preserve">2E. Fixed Train/Val/Test Split</x:t>
  </x:si>
  <x:si>
    <x:t xml:space="preserve">Tạo train/val/test cố định.</x:t>
  </x:si>
  <x:si>
    <x:t xml:space="preserve">Stratify theo class nếu khả thi.</x:t>
  </x:si>
  <x:si>
    <x:t xml:space="preserve">Giữ phân phối ảnh negative hợp lý.</x:t>
  </x:si>
  <x:si>
    <x:t xml:space="preserve">Đảm bảo test set có đủ ảnh No Finding để đo FP per negative image.</x:t>
  </x:si>
  <x:si>
    <x:t xml:space="preserve">Kiểm tra số lượng và tỷ lệ No Finding trong train/val/test.</x:t>
  </x:si>
  <x:si>
    <x:t xml:space="preserve">Check không trùng image_id giữa train/val/test.</x:t>
  </x:si>
  <x:si>
    <x:t xml:space="preserve">Xuất split_lock_manifest.json.</x:t>
  </x:si>
  <x:si>
    <x:t xml:space="preserve">data/manifests/split_lock_manifest.json</x:t>
  </x:si>
  <x:si>
    <x:t xml:space="preserve">data/manifests/leakage_check_report.json</x:t>
  </x:si>
  <x:si>
    <x:t xml:space="preserve">reports/split_negative_distribution.csv</x:t>
  </x:si>
  <x:si>
    <x:t xml:space="preserve">data/processed/coco/instances_train.json</x:t>
  </x:si>
  <x:si>
    <x:t xml:space="preserve">data/processed/coco/instances_val.json</x:t>
  </x:si>
  <x:si>
    <x:t xml:space="preserve">data/processed/coco/instances_test.json</x:t>
  </x:si>
  <x:si>
    <x:t xml:space="preserve">Leakage = 0.</x:t>
  </x:si>
  <x:si>
    <x:t xml:space="preserve">Test set cố định, không dùng để tune.</x:t>
  </x:si>
  <x:si>
    <x:t xml:space="preserve">Mọi experiment dùng cùng test set.</x:t>
  </x:si>
  <x:si>
    <x:t xml:space="preserve">Test set chứa đủ ảnh No Finding để tính FP per negative image.</x:t>
  </x:si>
  <x:si>
    <x:t xml:space="preserve">Tỷ lệ negative trong train/val/test được báo cáo rõ.</x:t>
  </x:si>
  <x:si>
    <x:t xml:space="preserve">2F. Labeled/Unlabeled Split for SSL</x:t>
  </x:si>
  <x:si>
    <x:t xml:space="preserve">Tạo labeled split 1%.</x:t>
  </x:si>
  <x:si>
    <x:t xml:space="preserve">Tạo labeled split 5%.</x:t>
  </x:si>
  <x:si>
    <x:t xml:space="preserve">Tạo labeled split 10%.</x:t>
  </x:si>
  <x:si>
    <x:t xml:space="preserve">Tạo labeled split 20%.</x:t>
  </x:si>
  <x:si>
    <x:t xml:space="preserve">Nested sampling: 1% ⊂ 5% ⊂ 10% ⊂ 20%.</x:t>
  </x:si>
  <x:si>
    <x:t xml:space="preserve">Stratified theo class distribution.</x:t>
  </x:si>
  <x:si>
    <x:t xml:space="preserve">Unlabeled = phần còn lại của train.</x:t>
  </x:si>
  <x:si>
    <x:t xml:space="preserve">Unlabeled có thể gồm abnormal và No Finding.</x:t>
  </x:si>
  <x:si>
    <x:t xml:space="preserve">Ground truth của unlabeled bị cô lập khỏi training SSL.</x:t>
  </x:si>
  <x:si>
    <x:t xml:space="preserve">Theo dõi số lượng unlabeled negative images để phân tích pseudo-box sai.</x:t>
  </x:si>
  <x:si>
    <x:t xml:space="preserve">data/processed/coco/labeled_splits/instances_labeled_1pct.json</x:t>
  </x:si>
  <x:si>
    <x:t xml:space="preserve">data/processed/coco/labeled_splits/instances_labeled_5pct.json</x:t>
  </x:si>
  <x:si>
    <x:t xml:space="preserve">data/processed/coco/labeled_splits/instances_labeled_10pct.json</x:t>
  </x:si>
  <x:si>
    <x:t xml:space="preserve">data/processed/coco/labeled_splits/instances_labeled_20pct.json</x:t>
  </x:si>
  <x:si>
    <x:t xml:space="preserve">data/processed/coco/labeled_splits/instances_unlabeled_1pct.json</x:t>
  </x:si>
  <x:si>
    <x:t xml:space="preserve">data/processed/coco/labeled_splits/instances_unlabeled_5pct.json</x:t>
  </x:si>
  <x:si>
    <x:t xml:space="preserve">data/processed/coco/labeled_splits/instances_unlabeled_10pct.json</x:t>
  </x:si>
  <x:si>
    <x:t xml:space="preserve">data/processed/coco/labeled_splits/instances_unlabeled_20pct.json</x:t>
  </x:si>
  <x:si>
    <x:t xml:space="preserve">data/manifests/nested_split_check.json</x:t>
  </x:si>
  <x:si>
    <x:t xml:space="preserve">Nested property pass.</x:t>
  </x:si>
  <x:si>
    <x:t xml:space="preserve">Không leakage với val/test.</x:t>
  </x:si>
  <x:si>
    <x:t xml:space="preserve">Supervised low-label và SSL dùng cùng labeled split.</x:t>
  </x:si>
  <x:si>
    <x:t xml:space="preserve">split_seed được lưu trong manifest.</x:t>
  </x:si>
  <x:si>
    <x:t xml:space="preserve">2F.1 Seed Protocol: split_seed vs training_seed</x:t>
  </x:si>
  <x:si>
    <x:t xml:space="preserve">split_seed dùng để tạo train/val/test và labeled/unlabeled split.</x:t>
  </x:si>
  <x:si>
    <x:t xml:space="preserve">training_seed dùng để khởi tạo mô hình, dataloader shuffle, augmentation và training.</x:t>
  </x:si>
  <x:si>
    <x:t xml:space="preserve">Supervised vs SSL dùng cùng split_seed để nhìn cùng dữ liệu.</x:t>
  </x:si>
  <x:si>
    <x:t xml:space="preserve">Stability dùng nhiều training_seed để đo variance thật.</x:t>
  </x:si>
  <x:si>
    <x:t xml:space="preserve">Không khóa cùng training_seed cho mọi run vì sẽ tạo variance giả thấp.</x:t>
  </x:si>
  <x:si>
    <x:t xml:space="preserve">Log rõ split_seed, training_seed, rng_state_id cho từng run.</x:t>
  </x:si>
  <x:si>
    <x:t xml:space="preserve">data/manifests/seed_manifest.json</x:t>
  </x:si>
  <x:si>
    <x:t xml:space="preserve">reports/seed_protocol.md</x:t>
  </x:si>
  <x:si>
    <x:t xml:space="preserve">Mỗi experiment log rõ split_seed và training_seed.</x:t>
  </x:si>
  <x:si>
    <x:t xml:space="preserve">Stability được đo bằng nhiều training_seed.</x:t>
  </x:si>
  <x:si>
    <x:t xml:space="preserve">Không có seed leakage hoặc variance giả do khóa nhầm seed.</x:t>
  </x:si>
  <x:si>
    <x:t xml:space="preserve">3A. Pre-training Dataset Diagnostics</x:t>
  </x:si>
  <x:si>
    <x:t xml:space="preserve">Vẽ class distribution.</x:t>
  </x:si>
  <x:si>
    <x:t xml:space="preserve">Vẽ bbox count theo class.</x:t>
  </x:si>
  <x:si>
    <x:t xml:space="preserve">Vẽ bbox size distribution.</x:t>
  </x:si>
  <x:si>
    <x:t xml:space="preserve">Vẽ bbox location heatmap.</x:t>
  </x:si>
  <x:si>
    <x:t xml:space="preserve">Thống kê rare class và chốt tiêu chí rare class.</x:t>
  </x:si>
  <x:si>
    <x:t xml:space="preserve">Thống kê negative images.</x:t>
  </x:si>
  <x:si>
    <x:t xml:space="preserve">Thống kê split distribution.</x:t>
  </x:si>
  <x:si>
    <x:t xml:space="preserve">Chỉ dùng train cho diagnostics chính, không nhìn test để tune.</x:t>
  </x:si>
  <x:si>
    <x:t xml:space="preserve">reports/dataset_analysis_report.md</x:t>
  </x:si>
  <x:si>
    <x:t xml:space="preserve">plots/dataset/class_distribution.png</x:t>
  </x:si>
  <x:si>
    <x:t xml:space="preserve">plots/dataset/bbox_distribution.png</x:t>
  </x:si>
  <x:si>
    <x:t xml:space="preserve">plots/dataset/bbox_location_heatmap.png</x:t>
  </x:si>
  <x:si>
    <x:t xml:space="preserve">plots/dataset/negative_image_distribution.png</x:t>
  </x:si>
  <x:si>
    <x:t xml:space="preserve">Có báo cáo trước train.</x:t>
  </x:si>
  <x:si>
    <x:t xml:space="preserve">Biết lớp nào rare.</x:t>
  </x:si>
  <x:si>
    <x:t xml:space="preserve">Biết rủi ro imbalance.</x:t>
  </x:si>
  <x:si>
    <x:t xml:space="preserve">Biết bbox nhỏ/vừa/lớn phân bố thế nào.</x:t>
  </x:si>
  <x:si>
    <x:t xml:space="preserve">4A.0 Full-label supervised upper bound</x:t>
  </x:si>
  <x:si>
    <x:t xml:space="preserve">Chọn detector chính.</x:t>
  </x:si>
  <x:si>
    <x:t xml:space="preserve">Train trên 100% labeled train.</x:t>
  </x:si>
  <x:si>
    <x:t xml:space="preserve">Select checkpoint theo validation set.</x:t>
  </x:si>
  <x:si>
    <x:t xml:space="preserve">Chọn checkpoint tốt nhất theo validation mAP@0.5:0.95.</x:t>
  </x:si>
  <x:si>
    <x:t xml:space="preserve">Không chọn checkpoint theo test set.</x:t>
  </x:si>
  <x:si>
    <x:t xml:space="preserve">Không thay đổi tiêu chí chọn checkpoint giữa các experiment.</x:t>
  </x:si>
  <x:si>
    <x:t xml:space="preserve">Evaluate trên fixed test set.</x:t>
  </x:si>
  <x:si>
    <x:t xml:space="preserve">Lưu config, seed, RNG state, checkpoint, log.</x:t>
  </x:si>
  <x:si>
    <x:t xml:space="preserve">Metric bắt buộc</x:t>
  </x:si>
  <x:si>
    <x:t xml:space="preserve">mAP@0.5:0.95 — metric chính</x:t>
  </x:si>
  <x:si>
    <x:t xml:space="preserve">mAP@0.5</x:t>
  </x:si>
  <x:si>
    <x:t xml:space="preserve">Class-wise AP</x:t>
  </x:si>
  <x:si>
    <x:t xml:space="preserve">Recall</x:t>
  </x:si>
  <x:si>
    <x:t xml:space="preserve">FP per image</x:t>
  </x:si>
  <x:si>
    <x:t xml:space="preserve">FP per negative image</x:t>
  </x:si>
  <x:si>
    <x:t xml:space="preserve">reports/supervised_full_results.csv</x:t>
  </x:si>
  <x:si>
    <x:t xml:space="preserve">experiments/exp1_full_label_baseline/</x:t>
  </x:si>
  <x:si>
    <x:t xml:space="preserve">models/supervised/full_label/</x:t>
  </x:si>
  <x:si>
    <x:t xml:space="preserve">Có upper bound 100%.</x:t>
  </x:si>
  <x:si>
    <x:t xml:space="preserve">Kết quả trace được từ config → log → checkpoint → report.</x:t>
  </x:si>
  <x:si>
    <x:t xml:space="preserve">Không dùng test để chọn model.</x:t>
  </x:si>
  <x:si>
    <x:t xml:space="preserve">FP per negative image được tính trên test set có đủ ảnh No Finding.</x:t>
  </x:si>
  <x:si>
    <x:t xml:space="preserve">Checkpoint selection criterion khóa là validation mAP@0.5:0.95.</x:t>
  </x:si>
  <x:si>
    <x:t xml:space="preserve">4A.1 Low-label supervised baseline</x:t>
  </x:si>
  <x:si>
    <x:t xml:space="preserve">Train 1% labeled.</x:t>
  </x:si>
  <x:si>
    <x:t xml:space="preserve">Train 5% labeled.</x:t>
  </x:si>
  <x:si>
    <x:t xml:space="preserve">Train 10% labeled.</x:t>
  </x:si>
  <x:si>
    <x:t xml:space="preserve">Train 20% labeled.</x:t>
  </x:si>
  <x:si>
    <x:t xml:space="preserve">Mỗi mức label chạy 3–5 training_seed.</x:t>
  </x:si>
  <x:si>
    <x:t xml:space="preserve">Dùng đúng labeled split đã khóa bằng split_seed.</x:t>
  </x:si>
  <x:si>
    <x:t xml:space="preserve">Chọn checkpoint theo validation mAP@0.5:0.95.</x:t>
  </x:si>
  <x:si>
    <x:t xml:space="preserve">Evaluate trên cùng fixed test set.</x:t>
  </x:si>
  <x:si>
    <x:t xml:space="preserve">Báo cáo mean ± std.</x:t>
  </x:si>
  <x:si>
    <x:t xml:space="preserve">Lưu seed number, RNG state và deterministic flags cho từng run.</x:t>
  </x:si>
  <x:si>
    <x:t xml:space="preserve">reports/supervised_lowlabel_results.csv</x:t>
  </x:si>
  <x:si>
    <x:t xml:space="preserve">experiments/exp2_low_label_baseline/</x:t>
  </x:si>
  <x:si>
    <x:t xml:space="preserve">Có baseline đối chứng cho từng mức label.</x:t>
  </x:si>
  <x:si>
    <x:t xml:space="preserve">SSL so sánh với baseline dùng cùng labeled split/cùng split_seed.</x:t>
  </x:si>
  <x:si>
    <x:t xml:space="preserve">Stability đo qua nhiều training_seed.</x:t>
  </x:si>
  <x:si>
    <x:t xml:space="preserve">Nếu variance lớn, ghi rõ trong báo cáo.</x:t>
  </x:si>
  <x:si>
    <x:t xml:space="preserve">Checkpoint chọn nhất quán bằng validation mAP@0.5:0.95.</x:t>
  </x:si>
  <x:si>
    <x:t xml:space="preserve">4B. Extension: Attention / ViT-Oriented Supervised Analysis</x:t>
  </x:si>
  <x:si>
    <x:t xml:space="preserve">Đánh giá feasibility GPU/VRAM/thời gian train cho ViT/Attention.</x:t>
  </x:si>
  <x:si>
    <x:t xml:space="preserve">Nếu khả thi: chạy supervised baseline ViT/Attention.</x:t>
  </x:si>
  <x:si>
    <x:t xml:space="preserve">So sánh với detector chính trên cùng split/test/metric.</x:t>
  </x:si>
  <x:si>
    <x:t xml:space="preserve">Ghi rõ đây là extension, không phải trọng tâm chính.</x:t>
  </x:si>
  <x:si>
    <x:t xml:space="preserve">reports/vit_attention_feasibility_report.md</x:t>
  </x:si>
  <x:si>
    <x:t xml:space="preserve">reports/attention_supervised_results.csv</x:t>
  </x:si>
  <x:si>
    <x:t xml:space="preserve">Có quyết định chạy hoặc không chạy extension dựa trên compute.</x:t>
  </x:si>
  <x:si>
    <x:t xml:space="preserve">Extension không làm lệch trọng tâm teacher-student SSOD.</x:t>
  </x:si>
  <x:si>
    <x:t xml:space="preserve">5.1A Teacher–Student SSL Pipeline</x:t>
  </x:si>
  <x:si>
    <x:t xml:space="preserve">Khởi tạo student từ supervised detector.</x:t>
  </x:si>
  <x:si>
    <x:t xml:space="preserve">Khởi tạo teacher.</x:t>
  </x:si>
  <x:si>
    <x:t xml:space="preserve">Teacher sinh pseudo-label trên weak augmentation.</x:t>
  </x:si>
  <x:si>
    <x:t xml:space="preserve">Student học trên strong augmentation.</x:t>
  </x:si>
  <x:si>
    <x:t xml:space="preserve">Teacher cập nhật bằng EMA.</x:t>
  </x:si>
  <x:si>
    <x:t xml:space="preserve">Có burn-in supervised trước khi bật SSL.</x:t>
  </x:si>
  <x:si>
    <x:t xml:space="preserve">Ghi rõ λ của unlabeled loss.</x:t>
  </x:si>
  <x:si>
    <x:t xml:space="preserve">Đồng bộ transform bbox với geometric augmentation.</x:t>
  </x:si>
  <x:si>
    <x:t xml:space="preserve">reports/ssl_results.csv</x:t>
  </x:si>
  <x:si>
    <x:t xml:space="preserve">experiments/exp3_ssl_detection/</x:t>
  </x:si>
  <x:si>
    <x:t xml:space="preserve">models/ssl/</x:t>
  </x:si>
  <x:si>
    <x:t xml:space="preserve">Train SSL chạy end-to-end.</x:t>
  </x:si>
  <x:si>
    <x:t xml:space="preserve">Có log pseudo-label count.</x:t>
  </x:si>
  <x:si>
    <x:t xml:space="preserve">Có log unlabeled loss λ.</x:t>
  </x:si>
  <x:si>
    <x:t xml:space="preserve">Không có lỗi box lệch do augmentation.</x:t>
  </x:si>
  <x:si>
    <x:t xml:space="preserve">5.1B Pseudo-BBox Generation, NMS &amp; Box Filtering</x:t>
  </x:si>
  <x:si>
    <x:t xml:space="preserve">Teacher prediction trên weak image tạo pseudo-label dạng class_id + confidence + bbox xywh.</x:t>
  </x:si>
  <x:si>
    <x:t xml:space="preserve">Lọc theo confidence threshold.</x:t>
  </x:si>
  <x:si>
    <x:t xml:space="preserve">Áp dụng class-wise threshold nếu cấu hình bật.</x:t>
  </x:si>
  <x:si>
    <x:t xml:space="preserve">Áp dụng NMS trước khi nhận pseudo-bbox để giảm box trùng lặp.</x:t>
  </x:si>
  <x:si>
    <x:t xml:space="preserve">Áp dụng box quality filters: bbox size, aspect ratio, boundary, area.</x:t>
  </x:si>
  <x:si>
    <x:t xml:space="preserve">Giới hạn số pseudo-box tối đa mỗi ảnh nếu cần để tránh nhiễu dày đặc.</x:t>
  </x:si>
  <x:si>
    <x:t xml:space="preserve">Lưu pseudo-label gồm image_id, class_id, confidence, bbox xywh, threshold_used, nms_iou.</x:t>
  </x:si>
  <x:si>
    <x:t xml:space="preserve">Transform pseudo-bbox đúng từ weak view sang strong view.</x:t>
  </x:si>
  <x:si>
    <x:t xml:space="preserve">Visualize một số pseudo-box sau transform để kiểm tra khớp ảnh student.</x:t>
  </x:si>
  <x:si>
    <x:t xml:space="preserve">reports/pseudo_label_filter_report.csv</x:t>
  </x:si>
  <x:si>
    <x:t xml:space="preserve">reports/pseudo_bbox_generation_report.md</x:t>
  </x:si>
  <x:si>
    <x:t xml:space="preserve">plots/error_vis/pseudo_label_failure_cases/</x:t>
  </x:si>
  <x:si>
    <x:t xml:space="preserve">Pseudo-label cho detection có đủ class_id, confidence, bbox xywh.</x:t>
  </x:si>
  <x:si>
    <x:t xml:space="preserve">NMS được áp dụng trước khi student học pseudo-box.</x:t>
  </x:si>
  <x:si>
    <x:t xml:space="preserve">Box transform weak→strong được kiểm tra bằng test và visualization.</x:t>
  </x:si>
  <x:si>
    <x:t xml:space="preserve">5.1C Anti-confirmation-bias Safeguards</x:t>
  </x:si>
  <x:si>
    <x:t xml:space="preserve">Dùng supervised burn-in trước SSL.</x:t>
  </x:si>
  <x:si>
    <x:t xml:space="preserve">Dùng EMA teacher thay vì cập nhật teacher trực tiếp.</x:t>
  </x:si>
  <x:si>
    <x:t xml:space="preserve">Không bật pseudo-label nếu teacher chưa đạt ngưỡng tối thiểu trên validation hoặc chưa qua burn-in.</x:t>
  </x:si>
  <x:si>
    <x:t xml:space="preserve">Theo dõi pseudo-label quality proxy theo epoch.</x:t>
  </x:si>
  <x:si>
    <x:t xml:space="preserve">Theo dõi pseudo-box sai trên ảnh No Finding trong unlabeled set.</x:t>
  </x:si>
  <x:si>
    <x:t xml:space="preserve">Theo dõi class-wise pseudo-label count để phát hiện teacher bias.</x:t>
  </x:si>
  <x:si>
    <x:t xml:space="preserve">Không chọn threshold chỉ vì mAP tổng tốt nếu rare class bị triệt tiêu.</x:t>
  </x:si>
  <x:si>
    <x:t xml:space="preserve">Ghi rõ confirmation bias như rủi ro chính trong report.</x:t>
  </x:si>
  <x:si>
    <x:t xml:space="preserve">reports/confirmation_bias_monitoring.md</x:t>
  </x:si>
  <x:si>
    <x:t xml:space="preserve">reports/pseudolabel_rareclass_report.csv</x:t>
  </x:si>
  <x:si>
    <x:t xml:space="preserve">reports/negative_pseudobox_report.csv</x:t>
  </x:si>
  <x:si>
    <x:t xml:space="preserve">Có ít nhất một cơ chế chống confirmation bias ngoài threshold đơn giản.</x:t>
  </x:si>
  <x:si>
    <x:t xml:space="preserve">Có báo cáo pseudo-box sai trên No Finding.</x:t>
  </x:si>
  <x:si>
    <x:t xml:space="preserve">Có báo cáo rare-class pseudo-label survival rate.</x:t>
  </x:si>
  <x:si>
    <x:t xml:space="preserve">5.1D Threshold Strategy: Global, Class-wise, Dynamic</x:t>
  </x:si>
  <x:si>
    <x:t xml:space="preserve">Sweep confidence threshold chung từ 0.1 → 0.9.</x:t>
  </x:si>
  <x:si>
    <x:t xml:space="preserve">Thử class-wise / dynamic threshold như ablation.</x:t>
  </x:si>
  <x:si>
    <x:t xml:space="preserve">Không khóa cứng threshold cụ thể trước khi có validation.</x:t>
  </x:si>
  <x:si>
    <x:t xml:space="preserve">Với class hiếm, đánh giá cân bằng giữa pseudo-label coverage và pseudo-label noise.</x:t>
  </x:si>
  <x:si>
    <x:t xml:space="preserve">Ghi threshold_used theo từng pseudo-label.</x:t>
  </x:si>
  <x:si>
    <x:t xml:space="preserve">Báo cáo pseudo-label count theo class và threshold.</x:t>
  </x:si>
  <x:si>
    <x:t xml:space="preserve">reports/threshold_policy.md</x:t>
  </x:si>
  <x:si>
    <x:t xml:space="preserve">reports/threshold_sweep_report.csv</x:t>
  </x:si>
  <x:si>
    <x:t xml:space="preserve">Threshold cuối được chọn bằng validation/analysis split, không dùng test.</x:t>
  </x:si>
  <x:si>
    <x:t xml:space="preserve">Class-wise threshold chỉ được kết luận nếu có ablation.</x:t>
  </x:si>
  <x:si>
    <x:t xml:space="preserve">Không dùng ví dụ 0.9/0.6 như protocol cố định nếu chưa có bằng chứng.</x:t>
  </x:si>
  <x:si>
    <x:t xml:space="preserve">5.1E Positive/Negative Batch Monitoring</x:t>
  </x:si>
  <x:si>
    <x:t xml:space="preserve">Log tỷ lệ positive/negative trong labeled batch.</x:t>
  </x:si>
  <x:si>
    <x:t xml:space="preserve">Log tỷ lệ positive/negative trong unlabeled batch nếu metadata cho phép.</x:t>
  </x:si>
  <x:si>
    <x:t xml:space="preserve">Không giả định ảnh Normal chiếm đa số; kiểm tra tỷ lệ thật trong split và batch.</x:t>
  </x:si>
  <x:si>
    <x:t xml:space="preserve">Theo dõi pseudo-box sinh trên unlabeled negative images.</x:t>
  </x:si>
  <x:si>
    <x:t xml:space="preserve">Nếu batch lệch quá mạnh, dùng sampler kiểm soát nhẹ như biện pháp ổn định training, không xem là contribution xử lý imbalance.</x:t>
  </x:si>
  <x:si>
    <x:t xml:space="preserve">reports/batch_composition_report.csv</x:t>
  </x:si>
  <x:si>
    <x:t xml:space="preserve">reports/unlabeled_negative_monitoring.csv</x:t>
  </x:si>
  <x:si>
    <x:t xml:space="preserve">Biết tỷ lệ positive/negative trong training batches.</x:t>
  </x:si>
  <x:si>
    <x:t xml:space="preserve">Nếu SSL thất bại, có dữ liệu để kiểm tra batch bias.</x:t>
  </x:si>
  <x:si>
    <x:t xml:space="preserve">5.1F Compute / OOM Fallback for SSOD</x:t>
  </x:si>
  <x:si>
    <x:t xml:space="preserve">Chạy smoke test SSL trước full training.</x:t>
  </x:si>
  <x:si>
    <x:t xml:space="preserve">Chuẩn bị AMP mixed precision.</x:t>
  </x:si>
  <x:si>
    <x:t xml:space="preserve">Chuẩn bị gradient accumulation.</x:t>
  </x:si>
  <x:si>
    <x:t xml:space="preserve">Giảm batch size khi OOM.</x:t>
  </x:si>
  <x:si>
    <x:t xml:space="preserve">Giảm image size có kiểm soát nếu cần và ghi rõ ảnh hưởng.</x:t>
  </x:si>
  <x:si>
    <x:t xml:space="preserve">Giảm unlabeled images per batch nếu OOM.</x:t>
  </x:si>
  <x:si>
    <x:t xml:space="preserve">Lưu checkpoint/resume để tránh mất tiến trình.</x:t>
  </x:si>
  <x:si>
    <x:t xml:space="preserve">Nếu Colab/Kaggle không đủ, chuyển Vast.ai.</x:t>
  </x:si>
  <x:si>
    <x:t xml:space="preserve">reports/compute_budget_report.md</x:t>
  </x:si>
  <x:si>
    <x:t xml:space="preserve">reports/oom_fallback_log.md</x:t>
  </x:si>
  <x:si>
    <x:t xml:space="preserve">Có kế hoạch fallback trước khi chạy SSL tốn GPU.</x:t>
  </x:si>
  <x:si>
    <x:t xml:space="preserve">OOM không làm mất checkpoint hoặc thay đổi protocol âm thầm.</x:t>
  </x:si>
  <x:si>
    <x:t xml:space="preserve">5.1G SSL Main Experiments</x:t>
  </x:si>
  <x:si>
    <x:t xml:space="preserve">Chạy SSL 1%.</x:t>
  </x:si>
  <x:si>
    <x:t xml:space="preserve">Chạy SSL 5%.</x:t>
  </x:si>
  <x:si>
    <x:t xml:space="preserve">Chạy SSL 10%.</x:t>
  </x:si>
  <x:si>
    <x:t xml:space="preserve">Chạy SSL 20%.</x:t>
  </x:si>
  <x:si>
    <x:t xml:space="preserve">Mỗi mức chạy 3–5 training_seed.</x:t>
  </x:si>
  <x:si>
    <x:t xml:space="preserve">So sánh với supervised baseline cùng labeled split, cùng split_seed, cùng fixed test set.</x:t>
  </x:si>
  <x:si>
    <x:t xml:space="preserve">Không hiểu 'cùng seed' là khóa giống toàn bộ training_seed; fair comparison dùng cùng split_seed, stability dùng nhiều training_seed.</x:t>
  </x:si>
  <x:si>
    <x:t xml:space="preserve">SSL checkpoint chọn theo validation mAP@0.5:0.95.</x:t>
  </x:si>
  <x:si>
    <x:t xml:space="preserve">Tính SSL Gain = mAP@0.5:0.95_SSL - mAP@0.5:0.95_Supervised.</x:t>
  </x:si>
  <x:si>
    <x:t xml:space="preserve">reports/ssl_gain_curve.csv</x:t>
  </x:si>
  <x:si>
    <x:t xml:space="preserve">plots/results/ssl_gain_curve.png</x:t>
  </x:si>
  <x:si>
    <x:t xml:space="preserve">Có SSL gain/loss từng mức label.</x:t>
  </x:si>
  <x:si>
    <x:t xml:space="preserve">Có mean ± std.</x:t>
  </x:si>
  <x:si>
    <x:t xml:space="preserve">Không kết luận gain nếu gain nhỏ hơn std giữa seed.</x:t>
  </x:si>
  <x:si>
    <x:t xml:space="preserve">Metric chọn checkpoint khóa là validation mAP@0.5:0.95.</x:t>
  </x:si>
  <x:si>
    <x:t xml:space="preserve">5.2 / 5.3 Optional Extension: Attention / ViT SSL</x:t>
  </x:si>
  <x:si>
    <x:t xml:space="preserve">Chỉ chạy nếu compute cho phép.</x:t>
  </x:si>
  <x:si>
    <x:t xml:space="preserve">Dùng cùng split, metric, checkpoint criterion.</x:t>
  </x:si>
  <x:si>
    <x:t xml:space="preserve">Kiểm tra Attention/ViT có cải thiện SSL gain hoặc stability không.</x:t>
  </x:si>
  <x:si>
    <x:t xml:space="preserve">Không xem là đóng góp chính nếu chưa đủ multi-seed.</x:t>
  </x:si>
  <x:si>
    <x:t xml:space="preserve">reports/attention_ssl_results.csv</x:t>
  </x:si>
  <x:si>
    <x:t xml:space="preserve">reports/attention_ssl_stability_report.csv</x:t>
  </x:si>
  <x:si>
    <x:t xml:space="preserve">Có quyết định chạy/không chạy extension dựa trên compute.</x:t>
  </x:si>
  <x:si>
    <x:t xml:space="preserve">Extension không làm thay đổi kết luận chính nếu thiếu multi-seed.</x:t>
  </x:si>
  <x:si>
    <x:t xml:space="preserve">6A. Threshold sweep</x:t>
  </x:si>
  <x:si>
    <x:t xml:space="preserve">Sweep threshold 0.1 → 0.9.</x:t>
  </x:si>
  <x:si>
    <x:t xml:space="preserve">Ghi pseudo-label count theo threshold.</x:t>
  </x:si>
  <x:si>
    <x:t xml:space="preserve">Ghi pseudo-label count theo class.</x:t>
  </x:si>
  <x:si>
    <x:t xml:space="preserve">Ghi rare-class survival rate.</x:t>
  </x:si>
  <x:si>
    <x:t xml:space="preserve">Ghi mAP theo threshold.</x:t>
  </x:si>
  <x:si>
    <x:t xml:space="preserve">Ghi FP trên negative theo threshold.</x:t>
  </x:si>
  <x:si>
    <x:t xml:space="preserve">Threshold tuning chỉ dùng validation hoặc analysis split được quy định trước, không dùng test.</x:t>
  </x:si>
  <x:si>
    <x:t xml:space="preserve">Phân tích NMS IoU và max pseudo-box per image nếu có.</x:t>
  </x:si>
  <x:si>
    <x:t xml:space="preserve">plots/results/threshold_sweep.png</x:t>
  </x:si>
  <x:si>
    <x:t xml:space="preserve">Biết threshold nào tốt nhưng gây bias.</x:t>
  </x:si>
  <x:si>
    <x:t xml:space="preserve">Biết threshold nào giữ rare class tốt hơn.</x:t>
  </x:si>
  <x:si>
    <x:t xml:space="preserve">Có cơ sở chọn threshold cuối.</x:t>
  </x:si>
  <x:si>
    <x:t xml:space="preserve">Test set không bị dùng để chọn threshold.</x:t>
  </x:si>
  <x:si>
    <x:t xml:space="preserve">6B. Evaluation chính</x:t>
  </x:si>
  <x:si>
    <x:t xml:space="preserve">Evaluate tất cả checkpoint tốt nhất.</x:t>
  </x:si>
  <x:si>
    <x:t xml:space="preserve">Tính mAP@0.5:0.95.</x:t>
  </x:si>
  <x:si>
    <x:t xml:space="preserve">Tính mAP@0.5.</x:t>
  </x:si>
  <x:si>
    <x:t xml:space="preserve">Tính class-wise AP.</x:t>
  </x:si>
  <x:si>
    <x:t xml:space="preserve">Tính recall.</x:t>
  </x:si>
  <x:si>
    <x:t xml:space="preserve">Tính FP per image.</x:t>
  </x:si>
  <x:si>
    <x:t xml:space="preserve">Tính FP per negative image.</x:t>
  </x:si>
  <x:si>
    <x:t xml:space="preserve">Tính bbox-size AP nếu có.</x:t>
  </x:si>
  <x:si>
    <x:t xml:space="preserve">reports/final_evaluation_results.csv</x:t>
  </x:si>
  <x:si>
    <x:t xml:space="preserve">reports/classwise_ap_results.csv</x:t>
  </x:si>
  <x:si>
    <x:t xml:space="preserve">reports/negative_fp_report.csv</x:t>
  </x:si>
  <x:si>
    <x:t xml:space="preserve">Tất cả mô hình evaluate trên cùng fixed test set.</x:t>
  </x:si>
  <x:si>
    <x:t xml:space="preserve">Metric chính là mAP@0.5:0.95.</x:t>
  </x:si>
  <x:si>
    <x:t xml:space="preserve">Không dùng metric phụ để thay thế kết luận chính.</x:t>
  </x:si>
  <x:si>
    <x:t xml:space="preserve">FP per negative image tính trên test set có đủ No Finding.</x:t>
  </x:si>
  <x:si>
    <x:t xml:space="preserve">6C. Error analysis</x:t>
  </x:si>
  <x:si>
    <x:t xml:space="preserve">Phân tích false positive trên ảnh No Finding.</x:t>
  </x:si>
  <x:si>
    <x:t xml:space="preserve">Phân tích false negative trên ảnh abnormal.</x:t>
  </x:si>
  <x:si>
    <x:t xml:space="preserve">Phân tích class nào hay bị nhầm.</x:t>
  </x:si>
  <x:si>
    <x:t xml:space="preserve">Phân tích bbox nhỏ có bị bỏ sót không.</x:t>
  </x:si>
  <x:si>
    <x:t xml:space="preserve">Visualize TP / FP / FN.</x:t>
  </x:si>
  <x:si>
    <x:t xml:space="preserve">Visualize pseudo-label failure cases.</x:t>
  </x:si>
  <x:si>
    <x:t xml:space="preserve">Liên hệ lỗi với confirmation bias, threshold, NMS và batch composition.</x:t>
  </x:si>
  <x:si>
    <x:t xml:space="preserve">reports/error_analysis_report.md</x:t>
  </x:si>
  <x:si>
    <x:t xml:space="preserve">plots/error_vis/true_positive_examples/</x:t>
  </x:si>
  <x:si>
    <x:t xml:space="preserve">plots/error_vis/false_positive_negative_images/</x:t>
  </x:si>
  <x:si>
    <x:t xml:space="preserve">plots/error_vis/false_negative_abnormal_images/</x:t>
  </x:si>
  <x:si>
    <x:t xml:space="preserve">Mỗi kết luận định lượng có ví dụ hình ảnh minh họa.</x:t>
  </x:si>
  <x:si>
    <x:t xml:space="preserve">Mỗi lỗi chính có giải thích hoặc hành động.</x:t>
  </x:si>
  <x:si>
    <x:t xml:space="preserve">6D. Stability analysis</x:t>
  </x:si>
  <x:si>
    <x:t xml:space="preserve">Tổng hợp kết quả theo seed.</x:t>
  </x:si>
  <x:si>
    <x:t xml:space="preserve">Phân biệt rõ split_seed và training_seed trong bảng stability.</x:t>
  </x:si>
  <x:si>
    <x:t xml:space="preserve">Tính mean ± std.</x:t>
  </x:si>
  <x:si>
    <x:t xml:space="preserve">Tính 95% CI nếu đủ seed.</x:t>
  </x:si>
  <x:si>
    <x:t xml:space="preserve">Vẽ seed stability plot.</x:t>
  </x:si>
  <x:si>
    <x:t xml:space="preserve">So sánh gain với baseline variability.</x:t>
  </x:si>
  <x:si>
    <x:t xml:space="preserve">Cảnh báo seed leakage: supervised vs SSL cùng split_seed, nhiều training_seed để đo variance thật.</x:t>
  </x:si>
  <x:si>
    <x:t xml:space="preserve">reports/seed_stability_report.csv</x:t>
  </x:si>
  <x:si>
    <x:t xml:space="preserve">plots/results/seed_stability.png</x:t>
  </x:si>
  <x:si>
    <x:t xml:space="preserve">Biết SSL gain có ổn định không.</x:t>
  </x:si>
  <x:si>
    <x:t xml:space="preserve">Nếu gain nhỏ hơn std, ghi rõ không đủ mạnh để kết luận.</x:t>
  </x:si>
  <x:si>
    <x:t xml:space="preserve">Không over-claim.</x:t>
  </x:si>
  <x:si>
    <x:t xml:space="preserve">Không có variance giả do khóa nhầm training_seed.</x:t>
  </x:si>
  <x:si>
    <x:t xml:space="preserve">7A. Generate final reports</x:t>
  </x:si>
  <x:si>
    <x:t xml:space="preserve">Tổng hợp dataset report.</x:t>
  </x:si>
  <x:si>
    <x:t xml:space="preserve">Tổng hợp supervised baseline.</x:t>
  </x:si>
  <x:si>
    <x:t xml:space="preserve">Tổng hợp SSL results.</x:t>
  </x:si>
  <x:si>
    <x:t xml:space="preserve">Tổng hợp threshold sweep.</x:t>
  </x:si>
  <x:si>
    <x:t xml:space="preserve">Tổng hợp negative FP.</x:t>
  </x:si>
  <x:si>
    <x:t xml:space="preserve">Tổng hợp seed stability.</x:t>
  </x:si>
  <x:si>
    <x:t xml:space="preserve">Tổng hợp pseudo-bbox/NMS/confirmation-bias findings.</x:t>
  </x:si>
  <x:si>
    <x:t xml:space="preserve">Tạo bảng kết quả chính.</x:t>
  </x:si>
  <x:si>
    <x:t xml:space="preserve">Tạo hình label efficiency curve.</x:t>
  </x:si>
  <x:si>
    <x:t xml:space="preserve">Tạo hình SSL gain curve.</x:t>
  </x:si>
  <x:si>
    <x:t xml:space="preserve">reports/final_results_summary.md</x:t>
  </x:si>
  <x:si>
    <x:t xml:space="preserve">reports/paper_framing.md</x:t>
  </x:si>
  <x:si>
    <x:t xml:space="preserve">plots/results/label_efficiency_curve.png</x:t>
  </x:si>
  <x:si>
    <x:t xml:space="preserve">Mọi bảng/hình trong thesis truy vết được tới CSV/log/config.</x:t>
  </x:si>
  <x:si>
    <x:t xml:space="preserve">Không có số liệu nhập tay không rõ nguồn.</x:t>
  </x:si>
  <x:si>
    <x:t xml:space="preserve">7B. Viết thesis/paper theo STRUCTURE.md</x:t>
  </x:si>
  <x:si>
    <x:t xml:space="preserve">Viết Abstract.</x:t>
  </x:si>
  <x:si>
    <x:t xml:space="preserve">Viết Introduction.</x:t>
  </x:si>
  <x:si>
    <x:t xml:space="preserve">Viết Related Work.</x:t>
  </x:si>
  <x:si>
    <x:t xml:space="preserve">Viết Materials and Data Protocol.</x:t>
  </x:si>
  <x:si>
    <x:t xml:space="preserve">Viết Methodology.</x:t>
  </x:si>
  <x:si>
    <x:t xml:space="preserve">Viết Experiments.</x:t>
  </x:si>
  <x:si>
    <x:t xml:space="preserve">Viết Results.</x:t>
  </x:si>
  <x:si>
    <x:t xml:space="preserve">Viết Discussion.</x:t>
  </x:si>
  <x:si>
    <x:t xml:space="preserve">Viết Conclusion.</x:t>
  </x:si>
  <x:si>
    <x:t xml:space="preserve">Viết Appendix.</x:t>
  </x:si>
  <x:si>
    <x:t xml:space="preserve">draft/thesis/</x:t>
  </x:si>
  <x:si>
    <x:t xml:space="preserve">draft/paper/</x:t>
  </x:si>
  <x:si>
    <x:t xml:space="preserve">RQ nào cũng có experiment trả lời.</x:t>
  </x:si>
  <x:si>
    <x:t xml:space="preserve">Experiment nào cũng có result.</x:t>
  </x:si>
  <x:si>
    <x:t xml:space="preserve">Result nào cũng được discussion giải thích.</x:t>
  </x:si>
  <x:si>
    <x:t xml:space="preserve">Không over-claim khi SSL gain yếu hoặc bất ổn.</x:t>
  </x:si>
  <x:si>
    <x:t xml:space="preserve">Pre-train Gate</x:t>
  </x:si>
  <x:si>
    <x:t xml:space="preserve">Gate</x:t>
  </x:si>
  <x:si>
    <x:t xml:space="preserve">COCO master validate thành công.</x:t>
  </x:si>
  <x:si>
    <x:t xml:space="preserve">No Finding không nằm trong categories.</x:t>
  </x:si>
  <x:si>
    <x:t xml:space="preserve">Ảnh No Finding nằm trong images và không có annotations.</x:t>
  </x:si>
  <x:si>
    <x:t xml:space="preserve">Framework không lọc bỏ ảnh empty.</x:t>
  </x:si>
  <x:si>
    <x:t xml:space="preserve">Train/val/test leakage = 0.</x:t>
  </x:si>
  <x:si>
    <x:t xml:space="preserve">Test set có đủ No Finding để đo FP per negative image.</x:t>
  </x:si>
  <x:si>
    <x:t xml:space="preserve">Labeled splits nested đúng.</x:t>
  </x:si>
  <x:si>
    <x:t xml:space="preserve">Supervised và SSL dùng cùng labeled split.</x:t>
  </x:si>
  <x:si>
    <x:t xml:space="preserve">Supervised vs SSL dùng cùng split_seed.</x:t>
  </x:si>
  <x:si>
    <x:t xml:space="preserve">Stability dùng nhiều training_seed.</x:t>
  </x:si>
  <x:si>
    <x:t xml:space="preserve">Đã lưu seed number, RNG state và deterministic flags.</x:t>
  </x:si>
  <x:si>
    <x:t xml:space="preserve">Test set không dùng để tune.</x:t>
  </x:si>
  <x:si>
    <x:t xml:space="preserve">Test set không dùng để chọn checkpoint, threshold hoặc model tốt nhất.</x:t>
  </x:si>
  <x:si>
    <x:t xml:space="preserve">Augmentation bbox transform đúng.</x:t>
  </x:si>
  <x:si>
    <x:t xml:space="preserve">Pseudo-bbox generation có NMS và box quality filtering.</x:t>
  </x:si>
  <x:si>
    <x:t xml:space="preserve">Có burn-in + EMA teacher để giảm confirmation bias.</x:t>
  </x:si>
  <x:si>
    <x:t xml:space="preserve">Config seed được lưu.</x:t>
  </x:si>
  <x:si>
    <x:t xml:space="preserve">Checkpoint được chọn bằng validation mAP@0.5:0.95.</x:t>
  </x:si>
  <x:si>
    <x:t xml:space="preserve">Có kế hoạch OOM fallback trước khi chạy SSOD.</x:t>
  </x:si>
  <x:si>
    <x:t xml:space="preserve">Silent Failure Checks</x:t>
  </x:si>
  <x:si>
    <x:t xml:space="preserve">No Finding bị đưa nhầm thành detection class.</x:t>
  </x:si>
  <x:si>
    <x:t xml:space="preserve">Ảnh empty bị framework loại khỏi dataloader.</x:t>
  </x:si>
  <x:si>
    <x:t xml:space="preserve">Bbox format nhầm xyxy thành xywh.</x:t>
  </x:si>
  <x:si>
    <x:t xml:space="preserve">Bbox bị lệch sau resize.</x:t>
  </x:si>
  <x:si>
    <x:t xml:space="preserve">Bbox bị lệch sau flip/crop/scale.</x:t>
  </x:si>
  <x:si>
    <x:t xml:space="preserve">Unlabeled data vô tình dùng ground truth.</x:t>
  </x:si>
  <x:si>
    <x:t xml:space="preserve">Test set bị dùng trong threshold tuning.</x:t>
  </x:si>
  <x:si>
    <x:t xml:space="preserve">SSL so với supervised nhưng không cùng labeled split.</x:t>
  </x:si>
  <x:si>
    <x:t xml:space="preserve">SSL so với supervised nhưng không cùng split_seed.</x:t>
  </x:si>
  <x:si>
    <x:t xml:space="preserve">Chỉ chạy 1 seed rồi kết luận gain.</x:t>
  </x:si>
  <x:si>
    <x:t xml:space="preserve">Khóa nhầm training_seed giống nhau cho mọi run làm variance giả thấp.</x:t>
  </x:si>
  <x:si>
    <x:t xml:space="preserve">Chỉ lưu seed number, không lưu RNG state và deterministic flags.</x:t>
  </x:si>
  <x:si>
    <x:t xml:space="preserve">Teacher sinh quá nhiều pseudo-bbox trùng lặp vì thiếu NMS.</x:t>
  </x:si>
  <x:si>
    <x:t xml:space="preserve">Pseudo-bbox không transform đúng từ weak sang strong view.</x:t>
  </x:si>
  <x:si>
    <x:t xml:space="preserve">Threshold cao làm rare class biến mất.</x:t>
  </x:si>
  <x:si>
    <x:t xml:space="preserve">Threshold thấp làm ảnh negative sinh nhiều pseudo-box sai.</x:t>
  </x:si>
  <x:si>
    <x:t xml:space="preserve">Checkpoint tốt nhất chọn bằng test thay vì validation.</x:t>
  </x:si>
  <x:si>
    <x:t xml:space="preserve">Checkpoint mỗi experiment chọn theo tiêu chí khác nhau.</x:t>
  </x:si>
  <x:si>
    <x:t xml:space="preserve">Conclusion Rules</x:t>
  </x:si>
  <x:si>
    <x:t xml:space="preserve">SSL gain/loss phải tính bằng mAP@0.5:0.95.</x:t>
  </x:si>
  <x:si>
    <x:t xml:space="preserve">SSL gain phải so với supervised baseline cùng labeled split và cùng split_seed.</x:t>
  </x:si>
  <x:si>
    <x:t xml:space="preserve">SSL gain phải báo cáo kèm mean ± std theo nhiều training_seed.</x:t>
  </x:si>
  <x:si>
    <x:t xml:space="preserve">Nếu SSL gain nhỏ hơn hoặc tương đương std giữa các seed, chỉ nói chưa đủ bằng chứng ổn định.</x:t>
  </x:si>
  <x:si>
    <x:t xml:space="preserve">Nếu SSL tăng mAP nhưng FP per negative image tăng mạnh, phải thảo luận trade-off y khoa.</x:t>
  </x:si>
  <x:si>
    <x:t xml:space="preserve">Nếu threshold làm rare-class survival rate giảm mạnh, không được chỉ báo cáo mAP tổng.</x:t>
  </x:si>
  <x:si>
    <x:t xml:space="preserve">Nếu SSL không giúp, kiểm tra threshold, NMS, confirmation bias, batch composition, OOM/compute simplification trước khi kết luận.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</x:si>
</x:sst>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color rgb="FF1E3A8A"/>
      <x:name val="Carlito"/>
    </x:font>
    <x:font>
      <x:sz val="11"/>
      <x:color rgb="FF0F172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0F172A"/>
      </x:patternFill>
    </x:fill>
    <x:fill>
      <x:patternFill patternType="solid">
        <x:fgColor rgb="FFDBEAFE"/>
      </x:patternFill>
    </x:fill>
    <x:fill>
      <x:patternFill patternType="solid">
        <x:fgColor rgb="FFF8FAFC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3" fillId="4" borderId="0" xfId="0" applyFont="1" applyFill="1" applyAlignment="1">
      <x:alignment horizontal="center" vertical="center"/>
    </x:xf>
    <x:xf numFmtId="0" fontId="4" fillId="5" borderId="0" xfId="0" applyFont="1" applyFill="1" applyAlignment="1">
      <x:alignment vertical="center"/>
    </x:xf>
    <x:xf numFmtId="0" fontId="1" fillId="2" borderId="0" xfId="0" applyFont="1" applyFill="1" applyAlignment="1">
      <x:alignment horizontal="center" vertical="center" wrapText="1"/>
    </x:xf>
    <x:xf numFmtId="9" fontId="3" fillId="4" borderId="0" xfId="0" applyNumberFormat="1" applyFont="1" applyFill="1" applyAlignment="1">
      <x:alignment horizontal="center" vertical="center"/>
    </x:xf>
    <x:xf numFmtId="9" fontId="0" fillId="0" borderId="0" xfId="0" applyNumberFormat="1"/>
    <x:xf numFmtId="9" fontId="4" fillId="5" borderId="0" xfId="0" applyNumberFormat="1" applyFont="1" applyFill="1" applyAlignment="1">
      <x:alignment vertical="center"/>
    </x:xf>
    <x:xf numFmtId="9" fontId="1" fillId="2" borderId="0" xfId="0" applyNumberFormat="1" applyFont="1" applyFill="1" applyAlignment="1">
      <x:alignment horizontal="center" vertical="center"/>
    </x:xf>
    <x:xf numFmtId="0" fontId="0" fillId="0" borderId="0" xfId="0" applyAlignment="1">
      <x:alignment vertical="center"/>
    </x:xf>
    <x:xf numFmtId="0" fontId="0" fillId="0" borderId="0" xfId="0" applyAlignment="1">
      <x:alignment vertical="center" wrapText="1"/>
    </x:xf>
    <x:xf numFmtId="0" fontId="2" fillId="3" borderId="0" xfId="0" applyFont="1" applyFill="1" applyAlignment="1">
      <x:alignment horizontal="center" vertical="center"/>
    </x:xf>
  </x:cellXfs>
  <x:cellStyles count="1">
    <x:cellStyle name="Normal" xfId="0"/>
  </x:cellStyles>
  <x:dxfs count="11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4B5563"/>
      </x:font>
      <x:fill>
        <x:patternFill>
          <x:bgColor rgb="FFE5E7EB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9f573fa5594dc8" /><Relationship Type="http://schemas.openxmlformats.org/officeDocument/2006/relationships/theme" Target="/xl/theme/theme1.xml" Id="R3ac571ebb60e4091" /><Relationship Type="http://schemas.openxmlformats.org/officeDocument/2006/relationships/sharedStrings" Target="/xl/sharedStrings.xml" Id="R87186ecfe9c9466a" /><Relationship Type="http://schemas.openxmlformats.org/officeDocument/2006/relationships/worksheet" Target="/xl/worksheets/sheet1.xml" Id="Rd803bee6e9cf4002" /><Relationship Type="http://schemas.openxmlformats.org/officeDocument/2006/relationships/worksheet" Target="/xl/worksheets/sheet2.xml" Id="Rf488c25af4514b13" /><Relationship Type="http://schemas.openxmlformats.org/officeDocument/2006/relationships/worksheet" Target="/xl/worksheets/sheet3.xml" Id="Rd961bc86c1f34ab8" /><Relationship Type="http://schemas.openxmlformats.org/officeDocument/2006/relationships/worksheet" Target="/xl/worksheets/sheet4.xml" Id="Rb52d4bd7b7094233" /></Relationships>
</file>

<file path=xl/tables/table1.xml><?xml version="1.0" encoding="utf-8"?>
<x:table xmlns:x="http://schemas.openxmlformats.org/spreadsheetml/2006/main" id="1" name="ChecklistTable" displayName="ChecklistTable" ref="A1:M496">
  <x:tableColumns count="13">
    <x:tableColumn id="1" name="ID"/>
    <x:tableColumn id="2" name="Phase"/>
    <x:tableColumn id="3" name="Section"/>
    <x:tableColumn id="4" name="Type"/>
    <x:tableColumn id="5" name="Task"/>
    <x:tableColumn id="6" name="Status"/>
    <x:tableColumn id="7" name="Priority"/>
    <x:tableColumn id="8" name="Risk"/>
    <x:tableColumn id="9" name="Owner"/>
    <x:tableColumn id="10" name="Due Date"/>
    <x:tableColumn id="11" name="Notes"/>
    <x:tableColumn id="12" name="Evidence / Link"/>
    <x:tableColumn id="13" name="Done 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aseSummaryTable" displayName="PhaseSummaryTable" ref="A1:H13">
  <x:tableColumns count="8">
    <x:tableColumn id="1" name="Phase"/>
    <x:tableColumn id="2" name="Total"/>
    <x:tableColumn id="3" name="Chưa làm"/>
    <x:tableColumn id="4" name="Đang làm"/>
    <x:tableColumn id="5" name="Hoàn thành"/>
    <x:tableColumn id="6" name="Bị chặn"/>
    <x:tableColumn id="7" name="Tạm hoãn"/>
    <x:tableColumn id="8" name="Completion %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a7a8663ebfe40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e323ceb459c402e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44" customWidth="1"/>
    <x:col min="2" max="3" width="14" customWidth="1"/>
    <x:col min="4" max="4" width="8" customWidth="1"/>
    <x:col min="5" max="5" width="65" customWidth="1"/>
    <x:col min="6" max="8" width="14" customWidth="1"/>
  </x:cols>
  <x:sheetData>
    <x:row r="1" ht="17.399999618530273">
      <x:c r="A1" s="11" t="s">
        <x:v>0</x:v>
      </x:c>
      <x:c r="B1" s="11"/>
      <x:c r="C1" s="11"/>
      <x:c r="D1" s="11"/>
      <x:c r="E1" s="11"/>
      <x:c r="F1" s="11"/>
      <x:c r="G1" s="11"/>
      <x:c r="H1" s="11"/>
    </x:row>
    <x:row r="2">
      <x:c r="H2" s="6"/>
    </x:row>
    <x:row r="3">
      <x:c r="A3" s="2" t="s">
        <x:v>1</x:v>
      </x:c>
      <x:c r="B3" s="2" t="n">
        <x:f>COUNTA(Checklist!$A$2:$A$1000)</x:f>
        <x:v>533</x:v>
      </x:c>
      <x:c r="D3" s="3" t="s">
        <x:v>2</x:v>
      </x:c>
      <x:c r="E3" s="3"/>
      <x:c r="F3" s="3"/>
      <x:c r="G3" s="3"/>
      <x:c r="H3" s="7"/>
    </x:row>
    <x:row r="4">
      <x:c r="A4" s="2" t="s">
        <x:v>3</x:v>
      </x:c>
      <x:c r="B4" s="2" t="n">
        <x:f>COUNTIF(Checklist!$F:$F,"Chưa làm")</x:f>
        <x:v>367</x:v>
      </x:c>
      <x:c r="D4" s="3" t="s">
        <x:v>4</x:v>
      </x:c>
      <x:c r="E4" s="3" t="s">
        <x:v>5</x:v>
      </x:c>
      <x:c r="F4" s="3"/>
      <x:c r="G4" s="3"/>
      <x:c r="H4" s="7"/>
    </x:row>
    <x:row r="5">
      <x:c r="A5" s="2" t="s">
        <x:v>6</x:v>
      </x:c>
      <x:c r="B5" s="2" t="n">
        <x:f>COUNTIF(Checklist!$F:$F,"Đang làm")</x:f>
        <x:v>0</x:v>
      </x:c>
      <x:c r="D5" s="3" t="s">
        <x:v>7</x:v>
      </x:c>
      <x:c r="E5" s="3" t="s">
        <x:v>8</x:v>
      </x:c>
      <x:c r="F5" s="3"/>
      <x:c r="G5" s="3"/>
      <x:c r="H5" s="7"/>
    </x:row>
    <x:row r="6">
      <x:c r="A6" s="2" t="s">
        <x:v>9</x:v>
      </x:c>
      <x:c r="B6" s="2" t="n">
        <x:f>COUNTIF(Checklist!$F:$F,"Hoàn thành")</x:f>
        <x:v>164</x:v>
      </x:c>
      <x:c r="D6" s="3" t="s">
        <x:v>10</x:v>
      </x:c>
      <x:c r="E6" s="3" t="s">
        <x:v>11</x:v>
      </x:c>
      <x:c r="F6" s="3"/>
      <x:c r="G6" s="3"/>
      <x:c r="H6" s="7"/>
    </x:row>
    <x:row r="7">
      <x:c r="A7" s="2" t="s">
        <x:v>12</x:v>
      </x:c>
      <x:c r="B7" s="2" t="n">
        <x:f>COUNTIF(Checklist!$F:$F,"Bị chặn")</x:f>
        <x:v>2</x:v>
      </x:c>
      <x:c r="D7" s="3" t="s">
        <x:v>13</x:v>
      </x:c>
      <x:c r="E7" s="3" t="s">
        <x:v>14</x:v>
      </x:c>
      <x:c r="F7" s="3"/>
      <x:c r="G7" s="3"/>
      <x:c r="H7" s="7"/>
    </x:row>
    <x:row r="8">
      <x:c r="A8" s="2" t="s">
        <x:v>15</x:v>
      </x:c>
      <x:c r="B8" s="5" t="n">
        <x:f>IFERROR(B6/B3,0)</x:f>
        <x:v>0.3076923076923077</x:v>
      </x:c>
      <x:c r="D8" s="3" t="s">
        <x:v>16</x:v>
      </x:c>
      <x:c r="E8" s="3" t="s">
        <x:v>17</x:v>
      </x:c>
      <x:c r="F8" s="3"/>
      <x:c r="G8" s="3"/>
      <x:c r="H8" s="7"/>
    </x:row>
    <x:row r="9">
      <x:c r="D9" s="3" t="s">
        <x:v>18</x:v>
      </x:c>
      <x:c r="E9" s="3" t="s">
        <x:v>19</x:v>
      </x:c>
      <x:c r="F9" s="3"/>
      <x:c r="G9" s="3"/>
      <x:c r="H9" s="7"/>
    </x:row>
    <x:row r="10">
      <x:c r="D10" s="3" t="s">
        <x:v>20</x:v>
      </x:c>
      <x:c r="E10" s="3" t="s">
        <x:v>21</x:v>
      </x:c>
      <x:c r="F10" s="3"/>
      <x:c r="G10" s="3"/>
      <x:c r="H10" s="7"/>
    </x:row>
    <x:row r="11">
      <x:c r="A11" s="1" t="s">
        <x:v>22</x:v>
      </x:c>
      <x:c r="B11" s="1" t="s">
        <x:v>23</x:v>
      </x:c>
      <x:c r="C11" s="1" t="s">
        <x:v>3</x:v>
      </x:c>
      <x:c r="D11" s="1" t="s">
        <x:v>6</x:v>
      </x:c>
      <x:c r="E11" s="1" t="s">
        <x:v>9</x:v>
      </x:c>
      <x:c r="F11" s="1" t="s">
        <x:v>12</x:v>
      </x:c>
      <x:c r="G11" s="1" t="s">
        <x:v>24</x:v>
      </x:c>
      <x:c r="H11" s="8" t="s">
        <x:v>25</x:v>
      </x:c>
    </x:row>
    <x:row r="12">
      <x:c r="A12" t="s">
        <x:v>26</x:v>
      </x:c>
      <x:c r="B12" t="n">
        <x:f>'Phase Summary'!B2</x:f>
        <x:v>8</x:v>
      </x:c>
      <x:c r="C12" t="n">
        <x:f>'Phase Summary'!C2</x:f>
        <x:v>0</x:v>
      </x:c>
      <x:c r="D12" t="n">
        <x:f>'Phase Summary'!D2</x:f>
        <x:v>0</x:v>
      </x:c>
      <x:c r="E12" t="n">
        <x:f>'Phase Summary'!E2</x:f>
        <x:v>8</x:v>
      </x:c>
      <x:c r="F12" t="n">
        <x:f>'Phase Summary'!F2</x:f>
        <x:v>0</x:v>
      </x:c>
      <x:c r="G12" t="n">
        <x:f>'Phase Summary'!G2</x:f>
        <x:v>0</x:v>
      </x:c>
      <x:c r="H12" s="6" t="n">
        <x:f>'Phase Summary'!H2</x:f>
        <x:v>1</x:v>
      </x:c>
    </x:row>
    <x:row r="13">
      <x:c r="A13" t="s">
        <x:v>27</x:v>
      </x:c>
      <x:c r="B13" t="n">
        <x:f>'Phase Summary'!B3</x:f>
        <x:v>23</x:v>
      </x:c>
      <x:c r="C13" t="n">
        <x:f>'Phase Summary'!C3</x:f>
        <x:v>2</x:v>
      </x:c>
      <x:c r="D13" t="n">
        <x:f>'Phase Summary'!D3</x:f>
        <x:v>0</x:v>
      </x:c>
      <x:c r="E13" t="n">
        <x:f>'Phase Summary'!E3</x:f>
        <x:v>19</x:v>
      </x:c>
      <x:c r="F13" t="n">
        <x:f>'Phase Summary'!F3</x:f>
        <x:v>2</x:v>
      </x:c>
      <x:c r="G13" t="n">
        <x:f>'Phase Summary'!G3</x:f>
        <x:v>0</x:v>
      </x:c>
      <x:c r="H13" s="6" t="n">
        <x:f>'Phase Summary'!H3</x:f>
        <x:v>0.8260869565217391</x:v>
      </x:c>
    </x:row>
    <x:row r="14">
      <x:c r="A14" t="s">
        <x:v>28</x:v>
      </x:c>
      <x:c r="B14" t="n">
        <x:f>'Phase Summary'!B4</x:f>
        <x:v>51</x:v>
      </x:c>
      <x:c r="C14" t="n">
        <x:f>'Phase Summary'!C4</x:f>
        <x:v>0</x:v>
      </x:c>
      <x:c r="D14" t="n">
        <x:f>'Phase Summary'!D4</x:f>
        <x:v>0</x:v>
      </x:c>
      <x:c r="E14" t="n">
        <x:f>'Phase Summary'!E4</x:f>
        <x:v>51</x:v>
      </x:c>
      <x:c r="F14" t="n">
        <x:f>'Phase Summary'!F4</x:f>
        <x:v>0</x:v>
      </x:c>
      <x:c r="G14" t="n">
        <x:f>'Phase Summary'!G4</x:f>
        <x:v>0</x:v>
      </x:c>
      <x:c r="H14" s="6" t="n">
        <x:f>'Phase Summary'!H4</x:f>
        <x:v>1</x:v>
      </x:c>
    </x:row>
    <x:row r="15">
      <x:c r="A15" t="s">
        <x:v>29</x:v>
      </x:c>
      <x:c r="B15" t="n">
        <x:f>'Phase Summary'!B5</x:f>
        <x:v>153</x:v>
      </x:c>
      <x:c r="C15" t="n">
        <x:f>'Phase Summary'!C5</x:f>
        <x:v>67</x:v>
      </x:c>
      <x:c r="D15" t="n">
        <x:f>'Phase Summary'!D5</x:f>
        <x:v>0</x:v>
      </x:c>
      <x:c r="E15" t="n">
        <x:f>'Phase Summary'!E5</x:f>
        <x:v>86</x:v>
      </x:c>
      <x:c r="F15" t="n">
        <x:f>'Phase Summary'!F5</x:f>
        <x:v>0</x:v>
      </x:c>
      <x:c r="G15" t="n">
        <x:f>'Phase Summary'!G5</x:f>
        <x:v>0</x:v>
      </x:c>
      <x:c r="H15" s="6" t="n">
        <x:f>'Phase Summary'!H5</x:f>
        <x:v>0.5620915032679739</x:v>
      </x:c>
    </x:row>
    <x:row r="16">
      <x:c r="A16" t="s">
        <x:v>30</x:v>
      </x:c>
      <x:c r="B16" t="n">
        <x:f>'Phase Summary'!B6</x:f>
        <x:v>17</x:v>
      </x:c>
      <x:c r="C16" t="n">
        <x:f>'Phase Summary'!C6</x:f>
        <x:v>17</x:v>
      </x:c>
      <x:c r="D16" t="n">
        <x:f>'Phase Summary'!D6</x:f>
        <x:v>0</x:v>
      </x:c>
      <x:c r="E16" t="n">
        <x:f>'Phase Summary'!E6</x:f>
        <x:v>0</x:v>
      </x:c>
      <x:c r="F16" t="n">
        <x:f>'Phase Summary'!F6</x:f>
        <x:v>0</x:v>
      </x:c>
      <x:c r="G16" t="n">
        <x:f>'Phase Summary'!G6</x:f>
        <x:v>0</x:v>
      </x:c>
      <x:c r="H16" s="6" t="n">
        <x:f>'Phase Summary'!H6</x:f>
        <x:v>0</x:v>
      </x:c>
    </x:row>
    <x:row r="17">
      <x:c r="A17" t="s">
        <x:v>31</x:v>
      </x:c>
      <x:c r="B17" t="n">
        <x:f>'Phase Summary'!B7</x:f>
        <x:v>47</x:v>
      </x:c>
      <x:c r="C17" t="n">
        <x:f>'Phase Summary'!C7</x:f>
        <x:v>47</x:v>
      </x:c>
      <x:c r="D17" t="n">
        <x:f>'Phase Summary'!D7</x:f>
        <x:v>0</x:v>
      </x:c>
      <x:c r="E17" t="n">
        <x:f>'Phase Summary'!E7</x:f>
        <x:v>0</x:v>
      </x:c>
      <x:c r="F17" t="n">
        <x:f>'Phase Summary'!F7</x:f>
        <x:v>0</x:v>
      </x:c>
      <x:c r="G17" t="n">
        <x:f>'Phase Summary'!G7</x:f>
        <x:v>0</x:v>
      </x:c>
      <x:c r="H17" s="6" t="n">
        <x:f>'Phase Summary'!H7</x:f>
        <x:v>0</x:v>
      </x:c>
    </x:row>
    <x:row r="18">
      <x:c r="A18" t="s">
        <x:v>32</x:v>
      </x:c>
      <x:c r="B18" t="n">
        <x:f>'Phase Summary'!B8</x:f>
        <x:v>101</x:v>
      </x:c>
      <x:c r="C18" t="n">
        <x:f>'Phase Summary'!C8</x:f>
        <x:v>101</x:v>
      </x:c>
      <x:c r="D18" t="n">
        <x:f>'Phase Summary'!D8</x:f>
        <x:v>0</x:v>
      </x:c>
      <x:c r="E18" t="n">
        <x:f>'Phase Summary'!E8</x:f>
        <x:v>0</x:v>
      </x:c>
      <x:c r="F18" t="n">
        <x:f>'Phase Summary'!F8</x:f>
        <x:v>0</x:v>
      </x:c>
      <x:c r="G18" t="n">
        <x:f>'Phase Summary'!G8</x:f>
        <x:v>0</x:v>
      </x:c>
      <x:c r="H18" s="6" t="n">
        <x:f>'Phase Summary'!H8</x:f>
        <x:v>0</x:v>
      </x:c>
    </x:row>
    <x:row r="19">
      <x:c r="A19" t="s">
        <x:v>33</x:v>
      </x:c>
      <x:c r="B19" t="n">
        <x:f>'Phase Summary'!B9</x:f>
        <x:v>56</x:v>
      </x:c>
      <x:c r="C19" t="n">
        <x:f>'Phase Summary'!C9</x:f>
        <x:v>56</x:v>
      </x:c>
      <x:c r="D19" t="n">
        <x:f>'Phase Summary'!D9</x:f>
        <x:v>0</x:v>
      </x:c>
      <x:c r="E19" t="n">
        <x:f>'Phase Summary'!E9</x:f>
        <x:v>0</x:v>
      </x:c>
      <x:c r="F19" t="n">
        <x:f>'Phase Summary'!F9</x:f>
        <x:v>0</x:v>
      </x:c>
      <x:c r="G19" t="n">
        <x:f>'Phase Summary'!G9</x:f>
        <x:v>0</x:v>
      </x:c>
      <x:c r="H19" s="6" t="n">
        <x:f>'Phase Summary'!H9</x:f>
        <x:v>0</x:v>
      </x:c>
    </x:row>
    <x:row r="20">
      <x:c r="A20" t="s">
        <x:v>34</x:v>
      </x:c>
      <x:c r="B20" t="n">
        <x:f>'Phase Summary'!B10</x:f>
        <x:v>32</x:v>
      </x:c>
      <x:c r="C20" t="n">
        <x:f>'Phase Summary'!C10</x:f>
        <x:v>32</x:v>
      </x:c>
      <x:c r="D20" t="n">
        <x:f>'Phase Summary'!D10</x:f>
        <x:v>0</x:v>
      </x:c>
      <x:c r="E20" t="n">
        <x:f>'Phase Summary'!E10</x:f>
        <x:v>0</x:v>
      </x:c>
      <x:c r="F20" t="n">
        <x:f>'Phase Summary'!F10</x:f>
        <x:v>0</x:v>
      </x:c>
      <x:c r="G20" t="n">
        <x:f>'Phase Summary'!G10</x:f>
        <x:v>0</x:v>
      </x:c>
      <x:c r="H20" s="6" t="n">
        <x:f>'Phase Summary'!H10</x:f>
        <x:v>0</x:v>
      </x:c>
    </x:row>
    <x:row r="21">
      <x:c r="A21" t="s">
        <x:v>35</x:v>
      </x:c>
      <x:c r="B21" t="n">
        <x:f>'Phase Summary'!B11</x:f>
        <x:v>20</x:v>
      </x:c>
      <x:c r="C21" t="n">
        <x:f>'Phase Summary'!C11</x:f>
        <x:v>20</x:v>
      </x:c>
      <x:c r="D21" t="n">
        <x:f>'Phase Summary'!D11</x:f>
        <x:v>0</x:v>
      </x:c>
      <x:c r="E21" t="n">
        <x:f>'Phase Summary'!E11</x:f>
        <x:v>0</x:v>
      </x:c>
      <x:c r="F21" t="n">
        <x:f>'Phase Summary'!F11</x:f>
        <x:v>0</x:v>
      </x:c>
      <x:c r="G21" t="n">
        <x:f>'Phase Summary'!G11</x:f>
        <x:v>0</x:v>
      </x:c>
      <x:c r="H21" s="6" t="n">
        <x:f>'Phase Summary'!H11</x:f>
        <x:v>0</x:v>
      </x:c>
    </x:row>
    <x:row r="22">
      <x:c r="A22" t="s">
        <x:v>36</x:v>
      </x:c>
      <x:c r="B22" t="n">
        <x:f>'Phase Summary'!B12</x:f>
        <x:v>18</x:v>
      </x:c>
      <x:c r="C22" t="n">
        <x:f>'Phase Summary'!C12</x:f>
        <x:v>18</x:v>
      </x:c>
      <x:c r="D22" t="n">
        <x:f>'Phase Summary'!D12</x:f>
        <x:v>0</x:v>
      </x:c>
      <x:c r="E22" t="n">
        <x:f>'Phase Summary'!E12</x:f>
        <x:v>0</x:v>
      </x:c>
      <x:c r="F22" t="n">
        <x:f>'Phase Summary'!F12</x:f>
        <x:v>0</x:v>
      </x:c>
      <x:c r="G22" t="n">
        <x:f>'Phase Summary'!G12</x:f>
        <x:v>0</x:v>
      </x:c>
      <x:c r="H22" s="6" t="n">
        <x:f>'Phase Summary'!H12</x:f>
        <x:v>0</x:v>
      </x:c>
    </x:row>
    <x:row r="23">
      <x:c r="A23" t="s">
        <x:v>37</x:v>
      </x:c>
      <x:c r="B23" t="n">
        <x:f>'Phase Summary'!B13</x:f>
        <x:v>7</x:v>
      </x:c>
      <x:c r="C23" t="n">
        <x:f>'Phase Summary'!C13</x:f>
        <x:v>7</x:v>
      </x:c>
      <x:c r="D23" t="n">
        <x:f>'Phase Summary'!D13</x:f>
        <x:v>0</x:v>
      </x:c>
      <x:c r="E23" t="n">
        <x:f>'Phase Summary'!E13</x:f>
        <x:v>0</x:v>
      </x:c>
      <x:c r="F23" t="n">
        <x:f>'Phase Summary'!F13</x:f>
        <x:v>0</x:v>
      </x:c>
      <x:c r="G23" t="n">
        <x:f>'Phase Summary'!G13</x:f>
        <x:v>0</x:v>
      </x:c>
      <x:c r="H23" s="6" t="n">
        <x:f>'Phase Summary'!H13</x:f>
        <x:v>0</x:v>
      </x:c>
    </x:row>
  </x:sheetData>
  <x:mergeCells>
    <x:mergeCell ref="A1:H1"/>
  </x:mergeCells>
  <x:conditionalFormatting sqref="H12:H23">
    <x:cfRule type="dataBar" priority="1">
      <x:dataBar>
        <x:cfvo type="min"/>
        <x:cfvo type="max"/>
        <x:color rgb="FF2563EB"/>
      </x:dataBar>
    </x:cfRule>
    <x:cfRule type="dataBar" priority="2">
      <x:dataBar>
        <x:cfvo type="min"/>
        <x:cfvo type="max"/>
        <x:color rgb="FF2563EB"/>
      </x:dataBar>
    </x:cfRule>
    <x:cfRule type="dataBar" priority="3">
      <x:dataBar>
        <x:cfvo type="min"/>
        <x:cfvo type="max"/>
        <x:color rgb="FF2563EB"/>
      </x:dataBar>
    </x:cfRule>
    <x:cfRule type="dataBar" priority="4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E5D2A047-4238-8741-E2B3-85669B88D1C8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H12:H23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5.296875" style="9" customWidth="1"/>
    <x:col min="2" max="2" width="36.8984375" style="9" customWidth="1"/>
    <x:col min="3" max="3" width="32" style="9" customWidth="1"/>
    <x:col min="4" max="4" width="16" style="9" customWidth="1"/>
    <x:col min="5" max="5" width="65" style="9" customWidth="1"/>
    <x:col min="6" max="6" width="14" style="9" customWidth="1"/>
    <x:col min="7" max="8" width="12" style="9" customWidth="1"/>
    <x:col min="9" max="9" width="16" style="9" customWidth="1"/>
    <x:col min="10" max="10" width="14" style="9" customWidth="1"/>
    <x:col min="11" max="12" width="24" style="9" customWidth="1"/>
    <x:col min="13" max="13" width="10" style="9" customWidth="1"/>
    <x:col min="14" max="16384" width="8.796875" style="9" customWidth="0"/>
  </x:cols>
  <x:sheetData>
    <x:row r="1">
      <x:c r="A1" s="4" t="s">
        <x:v>38</x:v>
      </x:c>
      <x:c r="B1" s="4" t="s">
        <x:v>22</x:v>
      </x:c>
      <x:c r="C1" s="4" t="s">
        <x:v>39</x:v>
      </x:c>
      <x:c r="D1" s="4" t="s">
        <x:v>40</x:v>
      </x:c>
      <x:c r="E1" s="4" t="s">
        <x:v>41</x:v>
      </x:c>
      <x:c r="F1" s="4" t="s">
        <x:v>42</x:v>
      </x:c>
      <x:c r="G1" s="4" t="s">
        <x:v>43</x:v>
      </x:c>
      <x:c r="H1" s="4" t="s">
        <x:v>44</x:v>
      </x:c>
      <x:c r="I1" s="4" t="s">
        <x:v>45</x:v>
      </x:c>
      <x:c r="J1" s="4" t="s">
        <x:v>46</x:v>
      </x:c>
      <x:c r="K1" s="4" t="s">
        <x:v>47</x:v>
      </x:c>
      <x:c r="L1" s="4" t="s">
        <x:v>48</x:v>
      </x:c>
      <x:c r="M1" s="4" t="s">
        <x:v>49</x:v>
      </x:c>
    </x:row>
    <x:row r="2" ht="27.600000381469727">
      <x:c r="A2" s="10">
        <x:v>1</x:v>
      </x:c>
      <x:c r="B2" s="10" t="s">
        <x:v>26</x:v>
      </x:c>
      <x:c r="C2" s="10" t="s">
        <x:v>26</x:v>
      </x:c>
      <x:c r="D2" s="10" t="s">
        <x:v>50</x:v>
      </x:c>
      <x:c r="E2" s="10" t="s">
        <x:v>51</x:v>
      </x:c>
      <x:c r="F2" s="10" t="s">
        <x:v>9</x:v>
      </x:c>
      <x:c r="G2" s="10" t="s">
        <x:v>52</x:v>
      </x:c>
      <x:c r="H2" s="10" t="s">
        <x:v>53</x:v>
      </x:c>
      <x:c r="I2" s="10"/>
      <x:c r="J2" s="10"/>
      <x:c r="K2" s="10"/>
      <x:c r="L2" s="10"/>
      <x:c r="M2" s="10" t="n">
        <x:f t="shared" ref="M2:M65" si="0">IF(F2="Hoàn thành",1,0)</x:f>
        <x:v>1</x:v>
      </x:c>
    </x:row>
    <x:row r="3">
      <x:c r="A3" s="10">
        <x:v>2</x:v>
      </x:c>
      <x:c r="B3" s="10" t="s">
        <x:v>26</x:v>
      </x:c>
      <x:c r="C3" s="10" t="s">
        <x:v>26</x:v>
      </x:c>
      <x:c r="D3" s="10" t="s">
        <x:v>50</x:v>
      </x:c>
      <x:c r="E3" s="10" t="s">
        <x:v>54</x:v>
      </x:c>
      <x:c r="F3" s="10" t="s">
        <x:v>9</x:v>
      </x:c>
      <x:c r="G3" s="10" t="s">
        <x:v>52</x:v>
      </x:c>
      <x:c r="H3" s="10" t="s">
        <x:v>53</x:v>
      </x:c>
      <x:c r="I3" s="10"/>
      <x:c r="J3" s="10"/>
      <x:c r="K3" s="10"/>
      <x:c r="L3" s="10"/>
      <x:c r="M3" s="10">
        <x:f t="shared" si="0"/>
        <x:v>1</x:v>
      </x:c>
    </x:row>
    <x:row r="4" ht="27.600000381469727">
      <x:c r="A4" s="10">
        <x:v>3</x:v>
      </x:c>
      <x:c r="B4" s="10" t="s">
        <x:v>26</x:v>
      </x:c>
      <x:c r="C4" s="10" t="s">
        <x:v>26</x:v>
      </x:c>
      <x:c r="D4" s="10" t="s">
        <x:v>50</x:v>
      </x:c>
      <x:c r="E4" s="10" t="s">
        <x:v>55</x:v>
      </x:c>
      <x:c r="F4" s="10" t="s">
        <x:v>9</x:v>
      </x:c>
      <x:c r="G4" s="10" t="s">
        <x:v>52</x:v>
      </x:c>
      <x:c r="H4" s="10" t="s">
        <x:v>53</x:v>
      </x:c>
      <x:c r="I4" s="10"/>
      <x:c r="J4" s="10"/>
      <x:c r="K4" s="10"/>
      <x:c r="L4" s="10"/>
      <x:c r="M4" s="10">
        <x:f t="shared" si="0"/>
        <x:v>1</x:v>
      </x:c>
    </x:row>
    <x:row r="5">
      <x:c r="A5" s="10">
        <x:v>4</x:v>
      </x:c>
      <x:c r="B5" s="10" t="s">
        <x:v>26</x:v>
      </x:c>
      <x:c r="C5" s="10" t="s">
        <x:v>26</x:v>
      </x:c>
      <x:c r="D5" s="10" t="s">
        <x:v>50</x:v>
      </x:c>
      <x:c r="E5" s="10" t="s">
        <x:v>56</x:v>
      </x:c>
      <x:c r="F5" s="10" t="s">
        <x:v>9</x:v>
      </x:c>
      <x:c r="G5" s="10" t="s">
        <x:v>52</x:v>
      </x:c>
      <x:c r="H5" s="10" t="s">
        <x:v>53</x:v>
      </x:c>
      <x:c r="I5" s="10"/>
      <x:c r="J5" s="10"/>
      <x:c r="K5" s="10"/>
      <x:c r="L5" s="10"/>
      <x:c r="M5" s="10">
        <x:f t="shared" si="0"/>
        <x:v>1</x:v>
      </x:c>
    </x:row>
    <x:row r="6" ht="27.600000381469727">
      <x:c r="A6" s="10">
        <x:v>5</x:v>
      </x:c>
      <x:c r="B6" s="10" t="s">
        <x:v>26</x:v>
      </x:c>
      <x:c r="C6" s="10" t="s">
        <x:v>26</x:v>
      </x:c>
      <x:c r="D6" s="10" t="s">
        <x:v>50</x:v>
      </x:c>
      <x:c r="E6" s="10" t="s">
        <x:v>57</x:v>
      </x:c>
      <x:c r="F6" s="10" t="s">
        <x:v>9</x:v>
      </x:c>
      <x:c r="G6" s="10" t="s">
        <x:v>52</x:v>
      </x:c>
      <x:c r="H6" s="10" t="s">
        <x:v>53</x:v>
      </x:c>
      <x:c r="I6" s="10"/>
      <x:c r="J6" s="10"/>
      <x:c r="K6" s="10"/>
      <x:c r="L6" s="10"/>
      <x:c r="M6" s="10">
        <x:f t="shared" si="0"/>
        <x:v>1</x:v>
      </x:c>
    </x:row>
    <x:row r="7" ht="27.600000381469727">
      <x:c r="A7" s="10">
        <x:v>6</x:v>
      </x:c>
      <x:c r="B7" s="10" t="s">
        <x:v>26</x:v>
      </x:c>
      <x:c r="C7" s="10" t="s">
        <x:v>26</x:v>
      </x:c>
      <x:c r="D7" s="10" t="s">
        <x:v>50</x:v>
      </x:c>
      <x:c r="E7" s="10" t="s">
        <x:v>58</x:v>
      </x:c>
      <x:c r="F7" s="10" t="s">
        <x:v>9</x:v>
      </x:c>
      <x:c r="G7" s="10" t="s">
        <x:v>52</x:v>
      </x:c>
      <x:c r="H7" s="10" t="s">
        <x:v>53</x:v>
      </x:c>
      <x:c r="I7" s="10"/>
      <x:c r="J7" s="10"/>
      <x:c r="K7" s="10"/>
      <x:c r="L7" s="10"/>
      <x:c r="M7" s="10">
        <x:f t="shared" si="0"/>
        <x:v>1</x:v>
      </x:c>
    </x:row>
    <x:row r="8" ht="27.600000381469727">
      <x:c r="A8" s="10">
        <x:v>7</x:v>
      </x:c>
      <x:c r="B8" s="10" t="s">
        <x:v>26</x:v>
      </x:c>
      <x:c r="C8" s="10" t="s">
        <x:v>26</x:v>
      </x:c>
      <x:c r="D8" s="10" t="s">
        <x:v>50</x:v>
      </x:c>
      <x:c r="E8" s="10" t="s">
        <x:v>59</x:v>
      </x:c>
      <x:c r="F8" s="10" t="s">
        <x:v>9</x:v>
      </x:c>
      <x:c r="G8" s="10" t="s">
        <x:v>52</x:v>
      </x:c>
      <x:c r="H8" s="10" t="s">
        <x:v>53</x:v>
      </x:c>
      <x:c r="I8" s="10"/>
      <x:c r="J8" s="10"/>
      <x:c r="K8" s="10"/>
      <x:c r="L8" s="10"/>
      <x:c r="M8" s="10">
        <x:f t="shared" si="0"/>
        <x:v>1</x:v>
      </x:c>
    </x:row>
    <x:row r="9" ht="27.600000381469727">
      <x:c r="A9" s="10">
        <x:v>8</x:v>
      </x:c>
      <x:c r="B9" s="10" t="s">
        <x:v>26</x:v>
      </x:c>
      <x:c r="C9" s="10" t="s">
        <x:v>26</x:v>
      </x:c>
      <x:c r="D9" s="10" t="s">
        <x:v>50</x:v>
      </x:c>
      <x:c r="E9" s="10" t="s">
        <x:v>60</x:v>
      </x:c>
      <x:c r="F9" s="10" t="s">
        <x:v>9</x:v>
      </x:c>
      <x:c r="G9" s="10" t="s">
        <x:v>52</x:v>
      </x:c>
      <x:c r="H9" s="10" t="s">
        <x:v>53</x:v>
      </x:c>
      <x:c r="I9" s="10"/>
      <x:c r="J9" s="10"/>
      <x:c r="K9" s="10"/>
      <x:c r="L9" s="10"/>
      <x:c r="M9" s="10">
        <x:f t="shared" si="0"/>
        <x:v>1</x:v>
      </x:c>
    </x:row>
    <x:row r="10">
      <x:c r="A10" s="10">
        <x:v>9</x:v>
      </x:c>
      <x:c r="B10" s="10" t="s">
        <x:v>27</x:v>
      </x:c>
      <x:c r="C10" s="10" t="s">
        <x:v>61</x:v>
      </x:c>
      <x:c r="D10" s="10" t="s">
        <x:v>62</x:v>
      </x:c>
      <x:c r="E10" s="10" t="s">
        <x:v>63</x:v>
      </x:c>
      <x:c r="F10" s="10" t="s">
        <x:v>9</x:v>
      </x:c>
      <x:c r="G10" s="10" t="s">
        <x:v>64</x:v>
      </x:c>
      <x:c r="H10" s="10" t="s">
        <x:v>64</x:v>
      </x:c>
      <x:c r="I10" s="10"/>
      <x:c r="J10" s="10"/>
      <x:c r="K10" s="10"/>
      <x:c r="L10" s="10"/>
      <x:c r="M10" s="10">
        <x:f t="shared" si="0"/>
        <x:v>1</x:v>
      </x:c>
    </x:row>
    <x:row r="11" ht="27.600000381469727">
      <x:c r="A11" s="10">
        <x:v>10</x:v>
      </x:c>
      <x:c r="B11" s="10" t="s">
        <x:v>27</x:v>
      </x:c>
      <x:c r="C11" s="10" t="s">
        <x:v>61</x:v>
      </x:c>
      <x:c r="D11" s="10" t="s">
        <x:v>62</x:v>
      </x:c>
      <x:c r="E11" s="10" t="s">
        <x:v>65</x:v>
      </x:c>
      <x:c r="F11" s="10" t="s">
        <x:v>9</x:v>
      </x:c>
      <x:c r="G11" s="10" t="s">
        <x:v>64</x:v>
      </x:c>
      <x:c r="H11" s="10" t="s">
        <x:v>64</x:v>
      </x:c>
      <x:c r="I11" s="10"/>
      <x:c r="J11" s="10"/>
      <x:c r="K11" s="10"/>
      <x:c r="L11" s="10"/>
      <x:c r="M11" s="10">
        <x:f t="shared" si="0"/>
        <x:v>1</x:v>
      </x:c>
    </x:row>
    <x:row r="12" ht="27.600000381469727">
      <x:c r="A12" s="10">
        <x:v>11</x:v>
      </x:c>
      <x:c r="B12" s="10" t="s">
        <x:v>27</x:v>
      </x:c>
      <x:c r="C12" s="10" t="s">
        <x:v>61</x:v>
      </x:c>
      <x:c r="D12" s="10" t="s">
        <x:v>62</x:v>
      </x:c>
      <x:c r="E12" s="10" t="s">
        <x:v>66</x:v>
      </x:c>
      <x:c r="F12" s="10" t="s">
        <x:v>9</x:v>
      </x:c>
      <x:c r="G12" s="10" t="s">
        <x:v>64</x:v>
      </x:c>
      <x:c r="H12" s="10" t="s">
        <x:v>64</x:v>
      </x:c>
      <x:c r="I12" s="10"/>
      <x:c r="J12" s="10"/>
      <x:c r="K12" s="10"/>
      <x:c r="L12" s="10"/>
      <x:c r="M12" s="10">
        <x:f t="shared" si="0"/>
        <x:v>1</x:v>
      </x:c>
    </x:row>
    <x:row r="13" ht="41.400001525878906">
      <x:c r="A13" s="10">
        <x:v>12</x:v>
      </x:c>
      <x:c r="B13" s="10" t="s">
        <x:v>27</x:v>
      </x:c>
      <x:c r="C13" s="10" t="s">
        <x:v>61</x:v>
      </x:c>
      <x:c r="D13" s="10" t="s">
        <x:v>62</x:v>
      </x:c>
      <x:c r="E13" s="10" t="s">
        <x:v>67</x:v>
      </x:c>
      <x:c r="F13" s="10" t="s">
        <x:v>9</x:v>
      </x:c>
      <x:c r="G13" s="10" t="s">
        <x:v>64</x:v>
      </x:c>
      <x:c r="H13" s="10" t="s">
        <x:v>64</x:v>
      </x:c>
      <x:c r="I13" s="10"/>
      <x:c r="J13" s="10"/>
      <x:c r="K13" s="10"/>
      <x:c r="L13" s="10"/>
      <x:c r="M13" s="10">
        <x:f t="shared" si="0"/>
        <x:v>1</x:v>
      </x:c>
    </x:row>
    <x:row r="14" ht="27.600000381469727">
      <x:c r="A14" s="10">
        <x:v>13</x:v>
      </x:c>
      <x:c r="B14" s="10" t="s">
        <x:v>27</x:v>
      </x:c>
      <x:c r="C14" s="10" t="s">
        <x:v>61</x:v>
      </x:c>
      <x:c r="D14" s="10" t="s">
        <x:v>62</x:v>
      </x:c>
      <x:c r="E14" s="10" t="s">
        <x:v>68</x:v>
      </x:c>
      <x:c r="F14" s="10" t="s">
        <x:v>9</x:v>
      </x:c>
      <x:c r="G14" s="10" t="s">
        <x:v>64</x:v>
      </x:c>
      <x:c r="H14" s="10" t="s">
        <x:v>64</x:v>
      </x:c>
      <x:c r="I14" s="10"/>
      <x:c r="J14" s="10"/>
      <x:c r="K14" s="10"/>
      <x:c r="L14" s="10"/>
      <x:c r="M14" s="10">
        <x:f t="shared" si="0"/>
        <x:v>1</x:v>
      </x:c>
    </x:row>
    <x:row r="15">
      <x:c r="A15" s="10">
        <x:v>14</x:v>
      </x:c>
      <x:c r="B15" s="10" t="s">
        <x:v>27</x:v>
      </x:c>
      <x:c r="C15" s="10" t="s">
        <x:v>69</x:v>
      </x:c>
      <x:c r="D15" s="10" t="s">
        <x:v>62</x:v>
      </x:c>
      <x:c r="E15" s="10" t="s">
        <x:v>70</x:v>
      </x:c>
      <x:c r="F15" s="10" t="s">
        <x:v>9</x:v>
      </x:c>
      <x:c r="G15" s="10" t="s">
        <x:v>64</x:v>
      </x:c>
      <x:c r="H15" s="10" t="s">
        <x:v>64</x:v>
      </x:c>
      <x:c r="I15" s="10"/>
      <x:c r="J15" s="10"/>
      <x:c r="K15" s="10"/>
      <x:c r="L15" s="10"/>
      <x:c r="M15" s="10">
        <x:f t="shared" si="0"/>
        <x:v>1</x:v>
      </x:c>
    </x:row>
    <x:row r="16">
      <x:c r="A16" s="10">
        <x:v>15</x:v>
      </x:c>
      <x:c r="B16" s="10" t="s">
        <x:v>27</x:v>
      </x:c>
      <x:c r="C16" s="10" t="s">
        <x:v>69</x:v>
      </x:c>
      <x:c r="D16" s="10" t="s">
        <x:v>62</x:v>
      </x:c>
      <x:c r="E16" s="10" t="s">
        <x:v>71</x:v>
      </x:c>
      <x:c r="F16" s="10" t="s">
        <x:v>9</x:v>
      </x:c>
      <x:c r="G16" s="10" t="s">
        <x:v>64</x:v>
      </x:c>
      <x:c r="H16" s="10" t="s">
        <x:v>64</x:v>
      </x:c>
      <x:c r="I16" s="10"/>
      <x:c r="J16" s="10"/>
      <x:c r="K16" s="10"/>
      <x:c r="L16" s="10"/>
      <x:c r="M16" s="10">
        <x:f t="shared" si="0"/>
        <x:v>1</x:v>
      </x:c>
    </x:row>
    <x:row r="17" ht="27.600000381469727">
      <x:c r="A17" s="10">
        <x:v>16</x:v>
      </x:c>
      <x:c r="B17" s="10" t="s">
        <x:v>27</x:v>
      </x:c>
      <x:c r="C17" s="10" t="s">
        <x:v>69</x:v>
      </x:c>
      <x:c r="D17" s="10" t="s">
        <x:v>62</x:v>
      </x:c>
      <x:c r="E17" s="10" t="s">
        <x:v>72</x:v>
      </x:c>
      <x:c r="F17" s="10" t="s">
        <x:v>3</x:v>
      </x:c>
      <x:c r="G17" s="10" t="s">
        <x:v>64</x:v>
      </x:c>
      <x:c r="H17" s="10" t="s">
        <x:v>64</x:v>
      </x:c>
      <x:c r="I17" s="10"/>
      <x:c r="J17" s="10"/>
      <x:c r="K17" s="10"/>
      <x:c r="L17" s="10"/>
      <x:c r="M17" s="10">
        <x:f t="shared" si="0"/>
        <x:v>0</x:v>
      </x:c>
    </x:row>
    <x:row r="18">
      <x:c r="A18" s="10">
        <x:v>17</x:v>
      </x:c>
      <x:c r="B18" s="10" t="s">
        <x:v>27</x:v>
      </x:c>
      <x:c r="C18" s="10" t="s">
        <x:v>69</x:v>
      </x:c>
      <x:c r="D18" s="10" t="s">
        <x:v>62</x:v>
      </x:c>
      <x:c r="E18" s="10" t="s">
        <x:v>73</x:v>
      </x:c>
      <x:c r="F18" s="10" t="s">
        <x:v>9</x:v>
      </x:c>
      <x:c r="G18" s="10" t="s">
        <x:v>64</x:v>
      </x:c>
      <x:c r="H18" s="10" t="s">
        <x:v>64</x:v>
      </x:c>
      <x:c r="I18" s="10"/>
      <x:c r="J18" s="10"/>
      <x:c r="K18" s="10"/>
      <x:c r="L18" s="10"/>
      <x:c r="M18" s="10">
        <x:f t="shared" si="0"/>
        <x:v>1</x:v>
      </x:c>
    </x:row>
    <x:row r="19">
      <x:c r="A19" s="10">
        <x:v>18</x:v>
      </x:c>
      <x:c r="B19" s="10" t="s">
        <x:v>27</x:v>
      </x:c>
      <x:c r="C19" s="10" t="s">
        <x:v>69</x:v>
      </x:c>
      <x:c r="D19" s="10" t="s">
        <x:v>62</x:v>
      </x:c>
      <x:c r="E19" s="10" t="s">
        <x:v>74</x:v>
      </x:c>
      <x:c r="F19" s="10" t="s">
        <x:v>9</x:v>
      </x:c>
      <x:c r="G19" s="10" t="s">
        <x:v>52</x:v>
      </x:c>
      <x:c r="H19" s="10" t="s">
        <x:v>64</x:v>
      </x:c>
      <x:c r="I19" s="10"/>
      <x:c r="J19" s="10"/>
      <x:c r="K19" s="10"/>
      <x:c r="L19" s="10"/>
      <x:c r="M19" s="10">
        <x:f t="shared" si="0"/>
        <x:v>1</x:v>
      </x:c>
    </x:row>
    <x:row r="20" ht="27.600000381469727">
      <x:c r="A20" s="10">
        <x:v>19</x:v>
      </x:c>
      <x:c r="B20" s="10" t="s">
        <x:v>27</x:v>
      </x:c>
      <x:c r="C20" s="10" t="s">
        <x:v>69</x:v>
      </x:c>
      <x:c r="D20" s="10" t="s">
        <x:v>62</x:v>
      </x:c>
      <x:c r="E20" s="10" t="s">
        <x:v>75</x:v>
      </x:c>
      <x:c r="F20" s="10" t="s">
        <x:v>9</x:v>
      </x:c>
      <x:c r="G20" s="10" t="s">
        <x:v>64</x:v>
      </x:c>
      <x:c r="H20" s="10" t="s">
        <x:v>64</x:v>
      </x:c>
      <x:c r="I20" s="10"/>
      <x:c r="J20" s="10"/>
      <x:c r="K20" s="10"/>
      <x:c r="L20" s="10"/>
      <x:c r="M20" s="10">
        <x:f t="shared" si="0"/>
        <x:v>1</x:v>
      </x:c>
    </x:row>
    <x:row r="21" ht="27.600000381469727">
      <x:c r="A21" s="10">
        <x:v>20</x:v>
      </x:c>
      <x:c r="B21" s="10" t="s">
        <x:v>27</x:v>
      </x:c>
      <x:c r="C21" s="10" t="s">
        <x:v>69</x:v>
      </x:c>
      <x:c r="D21" s="10" t="s">
        <x:v>62</x:v>
      </x:c>
      <x:c r="E21" s="10" t="s">
        <x:v>76</x:v>
      </x:c>
      <x:c r="F21" s="10" t="s">
        <x:v>9</x:v>
      </x:c>
      <x:c r="G21" s="10" t="s">
        <x:v>52</x:v>
      </x:c>
      <x:c r="H21" s="10" t="s">
        <x:v>64</x:v>
      </x:c>
      <x:c r="I21" s="10"/>
      <x:c r="J21" s="10"/>
      <x:c r="K21" s="10"/>
      <x:c r="L21" s="10"/>
      <x:c r="M21" s="10">
        <x:f t="shared" si="0"/>
        <x:v>1</x:v>
      </x:c>
    </x:row>
    <x:row r="22">
      <x:c r="A22" s="10">
        <x:v>21</x:v>
      </x:c>
      <x:c r="B22" s="10" t="s">
        <x:v>27</x:v>
      </x:c>
      <x:c r="C22" s="10" t="s">
        <x:v>69</x:v>
      </x:c>
      <x:c r="D22" s="10" t="s">
        <x:v>62</x:v>
      </x:c>
      <x:c r="E22" s="10" t="s">
        <x:v>77</x:v>
      </x:c>
      <x:c r="F22" s="10" t="s">
        <x:v>9</x:v>
      </x:c>
      <x:c r="G22" s="10" t="s">
        <x:v>52</x:v>
      </x:c>
      <x:c r="H22" s="10" t="s">
        <x:v>64</x:v>
      </x:c>
      <x:c r="I22" s="10"/>
      <x:c r="J22" s="10"/>
      <x:c r="K22" s="10"/>
      <x:c r="L22" s="10"/>
      <x:c r="M22" s="10">
        <x:f t="shared" si="0"/>
        <x:v>1</x:v>
      </x:c>
    </x:row>
    <x:row r="23">
      <x:c r="A23" s="10">
        <x:v>22</x:v>
      </x:c>
      <x:c r="B23" s="10" t="s">
        <x:v>27</x:v>
      </x:c>
      <x:c r="C23" s="10" t="s">
        <x:v>69</x:v>
      </x:c>
      <x:c r="D23" s="10" t="s">
        <x:v>78</x:v>
      </x:c>
      <x:c r="E23" s="10" t="s">
        <x:v>79</x:v>
      </x:c>
      <x:c r="F23" s="10" t="s">
        <x:v>9</x:v>
      </x:c>
      <x:c r="G23" s="10" t="s">
        <x:v>64</x:v>
      </x:c>
      <x:c r="H23" s="10" t="s">
        <x:v>64</x:v>
      </x:c>
      <x:c r="I23" s="10"/>
      <x:c r="J23" s="10"/>
      <x:c r="K23" s="10"/>
      <x:c r="L23" s="10"/>
      <x:c r="M23" s="10">
        <x:f t="shared" si="0"/>
        <x:v>1</x:v>
      </x:c>
    </x:row>
    <x:row r="24">
      <x:c r="A24" s="10">
        <x:v>23</x:v>
      </x:c>
      <x:c r="B24" s="10" t="s">
        <x:v>27</x:v>
      </x:c>
      <x:c r="C24" s="10" t="s">
        <x:v>69</x:v>
      </x:c>
      <x:c r="D24" s="10" t="s">
        <x:v>78</x:v>
      </x:c>
      <x:c r="E24" s="10" t="s">
        <x:v>80</x:v>
      </x:c>
      <x:c r="F24" s="10" t="s">
        <x:v>9</x:v>
      </x:c>
      <x:c r="G24" s="10" t="s">
        <x:v>64</x:v>
      </x:c>
      <x:c r="H24" s="10" t="s">
        <x:v>64</x:v>
      </x:c>
      <x:c r="I24" s="10"/>
      <x:c r="J24" s="10"/>
      <x:c r="K24" s="10"/>
      <x:c r="L24" s="10"/>
      <x:c r="M24" s="10">
        <x:f t="shared" si="0"/>
        <x:v>1</x:v>
      </x:c>
    </x:row>
    <x:row r="25">
      <x:c r="A25" s="10">
        <x:v>24</x:v>
      </x:c>
      <x:c r="B25" s="10" t="s">
        <x:v>27</x:v>
      </x:c>
      <x:c r="C25" s="10" t="s">
        <x:v>69</x:v>
      </x:c>
      <x:c r="D25" s="10" t="s">
        <x:v>78</x:v>
      </x:c>
      <x:c r="E25" s="10" t="s">
        <x:v>81</x:v>
      </x:c>
      <x:c r="F25" s="10" t="s">
        <x:v>9</x:v>
      </x:c>
      <x:c r="G25" s="10" t="s">
        <x:v>64</x:v>
      </x:c>
      <x:c r="H25" s="10" t="s">
        <x:v>64</x:v>
      </x:c>
      <x:c r="I25" s="10"/>
      <x:c r="J25" s="10"/>
      <x:c r="K25" s="10"/>
      <x:c r="L25" s="10"/>
      <x:c r="M25" s="10">
        <x:f t="shared" si="0"/>
        <x:v>1</x:v>
      </x:c>
    </x:row>
    <x:row r="26">
      <x:c r="A26" s="10">
        <x:v>25</x:v>
      </x:c>
      <x:c r="B26" s="10" t="s">
        <x:v>27</x:v>
      </x:c>
      <x:c r="C26" s="10" t="s">
        <x:v>69</x:v>
      </x:c>
      <x:c r="D26" s="10" t="s">
        <x:v>78</x:v>
      </x:c>
      <x:c r="E26" s="10" t="s">
        <x:v>82</x:v>
      </x:c>
      <x:c r="F26" s="10" t="s">
        <x:v>9</x:v>
      </x:c>
      <x:c r="G26" s="10" t="s">
        <x:v>64</x:v>
      </x:c>
      <x:c r="H26" s="10" t="s">
        <x:v>64</x:v>
      </x:c>
      <x:c r="I26" s="10"/>
      <x:c r="J26" s="10"/>
      <x:c r="K26" s="10"/>
      <x:c r="L26" s="10"/>
      <x:c r="M26" s="10">
        <x:f t="shared" si="0"/>
        <x:v>1</x:v>
      </x:c>
    </x:row>
    <x:row r="27">
      <x:c r="A27" s="10">
        <x:v>26</x:v>
      </x:c>
      <x:c r="B27" s="10" t="s">
        <x:v>27</x:v>
      </x:c>
      <x:c r="C27" s="10" t="s">
        <x:v>69</x:v>
      </x:c>
      <x:c r="D27" s="10" t="s">
        <x:v>78</x:v>
      </x:c>
      <x:c r="E27" s="10" t="s">
        <x:v>83</x:v>
      </x:c>
      <x:c r="F27" s="10" t="s">
        <x:v>9</x:v>
      </x:c>
      <x:c r="G27" s="10" t="s">
        <x:v>64</x:v>
      </x:c>
      <x:c r="H27" s="10" t="s">
        <x:v>64</x:v>
      </x:c>
      <x:c r="I27" s="10"/>
      <x:c r="J27" s="10"/>
      <x:c r="K27" s="10"/>
      <x:c r="L27" s="10"/>
      <x:c r="M27" s="10">
        <x:f t="shared" si="0"/>
        <x:v>1</x:v>
      </x:c>
    </x:row>
    <x:row r="28">
      <x:c r="A28" s="10">
        <x:v>27</x:v>
      </x:c>
      <x:c r="B28" s="10" t="s">
        <x:v>27</x:v>
      </x:c>
      <x:c r="C28" s="10" t="s">
        <x:v>69</x:v>
      </x:c>
      <x:c r="D28" s="10" t="s">
        <x:v>84</x:v>
      </x:c>
      <x:c r="E28" s="10" t="s">
        <x:v>85</x:v>
      </x:c>
      <x:c r="F28" s="10" t="s">
        <x:v>3</x:v>
      </x:c>
      <x:c r="G28" s="10" t="s">
        <x:v>52</x:v>
      </x:c>
      <x:c r="H28" s="10" t="s">
        <x:v>64</x:v>
      </x:c>
      <x:c r="I28" s="10"/>
      <x:c r="J28" s="10"/>
      <x:c r="K28" s="10"/>
      <x:c r="L28" s="10"/>
      <x:c r="M28" s="10">
        <x:f t="shared" si="0"/>
        <x:v>0</x:v>
      </x:c>
    </x:row>
    <x:row r="29">
      <x:c r="A29" s="10">
        <x:v>28</x:v>
      </x:c>
      <x:c r="B29" s="10" t="s">
        <x:v>27</x:v>
      </x:c>
      <x:c r="C29" s="10" t="s">
        <x:v>69</x:v>
      </x:c>
      <x:c r="D29" s="10" t="s">
        <x:v>84</x:v>
      </x:c>
      <x:c r="E29" s="10" t="s">
        <x:v>86</x:v>
      </x:c>
      <x:c r="F29" s="10" t="s">
        <x:v>12</x:v>
      </x:c>
      <x:c r="G29" s="10" t="s">
        <x:v>52</x:v>
      </x:c>
      <x:c r="H29" s="10" t="s">
        <x:v>64</x:v>
      </x:c>
      <x:c r="I29" s="10"/>
      <x:c r="J29" s="10"/>
      <x:c r="K29" s="10"/>
      <x:c r="L29" s="10"/>
      <x:c r="M29" s="10">
        <x:f t="shared" si="0"/>
        <x:v>0</x:v>
      </x:c>
    </x:row>
    <x:row r="30">
      <x:c r="A30" s="10">
        <x:v>29</x:v>
      </x:c>
      <x:c r="B30" s="10" t="s">
        <x:v>27</x:v>
      </x:c>
      <x:c r="C30" s="10" t="s">
        <x:v>69</x:v>
      </x:c>
      <x:c r="D30" s="10" t="s">
        <x:v>84</x:v>
      </x:c>
      <x:c r="E30" s="10" t="s">
        <x:v>87</x:v>
      </x:c>
      <x:c r="F30" s="10" t="s">
        <x:v>12</x:v>
      </x:c>
      <x:c r="G30" s="10" t="s">
        <x:v>52</x:v>
      </x:c>
      <x:c r="H30" s="10" t="s">
        <x:v>64</x:v>
      </x:c>
      <x:c r="I30" s="10"/>
      <x:c r="J30" s="10"/>
      <x:c r="K30" s="10"/>
      <x:c r="L30" s="10"/>
      <x:c r="M30" s="10">
        <x:f t="shared" si="0"/>
        <x:v>0</x:v>
      </x:c>
    </x:row>
    <x:row r="31">
      <x:c r="A31" s="10">
        <x:v>30</x:v>
      </x:c>
      <x:c r="B31" s="10" t="s">
        <x:v>27</x:v>
      </x:c>
      <x:c r="C31" s="10" t="s">
        <x:v>69</x:v>
      </x:c>
      <x:c r="D31" s="10" t="s">
        <x:v>84</x:v>
      </x:c>
      <x:c r="E31" s="10" t="s">
        <x:v>88</x:v>
      </x:c>
      <x:c r="F31" s="10" t="s">
        <x:v>9</x:v>
      </x:c>
      <x:c r="G31" s="10" t="s">
        <x:v>52</x:v>
      </x:c>
      <x:c r="H31" s="10" t="s">
        <x:v>64</x:v>
      </x:c>
      <x:c r="I31" s="10"/>
      <x:c r="J31" s="10"/>
      <x:c r="K31" s="10"/>
      <x:c r="L31" s="10"/>
      <x:c r="M31" s="10">
        <x:f t="shared" si="0"/>
        <x:v>1</x:v>
      </x:c>
    </x:row>
    <x:row r="32">
      <x:c r="A32" s="10">
        <x:v>31</x:v>
      </x:c>
      <x:c r="B32" s="10" t="s">
        <x:v>27</x:v>
      </x:c>
      <x:c r="C32" s="10" t="s">
        <x:v>69</x:v>
      </x:c>
      <x:c r="D32" s="10" t="s">
        <x:v>84</x:v>
      </x:c>
      <x:c r="E32" s="10" t="s">
        <x:v>89</x:v>
      </x:c>
      <x:c r="F32" s="10" t="s">
        <x:v>9</x:v>
      </x:c>
      <x:c r="G32" s="10" t="s">
        <x:v>52</x:v>
      </x:c>
      <x:c r="H32" s="10" t="s">
        <x:v>64</x:v>
      </x:c>
      <x:c r="I32" s="10"/>
      <x:c r="J32" s="10"/>
      <x:c r="K32" s="10"/>
      <x:c r="L32" s="10"/>
      <x:c r="M32" s="10">
        <x:f t="shared" si="0"/>
        <x:v>1</x:v>
      </x:c>
    </x:row>
    <x:row r="33" ht="27.600000381469727">
      <x:c r="A33" s="10">
        <x:v>32</x:v>
      </x:c>
      <x:c r="B33" s="10" t="s">
        <x:v>28</x:v>
      </x:c>
      <x:c r="C33" s="10" t="s">
        <x:v>90</x:v>
      </x:c>
      <x:c r="D33" s="10" t="s">
        <x:v>62</x:v>
      </x:c>
      <x:c r="E33" s="10" t="s">
        <x:v>91</x:v>
      </x:c>
      <x:c r="F33" s="10" t="s">
        <x:v>9</x:v>
      </x:c>
      <x:c r="G33" s="10" t="s">
        <x:v>64</x:v>
      </x:c>
      <x:c r="H33" s="10" t="s">
        <x:v>64</x:v>
      </x:c>
      <x:c r="I33" s="10"/>
      <x:c r="J33" s="10"/>
      <x:c r="K33" s="10"/>
      <x:c r="L33" s="10"/>
      <x:c r="M33" s="10">
        <x:f t="shared" si="0"/>
        <x:v>1</x:v>
      </x:c>
    </x:row>
    <x:row r="34" ht="27.600000381469727">
      <x:c r="A34" s="10">
        <x:v>33</x:v>
      </x:c>
      <x:c r="B34" s="10" t="s">
        <x:v>28</x:v>
      </x:c>
      <x:c r="C34" s="10" t="s">
        <x:v>90</x:v>
      </x:c>
      <x:c r="D34" s="10" t="s">
        <x:v>62</x:v>
      </x:c>
      <x:c r="E34" s="10" t="s">
        <x:v>92</x:v>
      </x:c>
      <x:c r="F34" s="10" t="s">
        <x:v>9</x:v>
      </x:c>
      <x:c r="G34" s="10" t="s">
        <x:v>64</x:v>
      </x:c>
      <x:c r="H34" s="10" t="s">
        <x:v>64</x:v>
      </x:c>
      <x:c r="I34" s="10"/>
      <x:c r="J34" s="10"/>
      <x:c r="K34" s="10"/>
      <x:c r="L34" s="10"/>
      <x:c r="M34" s="10">
        <x:f t="shared" si="0"/>
        <x:v>1</x:v>
      </x:c>
    </x:row>
    <x:row r="35" ht="27.600000381469727">
      <x:c r="A35" s="10">
        <x:v>34</x:v>
      </x:c>
      <x:c r="B35" s="10" t="s">
        <x:v>28</x:v>
      </x:c>
      <x:c r="C35" s="10" t="s">
        <x:v>90</x:v>
      </x:c>
      <x:c r="D35" s="10" t="s">
        <x:v>62</x:v>
      </x:c>
      <x:c r="E35" s="10" t="s">
        <x:v>93</x:v>
      </x:c>
      <x:c r="F35" s="10" t="s">
        <x:v>9</x:v>
      </x:c>
      <x:c r="G35" s="10" t="s">
        <x:v>64</x:v>
      </x:c>
      <x:c r="H35" s="10" t="s">
        <x:v>64</x:v>
      </x:c>
      <x:c r="I35" s="10"/>
      <x:c r="J35" s="10"/>
      <x:c r="K35" s="10"/>
      <x:c r="L35" s="10"/>
      <x:c r="M35" s="10">
        <x:f t="shared" si="0"/>
        <x:v>1</x:v>
      </x:c>
    </x:row>
    <x:row r="36" ht="27.600000381469727">
      <x:c r="A36" s="10">
        <x:v>35</x:v>
      </x:c>
      <x:c r="B36" s="10" t="s">
        <x:v>28</x:v>
      </x:c>
      <x:c r="C36" s="10" t="s">
        <x:v>90</x:v>
      </x:c>
      <x:c r="D36" s="10" t="s">
        <x:v>62</x:v>
      </x:c>
      <x:c r="E36" s="10" t="s">
        <x:v>94</x:v>
      </x:c>
      <x:c r="F36" s="10" t="s">
        <x:v>9</x:v>
      </x:c>
      <x:c r="G36" s="10" t="s">
        <x:v>64</x:v>
      </x:c>
      <x:c r="H36" s="10" t="s">
        <x:v>64</x:v>
      </x:c>
      <x:c r="I36" s="10"/>
      <x:c r="J36" s="10"/>
      <x:c r="K36" s="10"/>
      <x:c r="L36" s="10"/>
      <x:c r="M36" s="10">
        <x:f t="shared" si="0"/>
        <x:v>1</x:v>
      </x:c>
    </x:row>
    <x:row r="37" ht="27.600000381469727">
      <x:c r="A37" s="10">
        <x:v>36</x:v>
      </x:c>
      <x:c r="B37" s="10" t="s">
        <x:v>28</x:v>
      </x:c>
      <x:c r="C37" s="10" t="s">
        <x:v>90</x:v>
      </x:c>
      <x:c r="D37" s="10" t="s">
        <x:v>62</x:v>
      </x:c>
      <x:c r="E37" s="10" t="s">
        <x:v>95</x:v>
      </x:c>
      <x:c r="F37" s="10" t="s">
        <x:v>9</x:v>
      </x:c>
      <x:c r="G37" s="10" t="s">
        <x:v>64</x:v>
      </x:c>
      <x:c r="H37" s="10" t="s">
        <x:v>64</x:v>
      </x:c>
      <x:c r="I37" s="10"/>
      <x:c r="J37" s="10"/>
      <x:c r="K37" s="10"/>
      <x:c r="L37" s="10"/>
      <x:c r="M37" s="10">
        <x:f t="shared" si="0"/>
        <x:v>1</x:v>
      </x:c>
    </x:row>
    <x:row r="38" ht="27.600000381469727">
      <x:c r="A38" s="10">
        <x:v>37</x:v>
      </x:c>
      <x:c r="B38" s="10" t="s">
        <x:v>28</x:v>
      </x:c>
      <x:c r="C38" s="10" t="s">
        <x:v>90</x:v>
      </x:c>
      <x:c r="D38" s="10" t="s">
        <x:v>62</x:v>
      </x:c>
      <x:c r="E38" s="10" t="s">
        <x:v>96</x:v>
      </x:c>
      <x:c r="F38" s="10" t="s">
        <x:v>9</x:v>
      </x:c>
      <x:c r="G38" s="10" t="s">
        <x:v>64</x:v>
      </x:c>
      <x:c r="H38" s="10" t="s">
        <x:v>64</x:v>
      </x:c>
      <x:c r="I38" s="10"/>
      <x:c r="J38" s="10"/>
      <x:c r="K38" s="10"/>
      <x:c r="L38" s="10"/>
      <x:c r="M38" s="10">
        <x:f t="shared" si="0"/>
        <x:v>1</x:v>
      </x:c>
    </x:row>
    <x:row r="39" ht="27.600000381469727">
      <x:c r="A39" s="10">
        <x:v>38</x:v>
      </x:c>
      <x:c r="B39" s="10" t="s">
        <x:v>28</x:v>
      </x:c>
      <x:c r="C39" s="10" t="s">
        <x:v>90</x:v>
      </x:c>
      <x:c r="D39" s="10" t="s">
        <x:v>62</x:v>
      </x:c>
      <x:c r="E39" s="10" t="s">
        <x:v>97</x:v>
      </x:c>
      <x:c r="F39" s="10" t="s">
        <x:v>9</x:v>
      </x:c>
      <x:c r="G39" s="10" t="s">
        <x:v>64</x:v>
      </x:c>
      <x:c r="H39" s="10" t="s">
        <x:v>64</x:v>
      </x:c>
      <x:c r="I39" s="10"/>
      <x:c r="J39" s="10"/>
      <x:c r="K39" s="10"/>
      <x:c r="L39" s="10"/>
      <x:c r="M39" s="10">
        <x:f t="shared" si="0"/>
        <x:v>1</x:v>
      </x:c>
    </x:row>
    <x:row r="40" ht="27.600000381469727">
      <x:c r="A40" s="10">
        <x:v>39</x:v>
      </x:c>
      <x:c r="B40" s="10" t="s">
        <x:v>28</x:v>
      </x:c>
      <x:c r="C40" s="10" t="s">
        <x:v>90</x:v>
      </x:c>
      <x:c r="D40" s="10" t="s">
        <x:v>62</x:v>
      </x:c>
      <x:c r="E40" s="10" t="s">
        <x:v>98</x:v>
      </x:c>
      <x:c r="F40" s="10" t="s">
        <x:v>9</x:v>
      </x:c>
      <x:c r="G40" s="10" t="s">
        <x:v>64</x:v>
      </x:c>
      <x:c r="H40" s="10" t="s">
        <x:v>64</x:v>
      </x:c>
      <x:c r="I40" s="10"/>
      <x:c r="J40" s="10"/>
      <x:c r="K40" s="10"/>
      <x:c r="L40" s="10"/>
      <x:c r="M40" s="10">
        <x:f t="shared" si="0"/>
        <x:v>1</x:v>
      </x:c>
    </x:row>
    <x:row r="41" ht="27.600000381469727">
      <x:c r="A41" s="10">
        <x:v>40</x:v>
      </x:c>
      <x:c r="B41" s="10" t="s">
        <x:v>28</x:v>
      </x:c>
      <x:c r="C41" s="10" t="s">
        <x:v>90</x:v>
      </x:c>
      <x:c r="D41" s="10" t="s">
        <x:v>62</x:v>
      </x:c>
      <x:c r="E41" s="10" t="s">
        <x:v>99</x:v>
      </x:c>
      <x:c r="F41" s="10" t="s">
        <x:v>9</x:v>
      </x:c>
      <x:c r="G41" s="10" t="s">
        <x:v>64</x:v>
      </x:c>
      <x:c r="H41" s="10" t="s">
        <x:v>64</x:v>
      </x:c>
      <x:c r="I41" s="10"/>
      <x:c r="J41" s="10"/>
      <x:c r="K41" s="10"/>
      <x:c r="L41" s="10"/>
      <x:c r="M41" s="10">
        <x:f t="shared" si="0"/>
        <x:v>1</x:v>
      </x:c>
    </x:row>
    <x:row r="42" ht="27.600000381469727">
      <x:c r="A42" s="10">
        <x:v>41</x:v>
      </x:c>
      <x:c r="B42" s="10" t="s">
        <x:v>28</x:v>
      </x:c>
      <x:c r="C42" s="10" t="s">
        <x:v>90</x:v>
      </x:c>
      <x:c r="D42" s="10" t="s">
        <x:v>62</x:v>
      </x:c>
      <x:c r="E42" s="10" t="s">
        <x:v>100</x:v>
      </x:c>
      <x:c r="F42" s="10" t="s">
        <x:v>9</x:v>
      </x:c>
      <x:c r="G42" s="10" t="s">
        <x:v>64</x:v>
      </x:c>
      <x:c r="H42" s="10" t="s">
        <x:v>64</x:v>
      </x:c>
      <x:c r="I42" s="10"/>
      <x:c r="J42" s="10"/>
      <x:c r="K42" s="10"/>
      <x:c r="L42" s="10"/>
      <x:c r="M42" s="10">
        <x:f t="shared" si="0"/>
        <x:v>1</x:v>
      </x:c>
    </x:row>
    <x:row r="43" ht="27.600000381469727">
      <x:c r="A43" s="10">
        <x:v>42</x:v>
      </x:c>
      <x:c r="B43" s="10" t="s">
        <x:v>28</x:v>
      </x:c>
      <x:c r="C43" s="10" t="s">
        <x:v>90</x:v>
      </x:c>
      <x:c r="D43" s="10" t="s">
        <x:v>62</x:v>
      </x:c>
      <x:c r="E43" s="10" t="s">
        <x:v>101</x:v>
      </x:c>
      <x:c r="F43" s="10" t="s">
        <x:v>9</x:v>
      </x:c>
      <x:c r="G43" s="10" t="s">
        <x:v>64</x:v>
      </x:c>
      <x:c r="H43" s="10" t="s">
        <x:v>64</x:v>
      </x:c>
      <x:c r="I43" s="10"/>
      <x:c r="J43" s="10"/>
      <x:c r="K43" s="10"/>
      <x:c r="L43" s="10"/>
      <x:c r="M43" s="10">
        <x:f t="shared" si="0"/>
        <x:v>1</x:v>
      </x:c>
    </x:row>
    <x:row r="44" ht="27.600000381469727">
      <x:c r="A44" s="10">
        <x:v>43</x:v>
      </x:c>
      <x:c r="B44" s="10" t="s">
        <x:v>28</x:v>
      </x:c>
      <x:c r="C44" s="10" t="s">
        <x:v>90</x:v>
      </x:c>
      <x:c r="D44" s="10" t="s">
        <x:v>78</x:v>
      </x:c>
      <x:c r="E44" s="10" t="s">
        <x:v>102</x:v>
      </x:c>
      <x:c r="F44" s="10" t="s">
        <x:v>9</x:v>
      </x:c>
      <x:c r="G44" s="10" t="s">
        <x:v>64</x:v>
      </x:c>
      <x:c r="H44" s="10" t="s">
        <x:v>64</x:v>
      </x:c>
      <x:c r="I44" s="10"/>
      <x:c r="J44" s="10"/>
      <x:c r="K44" s="10"/>
      <x:c r="L44" s="10"/>
      <x:c r="M44" s="10">
        <x:f t="shared" si="0"/>
        <x:v>1</x:v>
      </x:c>
    </x:row>
    <x:row r="45" ht="27.600000381469727">
      <x:c r="A45" s="10">
        <x:v>44</x:v>
      </x:c>
      <x:c r="B45" s="10" t="s">
        <x:v>28</x:v>
      </x:c>
      <x:c r="C45" s="10" t="s">
        <x:v>90</x:v>
      </x:c>
      <x:c r="D45" s="10" t="s">
        <x:v>78</x:v>
      </x:c>
      <x:c r="E45" s="10" t="s">
        <x:v>103</x:v>
      </x:c>
      <x:c r="F45" s="10" t="s">
        <x:v>9</x:v>
      </x:c>
      <x:c r="G45" s="10" t="s">
        <x:v>64</x:v>
      </x:c>
      <x:c r="H45" s="10" t="s">
        <x:v>64</x:v>
      </x:c>
      <x:c r="I45" s="10"/>
      <x:c r="J45" s="10"/>
      <x:c r="K45" s="10"/>
      <x:c r="L45" s="10"/>
      <x:c r="M45" s="10">
        <x:f t="shared" si="0"/>
        <x:v>1</x:v>
      </x:c>
    </x:row>
    <x:row r="46" ht="27.600000381469727">
      <x:c r="A46" s="10">
        <x:v>45</x:v>
      </x:c>
      <x:c r="B46" s="10" t="s">
        <x:v>28</x:v>
      </x:c>
      <x:c r="C46" s="10" t="s">
        <x:v>90</x:v>
      </x:c>
      <x:c r="D46" s="10" t="s">
        <x:v>84</x:v>
      </x:c>
      <x:c r="E46" s="10" t="s">
        <x:v>104</x:v>
      </x:c>
      <x:c r="F46" s="10" t="s">
        <x:v>9</x:v>
      </x:c>
      <x:c r="G46" s="10" t="s">
        <x:v>52</x:v>
      </x:c>
      <x:c r="H46" s="10" t="s">
        <x:v>64</x:v>
      </x:c>
      <x:c r="I46" s="10"/>
      <x:c r="J46" s="10"/>
      <x:c r="K46" s="10"/>
      <x:c r="L46" s="10"/>
      <x:c r="M46" s="10">
        <x:f t="shared" si="0"/>
        <x:v>1</x:v>
      </x:c>
    </x:row>
    <x:row r="47" ht="27.600000381469727">
      <x:c r="A47" s="10">
        <x:v>46</x:v>
      </x:c>
      <x:c r="B47" s="10" t="s">
        <x:v>28</x:v>
      </x:c>
      <x:c r="C47" s="10" t="s">
        <x:v>90</x:v>
      </x:c>
      <x:c r="D47" s="10" t="s">
        <x:v>84</x:v>
      </x:c>
      <x:c r="E47" s="10" t="s">
        <x:v>105</x:v>
      </x:c>
      <x:c r="F47" s="10" t="s">
        <x:v>9</x:v>
      </x:c>
      <x:c r="G47" s="10" t="s">
        <x:v>52</x:v>
      </x:c>
      <x:c r="H47" s="10" t="s">
        <x:v>64</x:v>
      </x:c>
      <x:c r="I47" s="10"/>
      <x:c r="J47" s="10"/>
      <x:c r="K47" s="10"/>
      <x:c r="L47" s="10"/>
      <x:c r="M47" s="10">
        <x:f t="shared" si="0"/>
        <x:v>1</x:v>
      </x:c>
    </x:row>
    <x:row r="48" ht="27.600000381469727">
      <x:c r="A48" s="10">
        <x:v>47</x:v>
      </x:c>
      <x:c r="B48" s="10" t="s">
        <x:v>28</x:v>
      </x:c>
      <x:c r="C48" s="10" t="s">
        <x:v>106</x:v>
      </x:c>
      <x:c r="D48" s="10" t="s">
        <x:v>62</x:v>
      </x:c>
      <x:c r="E48" s="10" t="s">
        <x:v>107</x:v>
      </x:c>
      <x:c r="F48" s="10" t="s">
        <x:v>9</x:v>
      </x:c>
      <x:c r="G48" s="10" t="s">
        <x:v>64</x:v>
      </x:c>
      <x:c r="H48" s="10" t="s">
        <x:v>64</x:v>
      </x:c>
      <x:c r="I48" s="10"/>
      <x:c r="J48" s="10"/>
      <x:c r="K48" s="10"/>
      <x:c r="L48" s="10"/>
      <x:c r="M48" s="10">
        <x:f t="shared" si="0"/>
        <x:v>1</x:v>
      </x:c>
    </x:row>
    <x:row r="49" ht="27.600000381469727">
      <x:c r="A49" s="10">
        <x:v>48</x:v>
      </x:c>
      <x:c r="B49" s="10" t="s">
        <x:v>28</x:v>
      </x:c>
      <x:c r="C49" s="10" t="s">
        <x:v>106</x:v>
      </x:c>
      <x:c r="D49" s="10" t="s">
        <x:v>62</x:v>
      </x:c>
      <x:c r="E49" s="10" t="s">
        <x:v>108</x:v>
      </x:c>
      <x:c r="F49" s="10" t="s">
        <x:v>9</x:v>
      </x:c>
      <x:c r="G49" s="10" t="s">
        <x:v>64</x:v>
      </x:c>
      <x:c r="H49" s="10" t="s">
        <x:v>64</x:v>
      </x:c>
      <x:c r="I49" s="10"/>
      <x:c r="J49" s="10"/>
      <x:c r="K49" s="10"/>
      <x:c r="L49" s="10"/>
      <x:c r="M49" s="10">
        <x:f t="shared" si="0"/>
        <x:v>1</x:v>
      </x:c>
    </x:row>
    <x:row r="50" ht="27.600000381469727">
      <x:c r="A50" s="10">
        <x:v>49</x:v>
      </x:c>
      <x:c r="B50" s="10" t="s">
        <x:v>28</x:v>
      </x:c>
      <x:c r="C50" s="10" t="s">
        <x:v>106</x:v>
      </x:c>
      <x:c r="D50" s="10" t="s">
        <x:v>62</x:v>
      </x:c>
      <x:c r="E50" s="10" t="s">
        <x:v>109</x:v>
      </x:c>
      <x:c r="F50" s="10" t="s">
        <x:v>9</x:v>
      </x:c>
      <x:c r="G50" s="10" t="s">
        <x:v>64</x:v>
      </x:c>
      <x:c r="H50" s="10" t="s">
        <x:v>64</x:v>
      </x:c>
      <x:c r="I50" s="10"/>
      <x:c r="J50" s="10"/>
      <x:c r="K50" s="10"/>
      <x:c r="L50" s="10"/>
      <x:c r="M50" s="10">
        <x:f t="shared" si="0"/>
        <x:v>1</x:v>
      </x:c>
    </x:row>
    <x:row r="51" ht="27.600000381469727">
      <x:c r="A51" s="10">
        <x:v>50</x:v>
      </x:c>
      <x:c r="B51" s="10" t="s">
        <x:v>28</x:v>
      </x:c>
      <x:c r="C51" s="10" t="s">
        <x:v>106</x:v>
      </x:c>
      <x:c r="D51" s="10" t="s">
        <x:v>62</x:v>
      </x:c>
      <x:c r="E51" s="10" t="s">
        <x:v>110</x:v>
      </x:c>
      <x:c r="F51" s="10" t="s">
        <x:v>9</x:v>
      </x:c>
      <x:c r="G51" s="10" t="s">
        <x:v>64</x:v>
      </x:c>
      <x:c r="H51" s="10" t="s">
        <x:v>64</x:v>
      </x:c>
      <x:c r="I51" s="10"/>
      <x:c r="J51" s="10"/>
      <x:c r="K51" s="10"/>
      <x:c r="L51" s="10"/>
      <x:c r="M51" s="10">
        <x:f t="shared" si="0"/>
        <x:v>1</x:v>
      </x:c>
    </x:row>
    <x:row r="52" ht="27.600000381469727">
      <x:c r="A52" s="10">
        <x:v>51</x:v>
      </x:c>
      <x:c r="B52" s="10" t="s">
        <x:v>28</x:v>
      </x:c>
      <x:c r="C52" s="10" t="s">
        <x:v>106</x:v>
      </x:c>
      <x:c r="D52" s="10" t="s">
        <x:v>62</x:v>
      </x:c>
      <x:c r="E52" s="10" t="s">
        <x:v>111</x:v>
      </x:c>
      <x:c r="F52" s="10" t="s">
        <x:v>9</x:v>
      </x:c>
      <x:c r="G52" s="10" t="s">
        <x:v>64</x:v>
      </x:c>
      <x:c r="H52" s="10" t="s">
        <x:v>64</x:v>
      </x:c>
      <x:c r="I52" s="10"/>
      <x:c r="J52" s="10"/>
      <x:c r="K52" s="10"/>
      <x:c r="L52" s="10"/>
      <x:c r="M52" s="10">
        <x:f t="shared" si="0"/>
        <x:v>1</x:v>
      </x:c>
    </x:row>
    <x:row r="53" ht="27.600000381469727">
      <x:c r="A53" s="10">
        <x:v>52</x:v>
      </x:c>
      <x:c r="B53" s="10" t="s">
        <x:v>28</x:v>
      </x:c>
      <x:c r="C53" s="10" t="s">
        <x:v>106</x:v>
      </x:c>
      <x:c r="D53" s="10" t="s">
        <x:v>62</x:v>
      </x:c>
      <x:c r="E53" s="10" t="s">
        <x:v>112</x:v>
      </x:c>
      <x:c r="F53" s="10" t="s">
        <x:v>9</x:v>
      </x:c>
      <x:c r="G53" s="10" t="s">
        <x:v>64</x:v>
      </x:c>
      <x:c r="H53" s="10" t="s">
        <x:v>64</x:v>
      </x:c>
      <x:c r="I53" s="10"/>
      <x:c r="J53" s="10"/>
      <x:c r="K53" s="10"/>
      <x:c r="L53" s="10"/>
      <x:c r="M53" s="10">
        <x:f t="shared" si="0"/>
        <x:v>1</x:v>
      </x:c>
    </x:row>
    <x:row r="54" ht="27.600000381469727">
      <x:c r="A54" s="10">
        <x:v>53</x:v>
      </x:c>
      <x:c r="B54" s="10" t="s">
        <x:v>28</x:v>
      </x:c>
      <x:c r="C54" s="10" t="s">
        <x:v>106</x:v>
      </x:c>
      <x:c r="D54" s="10" t="s">
        <x:v>62</x:v>
      </x:c>
      <x:c r="E54" s="10" t="s">
        <x:v>113</x:v>
      </x:c>
      <x:c r="F54" s="10" t="s">
        <x:v>9</x:v>
      </x:c>
      <x:c r="G54" s="10" t="s">
        <x:v>64</x:v>
      </x:c>
      <x:c r="H54" s="10" t="s">
        <x:v>64</x:v>
      </x:c>
      <x:c r="I54" s="10"/>
      <x:c r="J54" s="10"/>
      <x:c r="K54" s="10"/>
      <x:c r="L54" s="10"/>
      <x:c r="M54" s="10">
        <x:f t="shared" si="0"/>
        <x:v>1</x:v>
      </x:c>
    </x:row>
    <x:row r="55" ht="27.600000381469727">
      <x:c r="A55" s="10">
        <x:v>54</x:v>
      </x:c>
      <x:c r="B55" s="10" t="s">
        <x:v>28</x:v>
      </x:c>
      <x:c r="C55" s="10" t="s">
        <x:v>106</x:v>
      </x:c>
      <x:c r="D55" s="10" t="s">
        <x:v>78</x:v>
      </x:c>
      <x:c r="E55" s="10" t="s">
        <x:v>114</x:v>
      </x:c>
      <x:c r="F55" s="10" t="s">
        <x:v>9</x:v>
      </x:c>
      <x:c r="G55" s="10" t="s">
        <x:v>64</x:v>
      </x:c>
      <x:c r="H55" s="10" t="s">
        <x:v>64</x:v>
      </x:c>
      <x:c r="I55" s="10"/>
      <x:c r="J55" s="10"/>
      <x:c r="K55" s="10"/>
      <x:c r="L55" s="10"/>
      <x:c r="M55" s="10">
        <x:f t="shared" si="0"/>
        <x:v>1</x:v>
      </x:c>
    </x:row>
    <x:row r="56" ht="27.600000381469727">
      <x:c r="A56" s="10">
        <x:v>55</x:v>
      </x:c>
      <x:c r="B56" s="10" t="s">
        <x:v>28</x:v>
      </x:c>
      <x:c r="C56" s="10" t="s">
        <x:v>106</x:v>
      </x:c>
      <x:c r="D56" s="10" t="s">
        <x:v>78</x:v>
      </x:c>
      <x:c r="E56" s="10" t="s">
        <x:v>115</x:v>
      </x:c>
      <x:c r="F56" s="10" t="s">
        <x:v>9</x:v>
      </x:c>
      <x:c r="G56" s="10" t="s">
        <x:v>64</x:v>
      </x:c>
      <x:c r="H56" s="10" t="s">
        <x:v>64</x:v>
      </x:c>
      <x:c r="I56" s="10"/>
      <x:c r="J56" s="10"/>
      <x:c r="K56" s="10"/>
      <x:c r="L56" s="10"/>
      <x:c r="M56" s="10">
        <x:f t="shared" si="0"/>
        <x:v>1</x:v>
      </x:c>
    </x:row>
    <x:row r="57" ht="27.600000381469727">
      <x:c r="A57" s="10">
        <x:v>56</x:v>
      </x:c>
      <x:c r="B57" s="10" t="s">
        <x:v>28</x:v>
      </x:c>
      <x:c r="C57" s="10" t="s">
        <x:v>106</x:v>
      </x:c>
      <x:c r="D57" s="10" t="s">
        <x:v>78</x:v>
      </x:c>
      <x:c r="E57" s="10" t="s">
        <x:v>116</x:v>
      </x:c>
      <x:c r="F57" s="10" t="s">
        <x:v>9</x:v>
      </x:c>
      <x:c r="G57" s="10" t="s">
        <x:v>64</x:v>
      </x:c>
      <x:c r="H57" s="10" t="s">
        <x:v>64</x:v>
      </x:c>
      <x:c r="I57" s="10"/>
      <x:c r="J57" s="10"/>
      <x:c r="K57" s="10"/>
      <x:c r="L57" s="10"/>
      <x:c r="M57" s="10">
        <x:f t="shared" si="0"/>
        <x:v>1</x:v>
      </x:c>
    </x:row>
    <x:row r="58" ht="27.600000381469727">
      <x:c r="A58" s="10">
        <x:v>57</x:v>
      </x:c>
      <x:c r="B58" s="10" t="s">
        <x:v>28</x:v>
      </x:c>
      <x:c r="C58" s="10" t="s">
        <x:v>106</x:v>
      </x:c>
      <x:c r="D58" s="10" t="s">
        <x:v>84</x:v>
      </x:c>
      <x:c r="E58" s="10" t="s">
        <x:v>117</x:v>
      </x:c>
      <x:c r="F58" s="10" t="s">
        <x:v>9</x:v>
      </x:c>
      <x:c r="G58" s="10" t="s">
        <x:v>52</x:v>
      </x:c>
      <x:c r="H58" s="10" t="s">
        <x:v>64</x:v>
      </x:c>
      <x:c r="I58" s="10"/>
      <x:c r="J58" s="10"/>
      <x:c r="K58" s="10"/>
      <x:c r="L58" s="10"/>
      <x:c r="M58" s="10">
        <x:f t="shared" si="0"/>
        <x:v>1</x:v>
      </x:c>
    </x:row>
    <x:row r="59" ht="27.600000381469727">
      <x:c r="A59" s="10">
        <x:v>58</x:v>
      </x:c>
      <x:c r="B59" s="10" t="s">
        <x:v>28</x:v>
      </x:c>
      <x:c r="C59" s="10" t="s">
        <x:v>106</x:v>
      </x:c>
      <x:c r="D59" s="10" t="s">
        <x:v>84</x:v>
      </x:c>
      <x:c r="E59" s="10" t="s">
        <x:v>118</x:v>
      </x:c>
      <x:c r="F59" s="10" t="s">
        <x:v>9</x:v>
      </x:c>
      <x:c r="G59" s="10" t="s">
        <x:v>52</x:v>
      </x:c>
      <x:c r="H59" s="10" t="s">
        <x:v>64</x:v>
      </x:c>
      <x:c r="I59" s="10"/>
      <x:c r="J59" s="10"/>
      <x:c r="K59" s="10"/>
      <x:c r="L59" s="10"/>
      <x:c r="M59" s="10">
        <x:f t="shared" si="0"/>
        <x:v>1</x:v>
      </x:c>
    </x:row>
    <x:row r="60" ht="27.600000381469727">
      <x:c r="A60" s="10">
        <x:v>59</x:v>
      </x:c>
      <x:c r="B60" s="10" t="s">
        <x:v>28</x:v>
      </x:c>
      <x:c r="C60" s="10" t="s">
        <x:v>106</x:v>
      </x:c>
      <x:c r="D60" s="10" t="s">
        <x:v>84</x:v>
      </x:c>
      <x:c r="E60" s="10" t="s">
        <x:v>119</x:v>
      </x:c>
      <x:c r="F60" s="10" t="s">
        <x:v>9</x:v>
      </x:c>
      <x:c r="G60" s="10" t="s">
        <x:v>52</x:v>
      </x:c>
      <x:c r="H60" s="10" t="s">
        <x:v>64</x:v>
      </x:c>
      <x:c r="I60" s="10"/>
      <x:c r="J60" s="10"/>
      <x:c r="K60" s="10"/>
      <x:c r="L60" s="10"/>
      <x:c r="M60" s="10">
        <x:f t="shared" si="0"/>
        <x:v>1</x:v>
      </x:c>
    </x:row>
    <x:row r="61" ht="27.600000381469727">
      <x:c r="A61" s="10">
        <x:v>60</x:v>
      </x:c>
      <x:c r="B61" s="10" t="s">
        <x:v>28</x:v>
      </x:c>
      <x:c r="C61" s="10" t="s">
        <x:v>120</x:v>
      </x:c>
      <x:c r="D61" s="10" t="s">
        <x:v>62</x:v>
      </x:c>
      <x:c r="E61" s="10" t="s">
        <x:v>121</x:v>
      </x:c>
      <x:c r="F61" s="10" t="s">
        <x:v>9</x:v>
      </x:c>
      <x:c r="G61" s="10" t="s">
        <x:v>52</x:v>
      </x:c>
      <x:c r="H61" s="10" t="s">
        <x:v>64</x:v>
      </x:c>
      <x:c r="I61" s="10"/>
      <x:c r="J61" s="10"/>
      <x:c r="K61" s="10"/>
      <x:c r="L61" s="10"/>
      <x:c r="M61" s="10">
        <x:f t="shared" si="0"/>
        <x:v>1</x:v>
      </x:c>
    </x:row>
    <x:row r="62" ht="27.600000381469727">
      <x:c r="A62" s="10">
        <x:v>61</x:v>
      </x:c>
      <x:c r="B62" s="10" t="s">
        <x:v>28</x:v>
      </x:c>
      <x:c r="C62" s="10" t="s">
        <x:v>120</x:v>
      </x:c>
      <x:c r="D62" s="10" t="s">
        <x:v>62</x:v>
      </x:c>
      <x:c r="E62" s="10" t="s">
        <x:v>122</x:v>
      </x:c>
      <x:c r="F62" s="10" t="s">
        <x:v>9</x:v>
      </x:c>
      <x:c r="G62" s="10" t="s">
        <x:v>52</x:v>
      </x:c>
      <x:c r="H62" s="10" t="s">
        <x:v>64</x:v>
      </x:c>
      <x:c r="I62" s="10"/>
      <x:c r="J62" s="10"/>
      <x:c r="K62" s="10"/>
      <x:c r="L62" s="10"/>
      <x:c r="M62" s="10">
        <x:f t="shared" si="0"/>
        <x:v>1</x:v>
      </x:c>
    </x:row>
    <x:row r="63" ht="27.600000381469727">
      <x:c r="A63" s="10">
        <x:v>62</x:v>
      </x:c>
      <x:c r="B63" s="10" t="s">
        <x:v>28</x:v>
      </x:c>
      <x:c r="C63" s="10" t="s">
        <x:v>120</x:v>
      </x:c>
      <x:c r="D63" s="10" t="s">
        <x:v>62</x:v>
      </x:c>
      <x:c r="E63" s="10" t="s">
        <x:v>123</x:v>
      </x:c>
      <x:c r="F63" s="10" t="s">
        <x:v>9</x:v>
      </x:c>
      <x:c r="G63" s="10" t="s">
        <x:v>52</x:v>
      </x:c>
      <x:c r="H63" s="10" t="s">
        <x:v>64</x:v>
      </x:c>
      <x:c r="I63" s="10"/>
      <x:c r="J63" s="10"/>
      <x:c r="K63" s="10"/>
      <x:c r="L63" s="10"/>
      <x:c r="M63" s="10">
        <x:f t="shared" si="0"/>
        <x:v>1</x:v>
      </x:c>
    </x:row>
    <x:row r="64" ht="27.600000381469727">
      <x:c r="A64" s="10">
        <x:v>63</x:v>
      </x:c>
      <x:c r="B64" s="10" t="s">
        <x:v>28</x:v>
      </x:c>
      <x:c r="C64" s="10" t="s">
        <x:v>120</x:v>
      </x:c>
      <x:c r="D64" s="10" t="s">
        <x:v>62</x:v>
      </x:c>
      <x:c r="E64" s="10" t="s">
        <x:v>124</x:v>
      </x:c>
      <x:c r="F64" s="10" t="s">
        <x:v>9</x:v>
      </x:c>
      <x:c r="G64" s="10" t="s">
        <x:v>52</x:v>
      </x:c>
      <x:c r="H64" s="10" t="s">
        <x:v>64</x:v>
      </x:c>
      <x:c r="I64" s="10"/>
      <x:c r="J64" s="10"/>
      <x:c r="K64" s="10"/>
      <x:c r="L64" s="10"/>
      <x:c r="M64" s="10">
        <x:f t="shared" si="0"/>
        <x:v>1</x:v>
      </x:c>
    </x:row>
    <x:row r="65" ht="27.600000381469727">
      <x:c r="A65" s="10">
        <x:v>64</x:v>
      </x:c>
      <x:c r="B65" s="10" t="s">
        <x:v>28</x:v>
      </x:c>
      <x:c r="C65" s="10" t="s">
        <x:v>120</x:v>
      </x:c>
      <x:c r="D65" s="10" t="s">
        <x:v>62</x:v>
      </x:c>
      <x:c r="E65" s="10" t="s">
        <x:v>125</x:v>
      </x:c>
      <x:c r="F65" s="10" t="s">
        <x:v>9</x:v>
      </x:c>
      <x:c r="G65" s="10" t="s">
        <x:v>52</x:v>
      </x:c>
      <x:c r="H65" s="10" t="s">
        <x:v>64</x:v>
      </x:c>
      <x:c r="I65" s="10"/>
      <x:c r="J65" s="10"/>
      <x:c r="K65" s="10"/>
      <x:c r="L65" s="10"/>
      <x:c r="M65" s="10">
        <x:f t="shared" si="0"/>
        <x:v>1</x:v>
      </x:c>
    </x:row>
    <x:row r="66" ht="27.600000381469727">
      <x:c r="A66" s="10">
        <x:v>65</x:v>
      </x:c>
      <x:c r="B66" s="10" t="s">
        <x:v>28</x:v>
      </x:c>
      <x:c r="C66" s="10" t="s">
        <x:v>120</x:v>
      </x:c>
      <x:c r="D66" s="10" t="s">
        <x:v>78</x:v>
      </x:c>
      <x:c r="E66" s="10" t="s">
        <x:v>126</x:v>
      </x:c>
      <x:c r="F66" s="10" t="s">
        <x:v>9</x:v>
      </x:c>
      <x:c r="G66" s="10" t="s">
        <x:v>64</x:v>
      </x:c>
      <x:c r="H66" s="10" t="s">
        <x:v>64</x:v>
      </x:c>
      <x:c r="I66" s="10"/>
      <x:c r="J66" s="10"/>
      <x:c r="K66" s="10"/>
      <x:c r="L66" s="10"/>
      <x:c r="M66" s="10" t="n">
        <x:f t="shared" ref="M66:M129" si="1">IF(F66="Hoàn thành",1,0)</x:f>
        <x:v>1</x:v>
      </x:c>
    </x:row>
    <x:row r="67" ht="27.600000381469727">
      <x:c r="A67" s="10">
        <x:v>66</x:v>
      </x:c>
      <x:c r="B67" s="10" t="s">
        <x:v>28</x:v>
      </x:c>
      <x:c r="C67" s="10" t="s">
        <x:v>120</x:v>
      </x:c>
      <x:c r="D67" s="10" t="s">
        <x:v>78</x:v>
      </x:c>
      <x:c r="E67" s="10" t="s">
        <x:v>127</x:v>
      </x:c>
      <x:c r="F67" s="10" t="s">
        <x:v>9</x:v>
      </x:c>
      <x:c r="G67" s="10" t="s">
        <x:v>64</x:v>
      </x:c>
      <x:c r="H67" s="10" t="s">
        <x:v>64</x:v>
      </x:c>
      <x:c r="I67" s="10"/>
      <x:c r="J67" s="10"/>
      <x:c r="K67" s="10"/>
      <x:c r="L67" s="10"/>
      <x:c r="M67" s="10">
        <x:f t="shared" si="1"/>
        <x:v>1</x:v>
      </x:c>
    </x:row>
    <x:row r="68" ht="27.600000381469727">
      <x:c r="A68" s="10">
        <x:v>67</x:v>
      </x:c>
      <x:c r="B68" s="10" t="s">
        <x:v>28</x:v>
      </x:c>
      <x:c r="C68" s="10" t="s">
        <x:v>120</x:v>
      </x:c>
      <x:c r="D68" s="10" t="s">
        <x:v>84</x:v>
      </x:c>
      <x:c r="E68" s="10" t="s">
        <x:v>128</x:v>
      </x:c>
      <x:c r="F68" s="10" t="s">
        <x:v>9</x:v>
      </x:c>
      <x:c r="G68" s="10" t="s">
        <x:v>52</x:v>
      </x:c>
      <x:c r="H68" s="10" t="s">
        <x:v>64</x:v>
      </x:c>
      <x:c r="I68" s="10"/>
      <x:c r="J68" s="10"/>
      <x:c r="K68" s="10"/>
      <x:c r="L68" s="10"/>
      <x:c r="M68" s="10">
        <x:f t="shared" si="1"/>
        <x:v>1</x:v>
      </x:c>
    </x:row>
    <x:row r="69" ht="27.600000381469727">
      <x:c r="A69" s="10">
        <x:v>68</x:v>
      </x:c>
      <x:c r="B69" s="10" t="s">
        <x:v>28</x:v>
      </x:c>
      <x:c r="C69" s="10" t="s">
        <x:v>120</x:v>
      </x:c>
      <x:c r="D69" s="10" t="s">
        <x:v>84</x:v>
      </x:c>
      <x:c r="E69" s="10" t="s">
        <x:v>129</x:v>
      </x:c>
      <x:c r="F69" s="10" t="s">
        <x:v>9</x:v>
      </x:c>
      <x:c r="G69" s="10" t="s">
        <x:v>52</x:v>
      </x:c>
      <x:c r="H69" s="10" t="s">
        <x:v>64</x:v>
      </x:c>
      <x:c r="I69" s="10"/>
      <x:c r="J69" s="10"/>
      <x:c r="K69" s="10"/>
      <x:c r="L69" s="10"/>
      <x:c r="M69" s="10">
        <x:f t="shared" si="1"/>
        <x:v>1</x:v>
      </x:c>
    </x:row>
    <x:row r="70" ht="27.600000381469727">
      <x:c r="A70" s="10">
        <x:v>69</x:v>
      </x:c>
      <x:c r="B70" s="10" t="s">
        <x:v>28</x:v>
      </x:c>
      <x:c r="C70" s="10" t="s">
        <x:v>120</x:v>
      </x:c>
      <x:c r="D70" s="10" t="s">
        <x:v>84</x:v>
      </x:c>
      <x:c r="E70" s="10" t="s">
        <x:v>130</x:v>
      </x:c>
      <x:c r="F70" s="10" t="s">
        <x:v>9</x:v>
      </x:c>
      <x:c r="G70" s="10" t="s">
        <x:v>52</x:v>
      </x:c>
      <x:c r="H70" s="10" t="s">
        <x:v>64</x:v>
      </x:c>
      <x:c r="I70" s="10"/>
      <x:c r="J70" s="10"/>
      <x:c r="K70" s="10"/>
      <x:c r="L70" s="10"/>
      <x:c r="M70" s="10">
        <x:f t="shared" si="1"/>
        <x:v>1</x:v>
      </x:c>
    </x:row>
    <x:row r="71" ht="27.600000381469727">
      <x:c r="A71" s="10">
        <x:v>70</x:v>
      </x:c>
      <x:c r="B71" s="10" t="s">
        <x:v>28</x:v>
      </x:c>
      <x:c r="C71" s="10" t="s">
        <x:v>131</x:v>
      </x:c>
      <x:c r="D71" s="10" t="s">
        <x:v>62</x:v>
      </x:c>
      <x:c r="E71" s="10" t="s">
        <x:v>132</x:v>
      </x:c>
      <x:c r="F71" s="10" t="s">
        <x:v>9</x:v>
      </x:c>
      <x:c r="G71" s="10" t="s">
        <x:v>64</x:v>
      </x:c>
      <x:c r="H71" s="10" t="s">
        <x:v>64</x:v>
      </x:c>
      <x:c r="I71" s="10"/>
      <x:c r="J71" s="10"/>
      <x:c r="K71" s="10"/>
      <x:c r="L71" s="10"/>
      <x:c r="M71" s="10">
        <x:f t="shared" si="1"/>
        <x:v>1</x:v>
      </x:c>
    </x:row>
    <x:row r="72" ht="27.600000381469727">
      <x:c r="A72" s="10">
        <x:v>71</x:v>
      </x:c>
      <x:c r="B72" s="10" t="s">
        <x:v>28</x:v>
      </x:c>
      <x:c r="C72" s="10" t="s">
        <x:v>131</x:v>
      </x:c>
      <x:c r="D72" s="10" t="s">
        <x:v>62</x:v>
      </x:c>
      <x:c r="E72" s="10" t="s">
        <x:v>133</x:v>
      </x:c>
      <x:c r="F72" s="10" t="s">
        <x:v>9</x:v>
      </x:c>
      <x:c r="G72" s="10" t="s">
        <x:v>64</x:v>
      </x:c>
      <x:c r="H72" s="10" t="s">
        <x:v>64</x:v>
      </x:c>
      <x:c r="I72" s="10"/>
      <x:c r="J72" s="10"/>
      <x:c r="K72" s="10"/>
      <x:c r="L72" s="10"/>
      <x:c r="M72" s="10">
        <x:f t="shared" si="1"/>
        <x:v>1</x:v>
      </x:c>
    </x:row>
    <x:row r="73" ht="27.600000381469727">
      <x:c r="A73" s="10">
        <x:v>72</x:v>
      </x:c>
      <x:c r="B73" s="10" t="s">
        <x:v>28</x:v>
      </x:c>
      <x:c r="C73" s="10" t="s">
        <x:v>131</x:v>
      </x:c>
      <x:c r="D73" s="10" t="s">
        <x:v>62</x:v>
      </x:c>
      <x:c r="E73" s="10" t="s">
        <x:v>134</x:v>
      </x:c>
      <x:c r="F73" s="10" t="s">
        <x:v>9</x:v>
      </x:c>
      <x:c r="G73" s="10" t="s">
        <x:v>64</x:v>
      </x:c>
      <x:c r="H73" s="10" t="s">
        <x:v>64</x:v>
      </x:c>
      <x:c r="I73" s="10"/>
      <x:c r="J73" s="10"/>
      <x:c r="K73" s="10"/>
      <x:c r="L73" s="10"/>
      <x:c r="M73" s="10">
        <x:f t="shared" si="1"/>
        <x:v>1</x:v>
      </x:c>
    </x:row>
    <x:row r="74" ht="27.600000381469727">
      <x:c r="A74" s="10">
        <x:v>73</x:v>
      </x:c>
      <x:c r="B74" s="10" t="s">
        <x:v>28</x:v>
      </x:c>
      <x:c r="C74" s="10" t="s">
        <x:v>131</x:v>
      </x:c>
      <x:c r="D74" s="10" t="s">
        <x:v>62</x:v>
      </x:c>
      <x:c r="E74" s="10" t="s">
        <x:v>135</x:v>
      </x:c>
      <x:c r="F74" s="10" t="s">
        <x:v>9</x:v>
      </x:c>
      <x:c r="G74" s="10" t="s">
        <x:v>64</x:v>
      </x:c>
      <x:c r="H74" s="10" t="s">
        <x:v>64</x:v>
      </x:c>
      <x:c r="I74" s="10"/>
      <x:c r="J74" s="10"/>
      <x:c r="K74" s="10"/>
      <x:c r="L74" s="10"/>
      <x:c r="M74" s="10">
        <x:f t="shared" si="1"/>
        <x:v>1</x:v>
      </x:c>
    </x:row>
    <x:row r="75" ht="27.600000381469727">
      <x:c r="A75" s="10">
        <x:v>74</x:v>
      </x:c>
      <x:c r="B75" s="10" t="s">
        <x:v>28</x:v>
      </x:c>
      <x:c r="C75" s="10" t="s">
        <x:v>131</x:v>
      </x:c>
      <x:c r="D75" s="10" t="s">
        <x:v>62</x:v>
      </x:c>
      <x:c r="E75" s="10" t="s">
        <x:v>136</x:v>
      </x:c>
      <x:c r="F75" s="10" t="s">
        <x:v>9</x:v>
      </x:c>
      <x:c r="G75" s="10" t="s">
        <x:v>64</x:v>
      </x:c>
      <x:c r="H75" s="10" t="s">
        <x:v>64</x:v>
      </x:c>
      <x:c r="I75" s="10"/>
      <x:c r="J75" s="10"/>
      <x:c r="K75" s="10"/>
      <x:c r="L75" s="10"/>
      <x:c r="M75" s="10">
        <x:f t="shared" si="1"/>
        <x:v>1</x:v>
      </x:c>
    </x:row>
    <x:row r="76" ht="27.600000381469727">
      <x:c r="A76" s="10">
        <x:v>75</x:v>
      </x:c>
      <x:c r="B76" s="10" t="s">
        <x:v>28</x:v>
      </x:c>
      <x:c r="C76" s="10" t="s">
        <x:v>131</x:v>
      </x:c>
      <x:c r="D76" s="10" t="s">
        <x:v>62</x:v>
      </x:c>
      <x:c r="E76" s="10" t="s">
        <x:v>137</x:v>
      </x:c>
      <x:c r="F76" s="10" t="s">
        <x:v>9</x:v>
      </x:c>
      <x:c r="G76" s="10" t="s">
        <x:v>52</x:v>
      </x:c>
      <x:c r="H76" s="10" t="s">
        <x:v>64</x:v>
      </x:c>
      <x:c r="I76" s="10"/>
      <x:c r="J76" s="10"/>
      <x:c r="K76" s="10"/>
      <x:c r="L76" s="10"/>
      <x:c r="M76" s="10">
        <x:f t="shared" si="1"/>
        <x:v>1</x:v>
      </x:c>
    </x:row>
    <x:row r="77" ht="27.600000381469727">
      <x:c r="A77" s="10">
        <x:v>76</x:v>
      </x:c>
      <x:c r="B77" s="10" t="s">
        <x:v>28</x:v>
      </x:c>
      <x:c r="C77" s="10" t="s">
        <x:v>131</x:v>
      </x:c>
      <x:c r="D77" s="10" t="s">
        <x:v>78</x:v>
      </x:c>
      <x:c r="E77" s="10" t="s">
        <x:v>138</x:v>
      </x:c>
      <x:c r="F77" s="10" t="s">
        <x:v>9</x:v>
      </x:c>
      <x:c r="G77" s="10" t="s">
        <x:v>64</x:v>
      </x:c>
      <x:c r="H77" s="10" t="s">
        <x:v>64</x:v>
      </x:c>
      <x:c r="I77" s="10"/>
      <x:c r="J77" s="10"/>
      <x:c r="K77" s="10"/>
      <x:c r="L77" s="10"/>
      <x:c r="M77" s="10">
        <x:f t="shared" si="1"/>
        <x:v>1</x:v>
      </x:c>
    </x:row>
    <x:row r="78" ht="27.600000381469727">
      <x:c r="A78" s="10">
        <x:v>77</x:v>
      </x:c>
      <x:c r="B78" s="10" t="s">
        <x:v>28</x:v>
      </x:c>
      <x:c r="C78" s="10" t="s">
        <x:v>131</x:v>
      </x:c>
      <x:c r="D78" s="10" t="s">
        <x:v>78</x:v>
      </x:c>
      <x:c r="E78" s="10" t="s">
        <x:v>139</x:v>
      </x:c>
      <x:c r="F78" s="10" t="s">
        <x:v>9</x:v>
      </x:c>
      <x:c r="G78" s="10" t="s">
        <x:v>64</x:v>
      </x:c>
      <x:c r="H78" s="10" t="s">
        <x:v>64</x:v>
      </x:c>
      <x:c r="I78" s="10"/>
      <x:c r="J78" s="10"/>
      <x:c r="K78" s="10"/>
      <x:c r="L78" s="10"/>
      <x:c r="M78" s="10">
        <x:f t="shared" si="1"/>
        <x:v>1</x:v>
      </x:c>
    </x:row>
    <x:row r="79" ht="27.600000381469727">
      <x:c r="A79" s="10">
        <x:v>78</x:v>
      </x:c>
      <x:c r="B79" s="10" t="s">
        <x:v>28</x:v>
      </x:c>
      <x:c r="C79" s="10" t="s">
        <x:v>131</x:v>
      </x:c>
      <x:c r="D79" s="10" t="s">
        <x:v>78</x:v>
      </x:c>
      <x:c r="E79" s="10" t="s">
        <x:v>140</x:v>
      </x:c>
      <x:c r="F79" s="10" t="s">
        <x:v>9</x:v>
      </x:c>
      <x:c r="G79" s="10" t="s">
        <x:v>64</x:v>
      </x:c>
      <x:c r="H79" s="10" t="s">
        <x:v>64</x:v>
      </x:c>
      <x:c r="I79" s="10"/>
      <x:c r="J79" s="10"/>
      <x:c r="K79" s="10"/>
      <x:c r="L79" s="10"/>
      <x:c r="M79" s="10">
        <x:f t="shared" si="1"/>
        <x:v>1</x:v>
      </x:c>
    </x:row>
    <x:row r="80" ht="27.600000381469727">
      <x:c r="A80" s="10">
        <x:v>79</x:v>
      </x:c>
      <x:c r="B80" s="10" t="s">
        <x:v>28</x:v>
      </x:c>
      <x:c r="C80" s="10" t="s">
        <x:v>131</x:v>
      </x:c>
      <x:c r="D80" s="10" t="s">
        <x:v>78</x:v>
      </x:c>
      <x:c r="E80" s="10" t="s">
        <x:v>141</x:v>
      </x:c>
      <x:c r="F80" s="10" t="s">
        <x:v>9</x:v>
      </x:c>
      <x:c r="G80" s="10" t="s">
        <x:v>64</x:v>
      </x:c>
      <x:c r="H80" s="10" t="s">
        <x:v>64</x:v>
      </x:c>
      <x:c r="I80" s="10"/>
      <x:c r="J80" s="10"/>
      <x:c r="K80" s="10"/>
      <x:c r="L80" s="10"/>
      <x:c r="M80" s="10">
        <x:f t="shared" si="1"/>
        <x:v>1</x:v>
      </x:c>
    </x:row>
    <x:row r="81" ht="27.600000381469727">
      <x:c r="A81" s="10">
        <x:v>80</x:v>
      </x:c>
      <x:c r="B81" s="10" t="s">
        <x:v>28</x:v>
      </x:c>
      <x:c r="C81" s="10" t="s">
        <x:v>131</x:v>
      </x:c>
      <x:c r="D81" s="10" t="s">
        <x:v>84</x:v>
      </x:c>
      <x:c r="E81" s="10" t="s">
        <x:v>142</x:v>
      </x:c>
      <x:c r="F81" s="10" t="s">
        <x:v>9</x:v>
      </x:c>
      <x:c r="G81" s="10" t="s">
        <x:v>52</x:v>
      </x:c>
      <x:c r="H81" s="10" t="s">
        <x:v>64</x:v>
      </x:c>
      <x:c r="I81" s="10"/>
      <x:c r="J81" s="10"/>
      <x:c r="K81" s="10"/>
      <x:c r="L81" s="10"/>
      <x:c r="M81" s="10">
        <x:f t="shared" si="1"/>
        <x:v>1</x:v>
      </x:c>
    </x:row>
    <x:row r="82" ht="27.600000381469727">
      <x:c r="A82" s="10">
        <x:v>81</x:v>
      </x:c>
      <x:c r="B82" s="10" t="s">
        <x:v>28</x:v>
      </x:c>
      <x:c r="C82" s="10" t="s">
        <x:v>131</x:v>
      </x:c>
      <x:c r="D82" s="10" t="s">
        <x:v>84</x:v>
      </x:c>
      <x:c r="E82" s="10" t="s">
        <x:v>143</x:v>
      </x:c>
      <x:c r="F82" s="10" t="s">
        <x:v>9</x:v>
      </x:c>
      <x:c r="G82" s="10" t="s">
        <x:v>52</x:v>
      </x:c>
      <x:c r="H82" s="10" t="s">
        <x:v>64</x:v>
      </x:c>
      <x:c r="I82" s="10"/>
      <x:c r="J82" s="10"/>
      <x:c r="K82" s="10"/>
      <x:c r="L82" s="10"/>
      <x:c r="M82" s="10">
        <x:f t="shared" si="1"/>
        <x:v>1</x:v>
      </x:c>
    </x:row>
    <x:row r="83" ht="27.600000381469727">
      <x:c r="A83" s="10">
        <x:v>82</x:v>
      </x:c>
      <x:c r="B83" s="10" t="s">
        <x:v>28</x:v>
      </x:c>
      <x:c r="C83" s="10" t="s">
        <x:v>131</x:v>
      </x:c>
      <x:c r="D83" s="10" t="s">
        <x:v>84</x:v>
      </x:c>
      <x:c r="E83" s="10" t="s">
        <x:v>144</x:v>
      </x:c>
      <x:c r="F83" s="10" t="s">
        <x:v>9</x:v>
      </x:c>
      <x:c r="G83" s="10" t="s">
        <x:v>52</x:v>
      </x:c>
      <x:c r="H83" s="10" t="s">
        <x:v>64</x:v>
      </x:c>
      <x:c r="I83" s="10"/>
      <x:c r="J83" s="10"/>
      <x:c r="K83" s="10"/>
      <x:c r="L83" s="10"/>
      <x:c r="M83" s="10">
        <x:f t="shared" si="1"/>
        <x:v>1</x:v>
      </x:c>
    </x:row>
    <x:row r="84" ht="27.600000381469727">
      <x:c r="A84" s="10">
        <x:v>83</x:v>
      </x:c>
      <x:c r="B84" s="10" t="s">
        <x:v>29</x:v>
      </x:c>
      <x:c r="C84" s="10" t="s">
        <x:v>145</x:v>
      </x:c>
      <x:c r="D84" s="10" t="s">
        <x:v>62</x:v>
      </x:c>
      <x:c r="E84" s="10" t="s">
        <x:v>146</x:v>
      </x:c>
      <x:c r="F84" s="10" t="s">
        <x:v>9</x:v>
      </x:c>
      <x:c r="G84" s="10" t="s">
        <x:v>64</x:v>
      </x:c>
      <x:c r="H84" s="10" t="s">
        <x:v>64</x:v>
      </x:c>
      <x:c r="I84" s="10"/>
      <x:c r="J84" s="10"/>
      <x:c r="K84" s="10"/>
      <x:c r="L84" s="10"/>
      <x:c r="M84" s="10">
        <x:f t="shared" si="1"/>
        <x:v>1</x:v>
      </x:c>
    </x:row>
    <x:row r="85" ht="27.600000381469727">
      <x:c r="A85" s="10">
        <x:v>84</x:v>
      </x:c>
      <x:c r="B85" s="10" t="s">
        <x:v>29</x:v>
      </x:c>
      <x:c r="C85" s="10" t="s">
        <x:v>145</x:v>
      </x:c>
      <x:c r="D85" s="10" t="s">
        <x:v>62</x:v>
      </x:c>
      <x:c r="E85" s="10" t="s">
        <x:v>147</x:v>
      </x:c>
      <x:c r="F85" s="10" t="s">
        <x:v>9</x:v>
      </x:c>
      <x:c r="G85" s="10" t="s">
        <x:v>64</x:v>
      </x:c>
      <x:c r="H85" s="10" t="s">
        <x:v>64</x:v>
      </x:c>
      <x:c r="I85" s="10"/>
      <x:c r="J85" s="10"/>
      <x:c r="K85" s="10"/>
      <x:c r="L85" s="10"/>
      <x:c r="M85" s="10">
        <x:f t="shared" si="1"/>
        <x:v>1</x:v>
      </x:c>
    </x:row>
    <x:row r="86" ht="27.600000381469727">
      <x:c r="A86" s="10">
        <x:v>85</x:v>
      </x:c>
      <x:c r="B86" s="10" t="s">
        <x:v>29</x:v>
      </x:c>
      <x:c r="C86" s="10" t="s">
        <x:v>145</x:v>
      </x:c>
      <x:c r="D86" s="10" t="s">
        <x:v>62</x:v>
      </x:c>
      <x:c r="E86" s="10" t="s">
        <x:v>148</x:v>
      </x:c>
      <x:c r="F86" s="10" t="s">
        <x:v>9</x:v>
      </x:c>
      <x:c r="G86" s="10" t="s">
        <x:v>64</x:v>
      </x:c>
      <x:c r="H86" s="10" t="s">
        <x:v>64</x:v>
      </x:c>
      <x:c r="I86" s="10"/>
      <x:c r="J86" s="10"/>
      <x:c r="K86" s="10"/>
      <x:c r="L86" s="10"/>
      <x:c r="M86" s="10">
        <x:f t="shared" si="1"/>
        <x:v>1</x:v>
      </x:c>
    </x:row>
    <x:row r="87" ht="27.600000381469727">
      <x:c r="A87" s="10">
        <x:v>86</x:v>
      </x:c>
      <x:c r="B87" s="10" t="s">
        <x:v>29</x:v>
      </x:c>
      <x:c r="C87" s="10" t="s">
        <x:v>145</x:v>
      </x:c>
      <x:c r="D87" s="10" t="s">
        <x:v>62</x:v>
      </x:c>
      <x:c r="E87" s="10" t="s">
        <x:v>149</x:v>
      </x:c>
      <x:c r="F87" s="10" t="s">
        <x:v>9</x:v>
      </x:c>
      <x:c r="G87" s="10" t="s">
        <x:v>64</x:v>
      </x:c>
      <x:c r="H87" s="10" t="s">
        <x:v>64</x:v>
      </x:c>
      <x:c r="I87" s="10"/>
      <x:c r="J87" s="10"/>
      <x:c r="K87" s="10"/>
      <x:c r="L87" s="10"/>
      <x:c r="M87" s="10">
        <x:f t="shared" si="1"/>
        <x:v>1</x:v>
      </x:c>
    </x:row>
    <x:row r="88" ht="27.600000381469727">
      <x:c r="A88" s="10">
        <x:v>87</x:v>
      </x:c>
      <x:c r="B88" s="10" t="s">
        <x:v>29</x:v>
      </x:c>
      <x:c r="C88" s="10" t="s">
        <x:v>145</x:v>
      </x:c>
      <x:c r="D88" s="10" t="s">
        <x:v>62</x:v>
      </x:c>
      <x:c r="E88" s="10" t="s">
        <x:v>150</x:v>
      </x:c>
      <x:c r="F88" s="10" t="s">
        <x:v>9</x:v>
      </x:c>
      <x:c r="G88" s="10" t="s">
        <x:v>64</x:v>
      </x:c>
      <x:c r="H88" s="10" t="s">
        <x:v>64</x:v>
      </x:c>
      <x:c r="I88" s="10"/>
      <x:c r="J88" s="10"/>
      <x:c r="K88" s="10"/>
      <x:c r="L88" s="10"/>
      <x:c r="M88" s="10">
        <x:f t="shared" si="1"/>
        <x:v>1</x:v>
      </x:c>
    </x:row>
    <x:row r="89" ht="27.600000381469727">
      <x:c r="A89" s="10">
        <x:v>88</x:v>
      </x:c>
      <x:c r="B89" s="10" t="s">
        <x:v>29</x:v>
      </x:c>
      <x:c r="C89" s="10" t="s">
        <x:v>145</x:v>
      </x:c>
      <x:c r="D89" s="10" t="s">
        <x:v>62</x:v>
      </x:c>
      <x:c r="E89" s="10" t="s">
        <x:v>151</x:v>
      </x:c>
      <x:c r="F89" s="10" t="s">
        <x:v>9</x:v>
      </x:c>
      <x:c r="G89" s="10" t="s">
        <x:v>64</x:v>
      </x:c>
      <x:c r="H89" s="10" t="s">
        <x:v>64</x:v>
      </x:c>
      <x:c r="I89" s="10"/>
      <x:c r="J89" s="10"/>
      <x:c r="K89" s="10"/>
      <x:c r="L89" s="10"/>
      <x:c r="M89" s="10">
        <x:f t="shared" si="1"/>
        <x:v>1</x:v>
      </x:c>
    </x:row>
    <x:row r="90" ht="27.600000381469727">
      <x:c r="A90" s="10">
        <x:v>89</x:v>
      </x:c>
      <x:c r="B90" s="10" t="s">
        <x:v>29</x:v>
      </x:c>
      <x:c r="C90" s="10" t="s">
        <x:v>145</x:v>
      </x:c>
      <x:c r="D90" s="10" t="s">
        <x:v>62</x:v>
      </x:c>
      <x:c r="E90" s="10" t="s">
        <x:v>152</x:v>
      </x:c>
      <x:c r="F90" s="10" t="s">
        <x:v>9</x:v>
      </x:c>
      <x:c r="G90" s="10" t="s">
        <x:v>52</x:v>
      </x:c>
      <x:c r="H90" s="10" t="s">
        <x:v>64</x:v>
      </x:c>
      <x:c r="I90" s="10"/>
      <x:c r="J90" s="10"/>
      <x:c r="K90" s="10"/>
      <x:c r="L90" s="10"/>
      <x:c r="M90" s="10">
        <x:f t="shared" si="1"/>
        <x:v>1</x:v>
      </x:c>
    </x:row>
    <x:row r="91" ht="27.600000381469727">
      <x:c r="A91" s="10">
        <x:v>90</x:v>
      </x:c>
      <x:c r="B91" s="10" t="s">
        <x:v>29</x:v>
      </x:c>
      <x:c r="C91" s="10" t="s">
        <x:v>145</x:v>
      </x:c>
      <x:c r="D91" s="10" t="s">
        <x:v>62</x:v>
      </x:c>
      <x:c r="E91" s="10" t="s">
        <x:v>153</x:v>
      </x:c>
      <x:c r="F91" s="10" t="s">
        <x:v>9</x:v>
      </x:c>
      <x:c r="G91" s="10" t="s">
        <x:v>52</x:v>
      </x:c>
      <x:c r="H91" s="10" t="s">
        <x:v>64</x:v>
      </x:c>
      <x:c r="I91" s="10"/>
      <x:c r="J91" s="10"/>
      <x:c r="K91" s="10"/>
      <x:c r="L91" s="10"/>
      <x:c r="M91" s="10">
        <x:f t="shared" si="1"/>
        <x:v>1</x:v>
      </x:c>
    </x:row>
    <x:row r="92" ht="27.600000381469727">
      <x:c r="A92" s="10">
        <x:v>91</x:v>
      </x:c>
      <x:c r="B92" s="10" t="s">
        <x:v>29</x:v>
      </x:c>
      <x:c r="C92" s="10" t="s">
        <x:v>145</x:v>
      </x:c>
      <x:c r="D92" s="10" t="s">
        <x:v>78</x:v>
      </x:c>
      <x:c r="E92" s="10" t="s">
        <x:v>154</x:v>
      </x:c>
      <x:c r="F92" s="10" t="s">
        <x:v>9</x:v>
      </x:c>
      <x:c r="G92" s="10" t="s">
        <x:v>64</x:v>
      </x:c>
      <x:c r="H92" s="10" t="s">
        <x:v>64</x:v>
      </x:c>
      <x:c r="I92" s="10"/>
      <x:c r="J92" s="10"/>
      <x:c r="K92" s="10"/>
      <x:c r="L92" s="10"/>
      <x:c r="M92" s="10">
        <x:f t="shared" si="1"/>
        <x:v>1</x:v>
      </x:c>
    </x:row>
    <x:row r="93" ht="27.600000381469727">
      <x:c r="A93" s="10">
        <x:v>92</x:v>
      </x:c>
      <x:c r="B93" s="10" t="s">
        <x:v>29</x:v>
      </x:c>
      <x:c r="C93" s="10" t="s">
        <x:v>145</x:v>
      </x:c>
      <x:c r="D93" s="10" t="s">
        <x:v>78</x:v>
      </x:c>
      <x:c r="E93" s="10" t="s">
        <x:v>155</x:v>
      </x:c>
      <x:c r="F93" s="10" t="s">
        <x:v>9</x:v>
      </x:c>
      <x:c r="G93" s="10" t="s">
        <x:v>64</x:v>
      </x:c>
      <x:c r="H93" s="10" t="s">
        <x:v>64</x:v>
      </x:c>
      <x:c r="I93" s="10"/>
      <x:c r="J93" s="10"/>
      <x:c r="K93" s="10"/>
      <x:c r="L93" s="10"/>
      <x:c r="M93" s="10">
        <x:f t="shared" si="1"/>
        <x:v>1</x:v>
      </x:c>
    </x:row>
    <x:row r="94" ht="27.600000381469727">
      <x:c r="A94" s="10">
        <x:v>93</x:v>
      </x:c>
      <x:c r="B94" s="10" t="s">
        <x:v>29</x:v>
      </x:c>
      <x:c r="C94" s="10" t="s">
        <x:v>145</x:v>
      </x:c>
      <x:c r="D94" s="10" t="s">
        <x:v>78</x:v>
      </x:c>
      <x:c r="E94" s="10" t="s">
        <x:v>156</x:v>
      </x:c>
      <x:c r="F94" s="10" t="s">
        <x:v>9</x:v>
      </x:c>
      <x:c r="G94" s="10" t="s">
        <x:v>64</x:v>
      </x:c>
      <x:c r="H94" s="10" t="s">
        <x:v>64</x:v>
      </x:c>
      <x:c r="I94" s="10"/>
      <x:c r="J94" s="10"/>
      <x:c r="K94" s="10"/>
      <x:c r="L94" s="10"/>
      <x:c r="M94" s="10">
        <x:f t="shared" si="1"/>
        <x:v>1</x:v>
      </x:c>
    </x:row>
    <x:row r="95" ht="27.600000381469727">
      <x:c r="A95" s="10">
        <x:v>94</x:v>
      </x:c>
      <x:c r="B95" s="10" t="s">
        <x:v>29</x:v>
      </x:c>
      <x:c r="C95" s="10" t="s">
        <x:v>145</x:v>
      </x:c>
      <x:c r="D95" s="10" t="s">
        <x:v>78</x:v>
      </x:c>
      <x:c r="E95" s="10" t="s">
        <x:v>157</x:v>
      </x:c>
      <x:c r="F95" s="10" t="s">
        <x:v>9</x:v>
      </x:c>
      <x:c r="G95" s="10" t="s">
        <x:v>64</x:v>
      </x:c>
      <x:c r="H95" s="10" t="s">
        <x:v>64</x:v>
      </x:c>
      <x:c r="I95" s="10"/>
      <x:c r="J95" s="10"/>
      <x:c r="K95" s="10"/>
      <x:c r="L95" s="10"/>
      <x:c r="M95" s="10">
        <x:f t="shared" si="1"/>
        <x:v>1</x:v>
      </x:c>
    </x:row>
    <x:row r="96" ht="27.600000381469727">
      <x:c r="A96" s="10">
        <x:v>95</x:v>
      </x:c>
      <x:c r="B96" s="10" t="s">
        <x:v>29</x:v>
      </x:c>
      <x:c r="C96" s="10" t="s">
        <x:v>145</x:v>
      </x:c>
      <x:c r="D96" s="10" t="s">
        <x:v>84</x:v>
      </x:c>
      <x:c r="E96" s="10" t="s">
        <x:v>158</x:v>
      </x:c>
      <x:c r="F96" s="10" t="s">
        <x:v>9</x:v>
      </x:c>
      <x:c r="G96" s="10" t="s">
        <x:v>52</x:v>
      </x:c>
      <x:c r="H96" s="10" t="s">
        <x:v>64</x:v>
      </x:c>
      <x:c r="I96" s="10"/>
      <x:c r="J96" s="10"/>
      <x:c r="K96" s="10"/>
      <x:c r="L96" s="10"/>
      <x:c r="M96" s="10">
        <x:f t="shared" si="1"/>
        <x:v>1</x:v>
      </x:c>
    </x:row>
    <x:row r="97" ht="27.600000381469727">
      <x:c r="A97" s="10">
        <x:v>96</x:v>
      </x:c>
      <x:c r="B97" s="10" t="s">
        <x:v>29</x:v>
      </x:c>
      <x:c r="C97" s="10" t="s">
        <x:v>145</x:v>
      </x:c>
      <x:c r="D97" s="10" t="s">
        <x:v>84</x:v>
      </x:c>
      <x:c r="E97" s="10" t="s">
        <x:v>159</x:v>
      </x:c>
      <x:c r="F97" s="10" t="s">
        <x:v>9</x:v>
      </x:c>
      <x:c r="G97" s="10" t="s">
        <x:v>52</x:v>
      </x:c>
      <x:c r="H97" s="10" t="s">
        <x:v>64</x:v>
      </x:c>
      <x:c r="I97" s="10"/>
      <x:c r="J97" s="10"/>
      <x:c r="K97" s="10"/>
      <x:c r="L97" s="10"/>
      <x:c r="M97" s="10">
        <x:f t="shared" si="1"/>
        <x:v>1</x:v>
      </x:c>
    </x:row>
    <x:row r="98" ht="27.600000381469727">
      <x:c r="A98" s="10">
        <x:v>97</x:v>
      </x:c>
      <x:c r="B98" s="10" t="s">
        <x:v>29</x:v>
      </x:c>
      <x:c r="C98" s="10" t="s">
        <x:v>145</x:v>
      </x:c>
      <x:c r="D98" s="10" t="s">
        <x:v>84</x:v>
      </x:c>
      <x:c r="E98" s="10" t="s">
        <x:v>160</x:v>
      </x:c>
      <x:c r="F98" s="10" t="s">
        <x:v>9</x:v>
      </x:c>
      <x:c r="G98" s="10" t="s">
        <x:v>52</x:v>
      </x:c>
      <x:c r="H98" s="10" t="s">
        <x:v>64</x:v>
      </x:c>
      <x:c r="I98" s="10"/>
      <x:c r="J98" s="10"/>
      <x:c r="K98" s="10"/>
      <x:c r="L98" s="10"/>
      <x:c r="M98" s="10">
        <x:f t="shared" si="1"/>
        <x:v>1</x:v>
      </x:c>
    </x:row>
    <x:row r="99" ht="27.600000381469727">
      <x:c r="A99" s="10">
        <x:v>98</x:v>
      </x:c>
      <x:c r="B99" s="10" t="s">
        <x:v>29</x:v>
      </x:c>
      <x:c r="C99" s="10" t="s">
        <x:v>145</x:v>
      </x:c>
      <x:c r="D99" s="10" t="s">
        <x:v>84</x:v>
      </x:c>
      <x:c r="E99" s="10" t="s">
        <x:v>161</x:v>
      </x:c>
      <x:c r="F99" s="10" t="s">
        <x:v>9</x:v>
      </x:c>
      <x:c r="G99" s="10" t="s">
        <x:v>52</x:v>
      </x:c>
      <x:c r="H99" s="10" t="s">
        <x:v>64</x:v>
      </x:c>
      <x:c r="I99" s="10"/>
      <x:c r="J99" s="10"/>
      <x:c r="K99" s="10"/>
      <x:c r="L99" s="10"/>
      <x:c r="M99" s="10">
        <x:f t="shared" si="1"/>
        <x:v>1</x:v>
      </x:c>
    </x:row>
    <x:row r="100" ht="27.600000381469727">
      <x:c r="A100" s="10">
        <x:v>99</x:v>
      </x:c>
      <x:c r="B100" s="10" t="s">
        <x:v>29</x:v>
      </x:c>
      <x:c r="C100" s="10" t="s">
        <x:v>162</x:v>
      </x:c>
      <x:c r="D100" s="10" t="s">
        <x:v>62</x:v>
      </x:c>
      <x:c r="E100" s="10" t="s">
        <x:v>163</x:v>
      </x:c>
      <x:c r="F100" s="10" t="s">
        <x:v>9</x:v>
      </x:c>
      <x:c r="G100" s="10" t="s">
        <x:v>64</x:v>
      </x:c>
      <x:c r="H100" s="10" t="s">
        <x:v>64</x:v>
      </x:c>
      <x:c r="I100" s="10"/>
      <x:c r="J100" s="10"/>
      <x:c r="K100" s="10"/>
      <x:c r="L100" s="10"/>
      <x:c r="M100" s="10">
        <x:f t="shared" si="1"/>
        <x:v>1</x:v>
      </x:c>
    </x:row>
    <x:row r="101" ht="27.600000381469727">
      <x:c r="A101" s="10">
        <x:v>100</x:v>
      </x:c>
      <x:c r="B101" s="10" t="s">
        <x:v>29</x:v>
      </x:c>
      <x:c r="C101" s="10" t="s">
        <x:v>162</x:v>
      </x:c>
      <x:c r="D101" s="10" t="s">
        <x:v>62</x:v>
      </x:c>
      <x:c r="E101" s="10" t="s">
        <x:v>164</x:v>
      </x:c>
      <x:c r="F101" s="10" t="s">
        <x:v>9</x:v>
      </x:c>
      <x:c r="G101" s="10" t="s">
        <x:v>64</x:v>
      </x:c>
      <x:c r="H101" s="10" t="s">
        <x:v>64</x:v>
      </x:c>
      <x:c r="I101" s="10"/>
      <x:c r="J101" s="10"/>
      <x:c r="K101" s="10"/>
      <x:c r="L101" s="10"/>
      <x:c r="M101" s="10">
        <x:f t="shared" si="1"/>
        <x:v>1</x:v>
      </x:c>
    </x:row>
    <x:row r="102" ht="27.600000381469727">
      <x:c r="A102" s="10">
        <x:v>101</x:v>
      </x:c>
      <x:c r="B102" s="10" t="s">
        <x:v>29</x:v>
      </x:c>
      <x:c r="C102" s="10" t="s">
        <x:v>162</x:v>
      </x:c>
      <x:c r="D102" s="10" t="s">
        <x:v>62</x:v>
      </x:c>
      <x:c r="E102" s="10" t="s">
        <x:v>165</x:v>
      </x:c>
      <x:c r="F102" s="10" t="s">
        <x:v>9</x:v>
      </x:c>
      <x:c r="G102" s="10" t="s">
        <x:v>64</x:v>
      </x:c>
      <x:c r="H102" s="10" t="s">
        <x:v>64</x:v>
      </x:c>
      <x:c r="I102" s="10"/>
      <x:c r="J102" s="10"/>
      <x:c r="K102" s="10"/>
      <x:c r="L102" s="10"/>
      <x:c r="M102" s="10">
        <x:f t="shared" si="1"/>
        <x:v>1</x:v>
      </x:c>
    </x:row>
    <x:row r="103" ht="27.600000381469727">
      <x:c r="A103" s="10">
        <x:v>102</x:v>
      </x:c>
      <x:c r="B103" s="10" t="s">
        <x:v>29</x:v>
      </x:c>
      <x:c r="C103" s="10" t="s">
        <x:v>162</x:v>
      </x:c>
      <x:c r="D103" s="10" t="s">
        <x:v>62</x:v>
      </x:c>
      <x:c r="E103" s="10" t="s">
        <x:v>166</x:v>
      </x:c>
      <x:c r="F103" s="10" t="s">
        <x:v>9</x:v>
      </x:c>
      <x:c r="G103" s="10" t="s">
        <x:v>64</x:v>
      </x:c>
      <x:c r="H103" s="10" t="s">
        <x:v>64</x:v>
      </x:c>
      <x:c r="I103" s="10"/>
      <x:c r="J103" s="10"/>
      <x:c r="K103" s="10"/>
      <x:c r="L103" s="10"/>
      <x:c r="M103" s="10">
        <x:f t="shared" si="1"/>
        <x:v>1</x:v>
      </x:c>
    </x:row>
    <x:row r="104" ht="27.600000381469727">
      <x:c r="A104" s="10">
        <x:v>103</x:v>
      </x:c>
      <x:c r="B104" s="10" t="s">
        <x:v>29</x:v>
      </x:c>
      <x:c r="C104" s="10" t="s">
        <x:v>162</x:v>
      </x:c>
      <x:c r="D104" s="10" t="s">
        <x:v>62</x:v>
      </x:c>
      <x:c r="E104" s="10" t="s">
        <x:v>167</x:v>
      </x:c>
      <x:c r="F104" s="10" t="s">
        <x:v>9</x:v>
      </x:c>
      <x:c r="G104" s="10" t="s">
        <x:v>64</x:v>
      </x:c>
      <x:c r="H104" s="10" t="s">
        <x:v>64</x:v>
      </x:c>
      <x:c r="I104" s="10"/>
      <x:c r="J104" s="10"/>
      <x:c r="K104" s="10"/>
      <x:c r="L104" s="10"/>
      <x:c r="M104" s="10">
        <x:f t="shared" si="1"/>
        <x:v>1</x:v>
      </x:c>
    </x:row>
    <x:row r="105" ht="27.600000381469727">
      <x:c r="A105" s="10">
        <x:v>104</x:v>
      </x:c>
      <x:c r="B105" s="10" t="s">
        <x:v>29</x:v>
      </x:c>
      <x:c r="C105" s="10" t="s">
        <x:v>162</x:v>
      </x:c>
      <x:c r="D105" s="10" t="s">
        <x:v>78</x:v>
      </x:c>
      <x:c r="E105" s="10" t="s">
        <x:v>168</x:v>
      </x:c>
      <x:c r="F105" s="10" t="s">
        <x:v>9</x:v>
      </x:c>
      <x:c r="G105" s="10" t="s">
        <x:v>64</x:v>
      </x:c>
      <x:c r="H105" s="10" t="s">
        <x:v>64</x:v>
      </x:c>
      <x:c r="I105" s="10"/>
      <x:c r="J105" s="10"/>
      <x:c r="K105" s="10"/>
      <x:c r="L105" s="10"/>
      <x:c r="M105" s="10">
        <x:f t="shared" si="1"/>
        <x:v>1</x:v>
      </x:c>
    </x:row>
    <x:row r="106" ht="27.600000381469727">
      <x:c r="A106" s="10">
        <x:v>105</x:v>
      </x:c>
      <x:c r="B106" s="10" t="s">
        <x:v>29</x:v>
      </x:c>
      <x:c r="C106" s="10" t="s">
        <x:v>162</x:v>
      </x:c>
      <x:c r="D106" s="10" t="s">
        <x:v>78</x:v>
      </x:c>
      <x:c r="E106" s="10" t="s">
        <x:v>169</x:v>
      </x:c>
      <x:c r="F106" s="10" t="s">
        <x:v>9</x:v>
      </x:c>
      <x:c r="G106" s="10" t="s">
        <x:v>64</x:v>
      </x:c>
      <x:c r="H106" s="10" t="s">
        <x:v>64</x:v>
      </x:c>
      <x:c r="I106" s="10"/>
      <x:c r="J106" s="10"/>
      <x:c r="K106" s="10"/>
      <x:c r="L106" s="10"/>
      <x:c r="M106" s="10">
        <x:f t="shared" si="1"/>
        <x:v>1</x:v>
      </x:c>
    </x:row>
    <x:row r="107" ht="27.600000381469727">
      <x:c r="A107" s="10">
        <x:v>106</x:v>
      </x:c>
      <x:c r="B107" s="10" t="s">
        <x:v>29</x:v>
      </x:c>
      <x:c r="C107" s="10" t="s">
        <x:v>162</x:v>
      </x:c>
      <x:c r="D107" s="10" t="s">
        <x:v>78</x:v>
      </x:c>
      <x:c r="E107" s="10" t="s">
        <x:v>170</x:v>
      </x:c>
      <x:c r="F107" s="10" t="s">
        <x:v>9</x:v>
      </x:c>
      <x:c r="G107" s="10" t="s">
        <x:v>64</x:v>
      </x:c>
      <x:c r="H107" s="10" t="s">
        <x:v>64</x:v>
      </x:c>
      <x:c r="I107" s="10"/>
      <x:c r="J107" s="10"/>
      <x:c r="K107" s="10"/>
      <x:c r="L107" s="10"/>
      <x:c r="M107" s="10">
        <x:f t="shared" si="1"/>
        <x:v>1</x:v>
      </x:c>
    </x:row>
    <x:row r="108" ht="27.600000381469727">
      <x:c r="A108" s="10">
        <x:v>107</x:v>
      </x:c>
      <x:c r="B108" s="10" t="s">
        <x:v>29</x:v>
      </x:c>
      <x:c r="C108" s="10" t="s">
        <x:v>162</x:v>
      </x:c>
      <x:c r="D108" s="10" t="s">
        <x:v>78</x:v>
      </x:c>
      <x:c r="E108" s="10" t="s">
        <x:v>171</x:v>
      </x:c>
      <x:c r="F108" s="10" t="s">
        <x:v>9</x:v>
      </x:c>
      <x:c r="G108" s="10" t="s">
        <x:v>64</x:v>
      </x:c>
      <x:c r="H108" s="10" t="s">
        <x:v>64</x:v>
      </x:c>
      <x:c r="I108" s="10"/>
      <x:c r="J108" s="10"/>
      <x:c r="K108" s="10"/>
      <x:c r="L108" s="10"/>
      <x:c r="M108" s="10">
        <x:f t="shared" si="1"/>
        <x:v>1</x:v>
      </x:c>
    </x:row>
    <x:row r="109" ht="27.600000381469727">
      <x:c r="A109" s="10">
        <x:v>108</x:v>
      </x:c>
      <x:c r="B109" s="10" t="s">
        <x:v>29</x:v>
      </x:c>
      <x:c r="C109" s="10" t="s">
        <x:v>162</x:v>
      </x:c>
      <x:c r="D109" s="10" t="s">
        <x:v>84</x:v>
      </x:c>
      <x:c r="E109" s="10" t="s">
        <x:v>172</x:v>
      </x:c>
      <x:c r="F109" s="10" t="s">
        <x:v>9</x:v>
      </x:c>
      <x:c r="G109" s="10" t="s">
        <x:v>52</x:v>
      </x:c>
      <x:c r="H109" s="10" t="s">
        <x:v>64</x:v>
      </x:c>
      <x:c r="I109" s="10"/>
      <x:c r="J109" s="10"/>
      <x:c r="K109" s="10"/>
      <x:c r="L109" s="10"/>
      <x:c r="M109" s="10">
        <x:f t="shared" si="1"/>
        <x:v>1</x:v>
      </x:c>
    </x:row>
    <x:row r="110" ht="27.600000381469727">
      <x:c r="A110" s="10">
        <x:v>109</x:v>
      </x:c>
      <x:c r="B110" s="10" t="s">
        <x:v>29</x:v>
      </x:c>
      <x:c r="C110" s="10" t="s">
        <x:v>162</x:v>
      </x:c>
      <x:c r="D110" s="10" t="s">
        <x:v>84</x:v>
      </x:c>
      <x:c r="E110" s="10" t="s">
        <x:v>173</x:v>
      </x:c>
      <x:c r="F110" s="10" t="s">
        <x:v>9</x:v>
      </x:c>
      <x:c r="G110" s="10" t="s">
        <x:v>52</x:v>
      </x:c>
      <x:c r="H110" s="10" t="s">
        <x:v>64</x:v>
      </x:c>
      <x:c r="I110" s="10"/>
      <x:c r="J110" s="10"/>
      <x:c r="K110" s="10"/>
      <x:c r="L110" s="10"/>
      <x:c r="M110" s="10">
        <x:f t="shared" si="1"/>
        <x:v>1</x:v>
      </x:c>
    </x:row>
    <x:row r="111" ht="27.600000381469727">
      <x:c r="A111" s="10">
        <x:v>110</x:v>
      </x:c>
      <x:c r="B111" s="10" t="s">
        <x:v>29</x:v>
      </x:c>
      <x:c r="C111" s="10" t="s">
        <x:v>162</x:v>
      </x:c>
      <x:c r="D111" s="10" t="s">
        <x:v>84</x:v>
      </x:c>
      <x:c r="E111" s="10" t="s">
        <x:v>174</x:v>
      </x:c>
      <x:c r="F111" s="10" t="s">
        <x:v>9</x:v>
      </x:c>
      <x:c r="G111" s="10" t="s">
        <x:v>52</x:v>
      </x:c>
      <x:c r="H111" s="10" t="s">
        <x:v>64</x:v>
      </x:c>
      <x:c r="I111" s="10"/>
      <x:c r="J111" s="10"/>
      <x:c r="K111" s="10"/>
      <x:c r="L111" s="10"/>
      <x:c r="M111" s="10">
        <x:f t="shared" si="1"/>
        <x:v>1</x:v>
      </x:c>
    </x:row>
    <x:row r="112" ht="27.600000381469727">
      <x:c r="A112" s="10">
        <x:v>111</x:v>
      </x:c>
      <x:c r="B112" s="10" t="s">
        <x:v>29</x:v>
      </x:c>
      <x:c r="C112" s="10" t="s">
        <x:v>175</x:v>
      </x:c>
      <x:c r="D112" s="10" t="s">
        <x:v>62</x:v>
      </x:c>
      <x:c r="E112" s="10" t="s">
        <x:v>176</x:v>
      </x:c>
      <x:c r="F112" s="10" t="s">
        <x:v>9</x:v>
      </x:c>
      <x:c r="G112" s="10" t="s">
        <x:v>52</x:v>
      </x:c>
      <x:c r="H112" s="10" t="s">
        <x:v>64</x:v>
      </x:c>
      <x:c r="I112" s="10"/>
      <x:c r="J112" s="10"/>
      <x:c r="K112" s="10"/>
      <x:c r="L112" s="10"/>
      <x:c r="M112" s="10">
        <x:f t="shared" si="1"/>
        <x:v>1</x:v>
      </x:c>
    </x:row>
    <x:row r="113" ht="27.600000381469727">
      <x:c r="A113" s="10">
        <x:v>112</x:v>
      </x:c>
      <x:c r="B113" s="10" t="s">
        <x:v>29</x:v>
      </x:c>
      <x:c r="C113" s="10" t="s">
        <x:v>175</x:v>
      </x:c>
      <x:c r="D113" s="10" t="s">
        <x:v>62</x:v>
      </x:c>
      <x:c r="E113" s="10" t="s">
        <x:v>177</x:v>
      </x:c>
      <x:c r="F113" s="10" t="s">
        <x:v>9</x:v>
      </x:c>
      <x:c r="G113" s="10" t="s">
        <x:v>52</x:v>
      </x:c>
      <x:c r="H113" s="10" t="s">
        <x:v>64</x:v>
      </x:c>
      <x:c r="I113" s="10"/>
      <x:c r="J113" s="10"/>
      <x:c r="K113" s="10"/>
      <x:c r="L113" s="10"/>
      <x:c r="M113" s="10">
        <x:f t="shared" si="1"/>
        <x:v>1</x:v>
      </x:c>
    </x:row>
    <x:row r="114" ht="27.600000381469727">
      <x:c r="A114" s="10">
        <x:v>113</x:v>
      </x:c>
      <x:c r="B114" s="10" t="s">
        <x:v>29</x:v>
      </x:c>
      <x:c r="C114" s="10" t="s">
        <x:v>175</x:v>
      </x:c>
      <x:c r="D114" s="10" t="s">
        <x:v>62</x:v>
      </x:c>
      <x:c r="E114" s="10" t="s">
        <x:v>178</x:v>
      </x:c>
      <x:c r="F114" s="10" t="s">
        <x:v>9</x:v>
      </x:c>
      <x:c r="G114" s="10" t="s">
        <x:v>52</x:v>
      </x:c>
      <x:c r="H114" s="10" t="s">
        <x:v>64</x:v>
      </x:c>
      <x:c r="I114" s="10"/>
      <x:c r="J114" s="10"/>
      <x:c r="K114" s="10"/>
      <x:c r="L114" s="10"/>
      <x:c r="M114" s="10">
        <x:f t="shared" si="1"/>
        <x:v>1</x:v>
      </x:c>
    </x:row>
    <x:row r="115" ht="27.600000381469727">
      <x:c r="A115" s="10">
        <x:v>114</x:v>
      </x:c>
      <x:c r="B115" s="10" t="s">
        <x:v>29</x:v>
      </x:c>
      <x:c r="C115" s="10" t="s">
        <x:v>175</x:v>
      </x:c>
      <x:c r="D115" s="10" t="s">
        <x:v>62</x:v>
      </x:c>
      <x:c r="E115" s="10" t="s">
        <x:v>179</x:v>
      </x:c>
      <x:c r="F115" s="10" t="s">
        <x:v>9</x:v>
      </x:c>
      <x:c r="G115" s="10" t="s">
        <x:v>52</x:v>
      </x:c>
      <x:c r="H115" s="10" t="s">
        <x:v>64</x:v>
      </x:c>
      <x:c r="I115" s="10"/>
      <x:c r="J115" s="10"/>
      <x:c r="K115" s="10"/>
      <x:c r="L115" s="10"/>
      <x:c r="M115" s="10">
        <x:f t="shared" si="1"/>
        <x:v>1</x:v>
      </x:c>
    </x:row>
    <x:row r="116" ht="27.600000381469727">
      <x:c r="A116" s="10">
        <x:v>115</x:v>
      </x:c>
      <x:c r="B116" s="10" t="s">
        <x:v>29</x:v>
      </x:c>
      <x:c r="C116" s="10" t="s">
        <x:v>175</x:v>
      </x:c>
      <x:c r="D116" s="10" t="s">
        <x:v>62</x:v>
      </x:c>
      <x:c r="E116" s="10" t="s">
        <x:v>180</x:v>
      </x:c>
      <x:c r="F116" s="10" t="s">
        <x:v>9</x:v>
      </x:c>
      <x:c r="G116" s="10" t="s">
        <x:v>52</x:v>
      </x:c>
      <x:c r="H116" s="10" t="s">
        <x:v>64</x:v>
      </x:c>
      <x:c r="I116" s="10"/>
      <x:c r="J116" s="10"/>
      <x:c r="K116" s="10"/>
      <x:c r="L116" s="10"/>
      <x:c r="M116" s="10">
        <x:f t="shared" si="1"/>
        <x:v>1</x:v>
      </x:c>
    </x:row>
    <x:row r="117" ht="27.600000381469727">
      <x:c r="A117" s="10">
        <x:v>116</x:v>
      </x:c>
      <x:c r="B117" s="10" t="s">
        <x:v>29</x:v>
      </x:c>
      <x:c r="C117" s="10" t="s">
        <x:v>175</x:v>
      </x:c>
      <x:c r="D117" s="10" t="s">
        <x:v>62</x:v>
      </x:c>
      <x:c r="E117" s="10" t="s">
        <x:v>181</x:v>
      </x:c>
      <x:c r="F117" s="10" t="s">
        <x:v>9</x:v>
      </x:c>
      <x:c r="G117" s="10" t="s">
        <x:v>52</x:v>
      </x:c>
      <x:c r="H117" s="10" t="s">
        <x:v>64</x:v>
      </x:c>
      <x:c r="I117" s="10"/>
      <x:c r="J117" s="10"/>
      <x:c r="K117" s="10"/>
      <x:c r="L117" s="10"/>
      <x:c r="M117" s="10">
        <x:f t="shared" si="1"/>
        <x:v>1</x:v>
      </x:c>
    </x:row>
    <x:row r="118" ht="27.600000381469727">
      <x:c r="A118" s="10">
        <x:v>117</x:v>
      </x:c>
      <x:c r="B118" s="10" t="s">
        <x:v>29</x:v>
      </x:c>
      <x:c r="C118" s="10" t="s">
        <x:v>175</x:v>
      </x:c>
      <x:c r="D118" s="10" t="s">
        <x:v>78</x:v>
      </x:c>
      <x:c r="E118" s="10" t="s">
        <x:v>182</x:v>
      </x:c>
      <x:c r="F118" s="10" t="s">
        <x:v>9</x:v>
      </x:c>
      <x:c r="G118" s="10" t="s">
        <x:v>64</x:v>
      </x:c>
      <x:c r="H118" s="10" t="s">
        <x:v>64</x:v>
      </x:c>
      <x:c r="I118" s="10"/>
      <x:c r="J118" s="10"/>
      <x:c r="K118" s="10"/>
      <x:c r="L118" s="10"/>
      <x:c r="M118" s="10">
        <x:f t="shared" si="1"/>
        <x:v>1</x:v>
      </x:c>
    </x:row>
    <x:row r="119" ht="27.600000381469727">
      <x:c r="A119" s="10">
        <x:v>118</x:v>
      </x:c>
      <x:c r="B119" s="10" t="s">
        <x:v>29</x:v>
      </x:c>
      <x:c r="C119" s="10" t="s">
        <x:v>175</x:v>
      </x:c>
      <x:c r="D119" s="10" t="s">
        <x:v>78</x:v>
      </x:c>
      <x:c r="E119" s="10" t="s">
        <x:v>183</x:v>
      </x:c>
      <x:c r="F119" s="10" t="s">
        <x:v>9</x:v>
      </x:c>
      <x:c r="G119" s="10" t="s">
        <x:v>64</x:v>
      </x:c>
      <x:c r="H119" s="10" t="s">
        <x:v>64</x:v>
      </x:c>
      <x:c r="I119" s="10"/>
      <x:c r="J119" s="10"/>
      <x:c r="K119" s="10"/>
      <x:c r="L119" s="10"/>
      <x:c r="M119" s="10">
        <x:f t="shared" si="1"/>
        <x:v>1</x:v>
      </x:c>
    </x:row>
    <x:row r="120" ht="27.600000381469727">
      <x:c r="A120" s="10">
        <x:v>119</x:v>
      </x:c>
      <x:c r="B120" s="10" t="s">
        <x:v>29</x:v>
      </x:c>
      <x:c r="C120" s="10" t="s">
        <x:v>175</x:v>
      </x:c>
      <x:c r="D120" s="10" t="s">
        <x:v>78</x:v>
      </x:c>
      <x:c r="E120" s="10" t="s">
        <x:v>184</x:v>
      </x:c>
      <x:c r="F120" s="10" t="s">
        <x:v>9</x:v>
      </x:c>
      <x:c r="G120" s="10" t="s">
        <x:v>64</x:v>
      </x:c>
      <x:c r="H120" s="10" t="s">
        <x:v>64</x:v>
      </x:c>
      <x:c r="I120" s="10"/>
      <x:c r="J120" s="10"/>
      <x:c r="K120" s="10"/>
      <x:c r="L120" s="10"/>
      <x:c r="M120" s="10">
        <x:f t="shared" si="1"/>
        <x:v>1</x:v>
      </x:c>
    </x:row>
    <x:row r="121" ht="27.600000381469727">
      <x:c r="A121" s="10">
        <x:v>120</x:v>
      </x:c>
      <x:c r="B121" s="10" t="s">
        <x:v>29</x:v>
      </x:c>
      <x:c r="C121" s="10" t="s">
        <x:v>175</x:v>
      </x:c>
      <x:c r="D121" s="10" t="s">
        <x:v>84</x:v>
      </x:c>
      <x:c r="E121" s="10" t="s">
        <x:v>185</x:v>
      </x:c>
      <x:c r="F121" s="10" t="s">
        <x:v>9</x:v>
      </x:c>
      <x:c r="G121" s="10" t="s">
        <x:v>52</x:v>
      </x:c>
      <x:c r="H121" s="10" t="s">
        <x:v>64</x:v>
      </x:c>
      <x:c r="I121" s="10"/>
      <x:c r="J121" s="10"/>
      <x:c r="K121" s="10"/>
      <x:c r="L121" s="10"/>
      <x:c r="M121" s="10">
        <x:f t="shared" si="1"/>
        <x:v>1</x:v>
      </x:c>
    </x:row>
    <x:row r="122" ht="27.600000381469727">
      <x:c r="A122" s="10">
        <x:v>121</x:v>
      </x:c>
      <x:c r="B122" s="10" t="s">
        <x:v>29</x:v>
      </x:c>
      <x:c r="C122" s="10" t="s">
        <x:v>175</x:v>
      </x:c>
      <x:c r="D122" s="10" t="s">
        <x:v>84</x:v>
      </x:c>
      <x:c r="E122" s="10" t="s">
        <x:v>186</x:v>
      </x:c>
      <x:c r="F122" s="10" t="s">
        <x:v>9</x:v>
      </x:c>
      <x:c r="G122" s="10" t="s">
        <x:v>52</x:v>
      </x:c>
      <x:c r="H122" s="10" t="s">
        <x:v>64</x:v>
      </x:c>
      <x:c r="I122" s="10"/>
      <x:c r="J122" s="10"/>
      <x:c r="K122" s="10"/>
      <x:c r="L122" s="10"/>
      <x:c r="M122" s="10">
        <x:f t="shared" si="1"/>
        <x:v>1</x:v>
      </x:c>
    </x:row>
    <x:row r="123" ht="27.600000381469727">
      <x:c r="A123" s="10">
        <x:v>122</x:v>
      </x:c>
      <x:c r="B123" s="10" t="s">
        <x:v>29</x:v>
      </x:c>
      <x:c r="C123" s="10" t="s">
        <x:v>187</x:v>
      </x:c>
      <x:c r="D123" s="10" t="s">
        <x:v>62</x:v>
      </x:c>
      <x:c r="E123" s="10" t="s">
        <x:v>188</x:v>
      </x:c>
      <x:c r="F123" s="10" t="s">
        <x:v>9</x:v>
      </x:c>
      <x:c r="G123" s="10" t="s">
        <x:v>64</x:v>
      </x:c>
      <x:c r="H123" s="10" t="s">
        <x:v>64</x:v>
      </x:c>
      <x:c r="I123" s="10"/>
      <x:c r="J123" s="10"/>
      <x:c r="K123" s="10"/>
      <x:c r="L123" s="10"/>
      <x:c r="M123" s="10">
        <x:f t="shared" si="1"/>
        <x:v>1</x:v>
      </x:c>
    </x:row>
    <x:row r="124" ht="27.600000381469727">
      <x:c r="A124" s="10">
        <x:v>123</x:v>
      </x:c>
      <x:c r="B124" s="10" t="s">
        <x:v>29</x:v>
      </x:c>
      <x:c r="C124" s="10" t="s">
        <x:v>187</x:v>
      </x:c>
      <x:c r="D124" s="10" t="s">
        <x:v>62</x:v>
      </x:c>
      <x:c r="E124" s="10" t="s">
        <x:v>189</x:v>
      </x:c>
      <x:c r="F124" s="10" t="s">
        <x:v>9</x:v>
      </x:c>
      <x:c r="G124" s="10" t="s">
        <x:v>64</x:v>
      </x:c>
      <x:c r="H124" s="10" t="s">
        <x:v>64</x:v>
      </x:c>
      <x:c r="I124" s="10"/>
      <x:c r="J124" s="10"/>
      <x:c r="K124" s="10"/>
      <x:c r="L124" s="10"/>
      <x:c r="M124" s="10">
        <x:f t="shared" si="1"/>
        <x:v>1</x:v>
      </x:c>
    </x:row>
    <x:row r="125" ht="27.600000381469727">
      <x:c r="A125" s="10">
        <x:v>124</x:v>
      </x:c>
      <x:c r="B125" s="10" t="s">
        <x:v>29</x:v>
      </x:c>
      <x:c r="C125" s="10" t="s">
        <x:v>187</x:v>
      </x:c>
      <x:c r="D125" s="10" t="s">
        <x:v>62</x:v>
      </x:c>
      <x:c r="E125" s="10" t="s">
        <x:v>190</x:v>
      </x:c>
      <x:c r="F125" s="10" t="s">
        <x:v>9</x:v>
      </x:c>
      <x:c r="G125" s="10" t="s">
        <x:v>64</x:v>
      </x:c>
      <x:c r="H125" s="10" t="s">
        <x:v>64</x:v>
      </x:c>
      <x:c r="I125" s="10"/>
      <x:c r="J125" s="10"/>
      <x:c r="K125" s="10"/>
      <x:c r="L125" s="10"/>
      <x:c r="M125" s="10">
        <x:f t="shared" si="1"/>
        <x:v>1</x:v>
      </x:c>
    </x:row>
    <x:row r="126" ht="27.600000381469727">
      <x:c r="A126" s="10">
        <x:v>125</x:v>
      </x:c>
      <x:c r="B126" s="10" t="s">
        <x:v>29</x:v>
      </x:c>
      <x:c r="C126" s="10" t="s">
        <x:v>187</x:v>
      </x:c>
      <x:c r="D126" s="10" t="s">
        <x:v>62</x:v>
      </x:c>
      <x:c r="E126" s="10" t="s">
        <x:v>191</x:v>
      </x:c>
      <x:c r="F126" s="10" t="s">
        <x:v>9</x:v>
      </x:c>
      <x:c r="G126" s="10" t="s">
        <x:v>64</x:v>
      </x:c>
      <x:c r="H126" s="10" t="s">
        <x:v>64</x:v>
      </x:c>
      <x:c r="I126" s="10"/>
      <x:c r="J126" s="10"/>
      <x:c r="K126" s="10"/>
      <x:c r="L126" s="10"/>
      <x:c r="M126" s="10">
        <x:f t="shared" si="1"/>
        <x:v>1</x:v>
      </x:c>
    </x:row>
    <x:row r="127" ht="27.600000381469727">
      <x:c r="A127" s="10">
        <x:v>126</x:v>
      </x:c>
      <x:c r="B127" s="10" t="s">
        <x:v>29</x:v>
      </x:c>
      <x:c r="C127" s="10" t="s">
        <x:v>187</x:v>
      </x:c>
      <x:c r="D127" s="10" t="s">
        <x:v>62</x:v>
      </x:c>
      <x:c r="E127" s="10" t="s">
        <x:v>192</x:v>
      </x:c>
      <x:c r="F127" s="10" t="s">
        <x:v>9</x:v>
      </x:c>
      <x:c r="G127" s="10" t="s">
        <x:v>52</x:v>
      </x:c>
      <x:c r="H127" s="10" t="s">
        <x:v>64</x:v>
      </x:c>
      <x:c r="I127" s="10"/>
      <x:c r="J127" s="10"/>
      <x:c r="K127" s="10"/>
      <x:c r="L127" s="10"/>
      <x:c r="M127" s="10">
        <x:f t="shared" si="1"/>
        <x:v>1</x:v>
      </x:c>
    </x:row>
    <x:row r="128" ht="27.600000381469727">
      <x:c r="A128" s="10">
        <x:v>127</x:v>
      </x:c>
      <x:c r="B128" s="10" t="s">
        <x:v>29</x:v>
      </x:c>
      <x:c r="C128" s="10" t="s">
        <x:v>187</x:v>
      </x:c>
      <x:c r="D128" s="10" t="s">
        <x:v>62</x:v>
      </x:c>
      <x:c r="E128" s="10" t="s">
        <x:v>193</x:v>
      </x:c>
      <x:c r="F128" s="10" t="s">
        <x:v>9</x:v>
      </x:c>
      <x:c r="G128" s="10" t="s">
        <x:v>64</x:v>
      </x:c>
      <x:c r="H128" s="10" t="s">
        <x:v>64</x:v>
      </x:c>
      <x:c r="I128" s="10"/>
      <x:c r="J128" s="10"/>
      <x:c r="K128" s="10"/>
      <x:c r="L128" s="10"/>
      <x:c r="M128" s="10">
        <x:f t="shared" si="1"/>
        <x:v>1</x:v>
      </x:c>
    </x:row>
    <x:row r="129" ht="27.600000381469727">
      <x:c r="A129" s="10">
        <x:v>128</x:v>
      </x:c>
      <x:c r="B129" s="10" t="s">
        <x:v>29</x:v>
      </x:c>
      <x:c r="C129" s="10" t="s">
        <x:v>187</x:v>
      </x:c>
      <x:c r="D129" s="10" t="s">
        <x:v>62</x:v>
      </x:c>
      <x:c r="E129" s="10" t="s">
        <x:v>194</x:v>
      </x:c>
      <x:c r="F129" s="10" t="s">
        <x:v>9</x:v>
      </x:c>
      <x:c r="G129" s="10" t="s">
        <x:v>52</x:v>
      </x:c>
      <x:c r="H129" s="10" t="s">
        <x:v>64</x:v>
      </x:c>
      <x:c r="I129" s="10"/>
      <x:c r="J129" s="10"/>
      <x:c r="K129" s="10"/>
      <x:c r="L129" s="10"/>
      <x:c r="M129" s="10">
        <x:f t="shared" si="1"/>
        <x:v>1</x:v>
      </x:c>
    </x:row>
    <x:row r="130" ht="27.600000381469727">
      <x:c r="A130" s="10">
        <x:v>129</x:v>
      </x:c>
      <x:c r="B130" s="10" t="s">
        <x:v>29</x:v>
      </x:c>
      <x:c r="C130" s="10" t="s">
        <x:v>187</x:v>
      </x:c>
      <x:c r="D130" s="10" t="s">
        <x:v>78</x:v>
      </x:c>
      <x:c r="E130" s="10" t="s">
        <x:v>195</x:v>
      </x:c>
      <x:c r="F130" s="10" t="s">
        <x:v>9</x:v>
      </x:c>
      <x:c r="G130" s="10" t="s">
        <x:v>64</x:v>
      </x:c>
      <x:c r="H130" s="10" t="s">
        <x:v>64</x:v>
      </x:c>
      <x:c r="I130" s="10"/>
      <x:c r="J130" s="10"/>
      <x:c r="K130" s="10"/>
      <x:c r="L130" s="10"/>
      <x:c r="M130" s="10" t="n">
        <x:f t="shared" ref="M130:M193" si="2">IF(F130="Hoàn thành",1,0)</x:f>
        <x:v>1</x:v>
      </x:c>
    </x:row>
    <x:row r="131" ht="27.600000381469727">
      <x:c r="A131" s="10">
        <x:v>130</x:v>
      </x:c>
      <x:c r="B131" s="10" t="s">
        <x:v>29</x:v>
      </x:c>
      <x:c r="C131" s="10" t="s">
        <x:v>187</x:v>
      </x:c>
      <x:c r="D131" s="10" t="s">
        <x:v>78</x:v>
      </x:c>
      <x:c r="E131" s="10" t="s">
        <x:v>196</x:v>
      </x:c>
      <x:c r="F131" s="10" t="s">
        <x:v>9</x:v>
      </x:c>
      <x:c r="G131" s="10" t="s">
        <x:v>64</x:v>
      </x:c>
      <x:c r="H131" s="10" t="s">
        <x:v>64</x:v>
      </x:c>
      <x:c r="I131" s="10"/>
      <x:c r="J131" s="10"/>
      <x:c r="K131" s="10"/>
      <x:c r="L131" s="10"/>
      <x:c r="M131" s="10">
        <x:f t="shared" si="2"/>
        <x:v>1</x:v>
      </x:c>
    </x:row>
    <x:row r="132" ht="27.600000381469727">
      <x:c r="A132" s="10">
        <x:v>131</x:v>
      </x:c>
      <x:c r="B132" s="10" t="s">
        <x:v>29</x:v>
      </x:c>
      <x:c r="C132" s="10" t="s">
        <x:v>187</x:v>
      </x:c>
      <x:c r="D132" s="10" t="s">
        <x:v>84</x:v>
      </x:c>
      <x:c r="E132" s="10" t="s">
        <x:v>197</x:v>
      </x:c>
      <x:c r="F132" s="10" t="s">
        <x:v>9</x:v>
      </x:c>
      <x:c r="G132" s="10" t="s">
        <x:v>52</x:v>
      </x:c>
      <x:c r="H132" s="10" t="s">
        <x:v>64</x:v>
      </x:c>
      <x:c r="I132" s="10"/>
      <x:c r="J132" s="10"/>
      <x:c r="K132" s="10"/>
      <x:c r="L132" s="10"/>
      <x:c r="M132" s="10">
        <x:f t="shared" si="2"/>
        <x:v>1</x:v>
      </x:c>
    </x:row>
    <x:row r="133" ht="27.600000381469727">
      <x:c r="A133" s="10">
        <x:v>132</x:v>
      </x:c>
      <x:c r="B133" s="10" t="s">
        <x:v>29</x:v>
      </x:c>
      <x:c r="C133" s="10" t="s">
        <x:v>187</x:v>
      </x:c>
      <x:c r="D133" s="10" t="s">
        <x:v>84</x:v>
      </x:c>
      <x:c r="E133" s="10" t="s">
        <x:v>198</x:v>
      </x:c>
      <x:c r="F133" s="10" t="s">
        <x:v>9</x:v>
      </x:c>
      <x:c r="G133" s="10" t="s">
        <x:v>52</x:v>
      </x:c>
      <x:c r="H133" s="10" t="s">
        <x:v>64</x:v>
      </x:c>
      <x:c r="I133" s="10"/>
      <x:c r="J133" s="10"/>
      <x:c r="K133" s="10"/>
      <x:c r="L133" s="10"/>
      <x:c r="M133" s="10">
        <x:f t="shared" si="2"/>
        <x:v>1</x:v>
      </x:c>
    </x:row>
    <x:row r="134" ht="27.600000381469727">
      <x:c r="A134" s="10">
        <x:v>133</x:v>
      </x:c>
      <x:c r="B134" s="10" t="s">
        <x:v>29</x:v>
      </x:c>
      <x:c r="C134" s="10" t="s">
        <x:v>187</x:v>
      </x:c>
      <x:c r="D134" s="10" t="s">
        <x:v>84</x:v>
      </x:c>
      <x:c r="E134" s="10" t="s">
        <x:v>199</x:v>
      </x:c>
      <x:c r="F134" s="10" t="s">
        <x:v>9</x:v>
      </x:c>
      <x:c r="G134" s="10" t="s">
        <x:v>52</x:v>
      </x:c>
      <x:c r="H134" s="10" t="s">
        <x:v>64</x:v>
      </x:c>
      <x:c r="I134" s="10"/>
      <x:c r="J134" s="10"/>
      <x:c r="K134" s="10"/>
      <x:c r="L134" s="10"/>
      <x:c r="M134" s="10">
        <x:f t="shared" si="2"/>
        <x:v>1</x:v>
      </x:c>
    </x:row>
    <x:row r="135" ht="27.600000381469727">
      <x:c r="A135" s="10">
        <x:v>134</x:v>
      </x:c>
      <x:c r="B135" s="10" t="s">
        <x:v>29</x:v>
      </x:c>
      <x:c r="C135" s="10" t="s">
        <x:v>187</x:v>
      </x:c>
      <x:c r="D135" s="10" t="s">
        <x:v>84</x:v>
      </x:c>
      <x:c r="E135" s="10" t="s">
        <x:v>200</x:v>
      </x:c>
      <x:c r="F135" s="10" t="s">
        <x:v>9</x:v>
      </x:c>
      <x:c r="G135" s="10" t="s">
        <x:v>52</x:v>
      </x:c>
      <x:c r="H135" s="10" t="s">
        <x:v>64</x:v>
      </x:c>
      <x:c r="I135" s="10"/>
      <x:c r="J135" s="10"/>
      <x:c r="K135" s="10"/>
      <x:c r="L135" s="10"/>
      <x:c r="M135" s="10">
        <x:f t="shared" si="2"/>
        <x:v>1</x:v>
      </x:c>
    </x:row>
    <x:row r="136" ht="16.950000762939453" customHeight="1">
      <x:c r="A136" s="10">
        <x:v>135</x:v>
      </x:c>
      <x:c r="B136" s="10" t="s">
        <x:v>29</x:v>
      </x:c>
      <x:c r="C136" s="10" t="s">
        <x:v>201</x:v>
      </x:c>
      <x:c r="D136" s="10" t="s">
        <x:v>62</x:v>
      </x:c>
      <x:c r="E136" s="10" t="s">
        <x:v>202</x:v>
      </x:c>
      <x:c r="F136" s="10" t="s">
        <x:v>9</x:v>
      </x:c>
      <x:c r="G136" s="10" t="s">
        <x:v>52</x:v>
      </x:c>
      <x:c r="H136" s="10" t="s">
        <x:v>52</x:v>
      </x:c>
      <x:c r="I136" s="10"/>
      <x:c r="J136" s="10"/>
      <x:c r="K136" s="10" t="s">
        <x:v>203</x:v>
      </x:c>
      <x:c r="L136" s="10"/>
      <x:c r="M136" s="10">
        <x:f t="shared" si="2"/>
        <x:v>1</x:v>
      </x:c>
    </x:row>
    <x:row r="137" ht="16.950000762939453" customHeight="1">
      <x:c r="A137" s="10">
        <x:v>136</x:v>
      </x:c>
      <x:c r="B137" s="10" t="s">
        <x:v>29</x:v>
      </x:c>
      <x:c r="C137" s="10" t="s">
        <x:v>201</x:v>
      </x:c>
      <x:c r="D137" s="10" t="s">
        <x:v>62</x:v>
      </x:c>
      <x:c r="E137" s="10" t="s">
        <x:v>204</x:v>
      </x:c>
      <x:c r="F137" s="10" t="s">
        <x:v>9</x:v>
      </x:c>
      <x:c r="G137" s="10" t="s">
        <x:v>52</x:v>
      </x:c>
      <x:c r="H137" s="10" t="s">
        <x:v>52</x:v>
      </x:c>
      <x:c r="I137" s="10"/>
      <x:c r="J137" s="10"/>
      <x:c r="K137" s="10" t="s">
        <x:v>203</x:v>
      </x:c>
      <x:c r="L137" s="10"/>
      <x:c r="M137" s="10">
        <x:f t="shared" si="2"/>
        <x:v>1</x:v>
      </x:c>
    </x:row>
    <x:row r="138" ht="16.950000762939453" customHeight="1">
      <x:c r="A138" s="10">
        <x:v>137</x:v>
      </x:c>
      <x:c r="B138" s="10" t="s">
        <x:v>29</x:v>
      </x:c>
      <x:c r="C138" s="10" t="s">
        <x:v>201</x:v>
      </x:c>
      <x:c r="D138" s="10" t="s">
        <x:v>62</x:v>
      </x:c>
      <x:c r="E138" s="10" t="s">
        <x:v>205</x:v>
      </x:c>
      <x:c r="F138" s="10" t="s">
        <x:v>9</x:v>
      </x:c>
      <x:c r="G138" s="10" t="s">
        <x:v>52</x:v>
      </x:c>
      <x:c r="H138" s="10" t="s">
        <x:v>52</x:v>
      </x:c>
      <x:c r="I138" s="10"/>
      <x:c r="J138" s="10"/>
      <x:c r="K138" s="10" t="s">
        <x:v>203</x:v>
      </x:c>
      <x:c r="L138" s="10"/>
      <x:c r="M138" s="10">
        <x:f t="shared" si="2"/>
        <x:v>1</x:v>
      </x:c>
    </x:row>
    <x:row r="139" ht="16.950000762939453" customHeight="1">
      <x:c r="A139" s="10">
        <x:v>138</x:v>
      </x:c>
      <x:c r="B139" s="10" t="s">
        <x:v>29</x:v>
      </x:c>
      <x:c r="C139" s="10" t="s">
        <x:v>201</x:v>
      </x:c>
      <x:c r="D139" s="10" t="s">
        <x:v>62</x:v>
      </x:c>
      <x:c r="E139" s="10" t="s">
        <x:v>206</x:v>
      </x:c>
      <x:c r="F139" s="10" t="s">
        <x:v>9</x:v>
      </x:c>
      <x:c r="G139" s="10" t="s">
        <x:v>52</x:v>
      </x:c>
      <x:c r="H139" s="10" t="s">
        <x:v>52</x:v>
      </x:c>
      <x:c r="I139" s="10"/>
      <x:c r="J139" s="10"/>
      <x:c r="K139" s="10" t="s">
        <x:v>203</x:v>
      </x:c>
      <x:c r="L139" s="10"/>
      <x:c r="M139" s="10">
        <x:f t="shared" si="2"/>
        <x:v>1</x:v>
      </x:c>
    </x:row>
    <x:row r="140" ht="16.950000762939453" customHeight="1">
      <x:c r="A140" s="10">
        <x:v>139</x:v>
      </x:c>
      <x:c r="B140" s="10" t="s">
        <x:v>29</x:v>
      </x:c>
      <x:c r="C140" s="10" t="s">
        <x:v>201</x:v>
      </x:c>
      <x:c r="D140" s="10" t="s">
        <x:v>62</x:v>
      </x:c>
      <x:c r="E140" s="10" t="s">
        <x:v>207</x:v>
      </x:c>
      <x:c r="F140" s="10" t="s">
        <x:v>9</x:v>
      </x:c>
      <x:c r="G140" s="10" t="s">
        <x:v>52</x:v>
      </x:c>
      <x:c r="H140" s="10" t="s">
        <x:v>52</x:v>
      </x:c>
      <x:c r="I140" s="10"/>
      <x:c r="J140" s="10"/>
      <x:c r="K140" s="10" t="s">
        <x:v>203</x:v>
      </x:c>
      <x:c r="L140" s="10"/>
      <x:c r="M140" s="10">
        <x:f t="shared" si="2"/>
        <x:v>1</x:v>
      </x:c>
    </x:row>
    <x:row r="141" ht="16.950000762939453" customHeight="1">
      <x:c r="A141" s="10">
        <x:v>140</x:v>
      </x:c>
      <x:c r="B141" s="10" t="s">
        <x:v>29</x:v>
      </x:c>
      <x:c r="C141" s="10" t="s">
        <x:v>201</x:v>
      </x:c>
      <x:c r="D141" s="10" t="s">
        <x:v>62</x:v>
      </x:c>
      <x:c r="E141" s="10" t="s">
        <x:v>208</x:v>
      </x:c>
      <x:c r="F141" s="10" t="s">
        <x:v>9</x:v>
      </x:c>
      <x:c r="G141" s="10" t="s">
        <x:v>52</x:v>
      </x:c>
      <x:c r="H141" s="10" t="s">
        <x:v>52</x:v>
      </x:c>
      <x:c r="I141" s="10"/>
      <x:c r="J141" s="10"/>
      <x:c r="K141" s="10" t="s">
        <x:v>203</x:v>
      </x:c>
      <x:c r="L141" s="10"/>
      <x:c r="M141" s="10">
        <x:f t="shared" si="2"/>
        <x:v>1</x:v>
      </x:c>
    </x:row>
    <x:row r="142" ht="16.950000762939453" customHeight="1">
      <x:c r="A142" s="10">
        <x:v>141</x:v>
      </x:c>
      <x:c r="B142" s="10" t="s">
        <x:v>29</x:v>
      </x:c>
      <x:c r="C142" s="10" t="s">
        <x:v>201</x:v>
      </x:c>
      <x:c r="D142" s="10" t="s">
        <x:v>62</x:v>
      </x:c>
      <x:c r="E142" s="10" t="s">
        <x:v>209</x:v>
      </x:c>
      <x:c r="F142" s="10" t="s">
        <x:v>9</x:v>
      </x:c>
      <x:c r="G142" s="10" t="s">
        <x:v>52</x:v>
      </x:c>
      <x:c r="H142" s="10" t="s">
        <x:v>52</x:v>
      </x:c>
      <x:c r="I142" s="10"/>
      <x:c r="J142" s="10"/>
      <x:c r="K142" s="10" t="s">
        <x:v>203</x:v>
      </x:c>
      <x:c r="L142" s="10"/>
      <x:c r="M142" s="10">
        <x:f t="shared" si="2"/>
        <x:v>1</x:v>
      </x:c>
    </x:row>
    <x:row r="143" ht="16.950000762939453" customHeight="1">
      <x:c r="A143" s="10">
        <x:v>142</x:v>
      </x:c>
      <x:c r="B143" s="10" t="s">
        <x:v>29</x:v>
      </x:c>
      <x:c r="C143" s="10" t="s">
        <x:v>201</x:v>
      </x:c>
      <x:c r="D143" s="10" t="s">
        <x:v>62</x:v>
      </x:c>
      <x:c r="E143" s="10" t="s">
        <x:v>210</x:v>
      </x:c>
      <x:c r="F143" s="10" t="s">
        <x:v>9</x:v>
      </x:c>
      <x:c r="G143" s="10" t="s">
        <x:v>52</x:v>
      </x:c>
      <x:c r="H143" s="10" t="s">
        <x:v>52</x:v>
      </x:c>
      <x:c r="I143" s="10"/>
      <x:c r="J143" s="10"/>
      <x:c r="K143" s="10" t="s">
        <x:v>203</x:v>
      </x:c>
      <x:c r="L143" s="10"/>
      <x:c r="M143" s="10">
        <x:f t="shared" si="2"/>
        <x:v>1</x:v>
      </x:c>
    </x:row>
    <x:row r="144" ht="16.950000762939453" customHeight="1">
      <x:c r="A144" s="10">
        <x:v>143</x:v>
      </x:c>
      <x:c r="B144" s="10" t="s">
        <x:v>29</x:v>
      </x:c>
      <x:c r="C144" s="10" t="s">
        <x:v>201</x:v>
      </x:c>
      <x:c r="D144" s="10" t="s">
        <x:v>62</x:v>
      </x:c>
      <x:c r="E144" s="10" t="s">
        <x:v>211</x:v>
      </x:c>
      <x:c r="F144" s="10" t="s">
        <x:v>9</x:v>
      </x:c>
      <x:c r="G144" s="10" t="s">
        <x:v>52</x:v>
      </x:c>
      <x:c r="H144" s="10" t="s">
        <x:v>52</x:v>
      </x:c>
      <x:c r="I144" s="10"/>
      <x:c r="J144" s="10"/>
      <x:c r="K144" s="10" t="s">
        <x:v>203</x:v>
      </x:c>
      <x:c r="L144" s="10"/>
      <x:c r="M144" s="10">
        <x:f t="shared" si="2"/>
        <x:v>1</x:v>
      </x:c>
    </x:row>
    <x:row r="145" ht="16.950000762939453" customHeight="1">
      <x:c r="A145" s="10">
        <x:v>144</x:v>
      </x:c>
      <x:c r="B145" s="10" t="s">
        <x:v>29</x:v>
      </x:c>
      <x:c r="C145" s="10" t="s">
        <x:v>201</x:v>
      </x:c>
      <x:c r="D145" s="10" t="s">
        <x:v>62</x:v>
      </x:c>
      <x:c r="E145" s="10" t="s">
        <x:v>212</x:v>
      </x:c>
      <x:c r="F145" s="10" t="s">
        <x:v>9</x:v>
      </x:c>
      <x:c r="G145" s="10" t="s">
        <x:v>52</x:v>
      </x:c>
      <x:c r="H145" s="10" t="s">
        <x:v>52</x:v>
      </x:c>
      <x:c r="I145" s="10"/>
      <x:c r="J145" s="10"/>
      <x:c r="K145" s="10" t="s">
        <x:v>203</x:v>
      </x:c>
      <x:c r="L145" s="10"/>
      <x:c r="M145" s="10">
        <x:f t="shared" si="2"/>
        <x:v>1</x:v>
      </x:c>
    </x:row>
    <x:row r="146" ht="16.950000762939453" customHeight="1">
      <x:c r="A146" s="10">
        <x:v>145</x:v>
      </x:c>
      <x:c r="B146" s="10" t="s">
        <x:v>29</x:v>
      </x:c>
      <x:c r="C146" s="10" t="s">
        <x:v>201</x:v>
      </x:c>
      <x:c r="D146" s="10" t="s">
        <x:v>62</x:v>
      </x:c>
      <x:c r="E146" s="10" t="s">
        <x:v>213</x:v>
      </x:c>
      <x:c r="F146" s="10" t="s">
        <x:v>9</x:v>
      </x:c>
      <x:c r="G146" s="10" t="s">
        <x:v>52</x:v>
      </x:c>
      <x:c r="H146" s="10" t="s">
        <x:v>52</x:v>
      </x:c>
      <x:c r="I146" s="10"/>
      <x:c r="J146" s="10"/>
      <x:c r="K146" s="10" t="s">
        <x:v>203</x:v>
      </x:c>
      <x:c r="L146" s="10"/>
      <x:c r="M146" s="10">
        <x:f t="shared" si="2"/>
        <x:v>1</x:v>
      </x:c>
    </x:row>
    <x:row r="147" ht="16.950000762939453" customHeight="1">
      <x:c r="A147" s="10">
        <x:v>146</x:v>
      </x:c>
      <x:c r="B147" s="10" t="s">
        <x:v>29</x:v>
      </x:c>
      <x:c r="C147" s="10" t="s">
        <x:v>201</x:v>
      </x:c>
      <x:c r="D147" s="10" t="s">
        <x:v>78</x:v>
      </x:c>
      <x:c r="E147" s="10" t="s">
        <x:v>214</x:v>
      </x:c>
      <x:c r="F147" s="10" t="s">
        <x:v>9</x:v>
      </x:c>
      <x:c r="G147" s="10" t="s">
        <x:v>64</x:v>
      </x:c>
      <x:c r="H147" s="10" t="s">
        <x:v>64</x:v>
      </x:c>
      <x:c r="I147" s="10"/>
      <x:c r="J147" s="10"/>
      <x:c r="K147" s="10" t="s">
        <x:v>203</x:v>
      </x:c>
      <x:c r="L147" s="10" t="s">
        <x:v>215</x:v>
      </x:c>
      <x:c r="M147" s="10">
        <x:f t="shared" si="2"/>
        <x:v>1</x:v>
      </x:c>
    </x:row>
    <x:row r="148" ht="33.75" customHeight="1">
      <x:c r="A148" s="10">
        <x:v>147</x:v>
      </x:c>
      <x:c r="B148" s="10" t="s">
        <x:v>29</x:v>
      </x:c>
      <x:c r="C148" s="10" t="s">
        <x:v>201</x:v>
      </x:c>
      <x:c r="D148" s="10" t="s">
        <x:v>78</x:v>
      </x:c>
      <x:c r="E148" s="10" t="s">
        <x:v>216</x:v>
      </x:c>
      <x:c r="F148" s="10" t="s">
        <x:v>9</x:v>
      </x:c>
      <x:c r="G148" s="10" t="s">
        <x:v>64</x:v>
      </x:c>
      <x:c r="H148" s="10" t="s">
        <x:v>64</x:v>
      </x:c>
      <x:c r="I148" s="10"/>
      <x:c r="J148" s="10"/>
      <x:c r="K148" s="10" t="s">
        <x:v>203</x:v>
      </x:c>
      <x:c r="L148" s="10" t="s">
        <x:v>217</x:v>
      </x:c>
      <x:c r="M148" s="10">
        <x:f t="shared" si="2"/>
        <x:v>1</x:v>
      </x:c>
    </x:row>
    <x:row r="149" ht="16.950000762939453" customHeight="1">
      <x:c r="A149" s="10">
        <x:v>148</x:v>
      </x:c>
      <x:c r="B149" s="10" t="s">
        <x:v>29</x:v>
      </x:c>
      <x:c r="C149" s="10" t="s">
        <x:v>201</x:v>
      </x:c>
      <x:c r="D149" s="10" t="s">
        <x:v>84</x:v>
      </x:c>
      <x:c r="E149" s="10" t="s">
        <x:v>218</x:v>
      </x:c>
      <x:c r="F149" s="10" t="s">
        <x:v>9</x:v>
      </x:c>
      <x:c r="G149" s="10" t="s">
        <x:v>52</x:v>
      </x:c>
      <x:c r="H149" s="10" t="s">
        <x:v>52</x:v>
      </x:c>
      <x:c r="I149" s="10"/>
      <x:c r="J149" s="10"/>
      <x:c r="K149" s="10" t="s">
        <x:v>203</x:v>
      </x:c>
      <x:c r="L149" s="10" t="s">
        <x:v>219</x:v>
      </x:c>
      <x:c r="M149" s="10">
        <x:f t="shared" si="2"/>
        <x:v>1</x:v>
      </x:c>
    </x:row>
    <x:row r="150" ht="52.79999923706055" customHeight="1">
      <x:c r="A150" s="10">
        <x:v>149</x:v>
      </x:c>
      <x:c r="B150" s="10" t="s">
        <x:v>29</x:v>
      </x:c>
      <x:c r="C150" s="10" t="s">
        <x:v>220</x:v>
      </x:c>
      <x:c r="D150" s="10" t="s">
        <x:v>62</x:v>
      </x:c>
      <x:c r="E150" s="10" t="s">
        <x:v>221</x:v>
      </x:c>
      <x:c r="F150" s="10" t="s">
        <x:v>9</x:v>
      </x:c>
      <x:c r="G150" s="10" t="s">
        <x:v>52</x:v>
      </x:c>
      <x:c r="H150" s="10" t="s">
        <x:v>52</x:v>
      </x:c>
      <x:c r="I150" s="10"/>
      <x:c r="J150" s="10"/>
      <x:c r="K150" s="10" t="s">
        <x:v>222</x:v>
      </x:c>
      <x:c r="L150" s="10" t="s">
        <x:v>223</x:v>
      </x:c>
      <x:c r="M150" s="10">
        <x:f t="shared" si="2"/>
        <x:v>1</x:v>
      </x:c>
    </x:row>
    <x:row r="151" ht="95.0999984741211" customHeight="1">
      <x:c r="A151" s="10">
        <x:v>150</x:v>
      </x:c>
      <x:c r="B151" s="10" t="s">
        <x:v>29</x:v>
      </x:c>
      <x:c r="C151" s="10" t="s">
        <x:v>220</x:v>
      </x:c>
      <x:c r="D151" s="10" t="s">
        <x:v>62</x:v>
      </x:c>
      <x:c r="E151" s="10" t="s">
        <x:v>224</x:v>
      </x:c>
      <x:c r="F151" s="10" t="s">
        <x:v>9</x:v>
      </x:c>
      <x:c r="G151" s="10" t="s">
        <x:v>52</x:v>
      </x:c>
      <x:c r="H151" s="10" t="s">
        <x:v>52</x:v>
      </x:c>
      <x:c r="I151" s="10"/>
      <x:c r="J151" s="10"/>
      <x:c r="K151" s="10" t="s">
        <x:v>225</x:v>
      </x:c>
      <x:c r="L151" s="10" t="s">
        <x:v>226</x:v>
      </x:c>
      <x:c r="M151" s="10">
        <x:f t="shared" si="2"/>
        <x:v>1</x:v>
      </x:c>
    </x:row>
    <x:row r="152" ht="63.29999923706055" customHeight="1">
      <x:c r="A152" s="10">
        <x:v>151</x:v>
      </x:c>
      <x:c r="B152" s="10" t="s">
        <x:v>29</x:v>
      </x:c>
      <x:c r="C152" s="10" t="s">
        <x:v>220</x:v>
      </x:c>
      <x:c r="D152" s="10" t="s">
        <x:v>62</x:v>
      </x:c>
      <x:c r="E152" s="10" t="s">
        <x:v>227</x:v>
      </x:c>
      <x:c r="F152" s="10" t="s">
        <x:v>9</x:v>
      </x:c>
      <x:c r="G152" s="10" t="s">
        <x:v>52</x:v>
      </x:c>
      <x:c r="H152" s="10" t="s">
        <x:v>64</x:v>
      </x:c>
      <x:c r="I152" s="10"/>
      <x:c r="J152" s="10"/>
      <x:c r="K152" s="10" t="s">
        <x:v>228</x:v>
      </x:c>
      <x:c r="L152" s="10" t="s">
        <x:v>229</x:v>
      </x:c>
      <x:c r="M152" s="10">
        <x:f t="shared" si="2"/>
        <x:v>1</x:v>
      </x:c>
    </x:row>
    <x:row r="153" ht="63.29999923706055" customHeight="1">
      <x:c r="A153" s="10">
        <x:v>152</x:v>
      </x:c>
      <x:c r="B153" s="10" t="s">
        <x:v>29</x:v>
      </x:c>
      <x:c r="C153" s="10" t="s">
        <x:v>220</x:v>
      </x:c>
      <x:c r="D153" s="10" t="s">
        <x:v>62</x:v>
      </x:c>
      <x:c r="E153" s="10" t="s">
        <x:v>230</x:v>
      </x:c>
      <x:c r="F153" s="10" t="s">
        <x:v>9</x:v>
      </x:c>
      <x:c r="G153" s="10" t="s">
        <x:v>52</x:v>
      </x:c>
      <x:c r="H153" s="10" t="s">
        <x:v>64</x:v>
      </x:c>
      <x:c r="I153" s="10"/>
      <x:c r="J153" s="10"/>
      <x:c r="K153" s="10" t="s">
        <x:v>231</x:v>
      </x:c>
      <x:c r="L153" s="10" t="s">
        <x:v>232</x:v>
      </x:c>
      <x:c r="M153" s="10">
        <x:f t="shared" si="2"/>
        <x:v>1</x:v>
      </x:c>
    </x:row>
    <x:row r="154" ht="158.39999389648438" customHeight="1">
      <x:c r="A154" s="10">
        <x:v>153</x:v>
      </x:c>
      <x:c r="B154" s="10" t="s">
        <x:v>29</x:v>
      </x:c>
      <x:c r="C154" s="10" t="s">
        <x:v>220</x:v>
      </x:c>
      <x:c r="D154" s="10" t="s">
        <x:v>62</x:v>
      </x:c>
      <x:c r="E154" s="10" t="s">
        <x:v>233</x:v>
      </x:c>
      <x:c r="F154" s="10" t="s">
        <x:v>9</x:v>
      </x:c>
      <x:c r="G154" s="10" t="s">
        <x:v>52</x:v>
      </x:c>
      <x:c r="H154" s="10" t="s">
        <x:v>52</x:v>
      </x:c>
      <x:c r="I154" s="10"/>
      <x:c r="J154" s="10"/>
      <x:c r="K154" s="10" t="s">
        <x:v>234</x:v>
      </x:c>
      <x:c r="L154" s="10" t="s">
        <x:v>235</x:v>
      </x:c>
      <x:c r="M154" s="10">
        <x:f t="shared" si="2"/>
        <x:v>1</x:v>
      </x:c>
    </x:row>
    <x:row r="155" ht="95.0999984741211" customHeight="1">
      <x:c r="A155" s="10">
        <x:v>154</x:v>
      </x:c>
      <x:c r="B155" s="10" t="s">
        <x:v>29</x:v>
      </x:c>
      <x:c r="C155" s="10" t="s">
        <x:v>220</x:v>
      </x:c>
      <x:c r="D155" s="10" t="s">
        <x:v>62</x:v>
      </x:c>
      <x:c r="E155" s="10" t="s">
        <x:v>236</x:v>
      </x:c>
      <x:c r="F155" s="10" t="s">
        <x:v>9</x:v>
      </x:c>
      <x:c r="G155" s="10" t="s">
        <x:v>52</x:v>
      </x:c>
      <x:c r="H155" s="10" t="s">
        <x:v>52</x:v>
      </x:c>
      <x:c r="I155" s="10"/>
      <x:c r="J155" s="10"/>
      <x:c r="K155" s="10" t="s">
        <x:v>237</x:v>
      </x:c>
      <x:c r="L155" s="10" t="s">
        <x:v>238</x:v>
      </x:c>
      <x:c r="M155" s="10">
        <x:f t="shared" si="2"/>
        <x:v>1</x:v>
      </x:c>
    </x:row>
    <x:row r="156" ht="95.0999984741211" customHeight="1">
      <x:c r="A156" s="10">
        <x:v>155</x:v>
      </x:c>
      <x:c r="B156" s="10" t="s">
        <x:v>29</x:v>
      </x:c>
      <x:c r="C156" s="10" t="s">
        <x:v>220</x:v>
      </x:c>
      <x:c r="D156" s="10" t="s">
        <x:v>84</x:v>
      </x:c>
      <x:c r="E156" s="10" t="s">
        <x:v>239</x:v>
      </x:c>
      <x:c r="F156" s="10" t="s">
        <x:v>9</x:v>
      </x:c>
      <x:c r="G156" s="10" t="s">
        <x:v>52</x:v>
      </x:c>
      <x:c r="H156" s="10" t="s">
        <x:v>52</x:v>
      </x:c>
      <x:c r="I156" s="10"/>
      <x:c r="J156" s="10"/>
      <x:c r="K156" s="10" t="s">
        <x:v>240</x:v>
      </x:c>
      <x:c r="L156" s="10" t="s">
        <x:v>241</x:v>
      </x:c>
      <x:c r="M156" s="10">
        <x:f t="shared" si="2"/>
        <x:v>1</x:v>
      </x:c>
    </x:row>
    <x:row r="157" ht="190.0500030517578" customHeight="1">
      <x:c r="A157" s="10">
        <x:v>156</x:v>
      </x:c>
      <x:c r="B157" s="10" t="s">
        <x:v>29</x:v>
      </x:c>
      <x:c r="C157" s="10" t="s">
        <x:v>220</x:v>
      </x:c>
      <x:c r="D157" s="10" t="s">
        <x:v>78</x:v>
      </x:c>
      <x:c r="E157" s="10" t="s">
        <x:v>242</x:v>
      </x:c>
      <x:c r="F157" s="10" t="s">
        <x:v>9</x:v>
      </x:c>
      <x:c r="G157" s="10" t="s">
        <x:v>64</x:v>
      </x:c>
      <x:c r="H157" s="10" t="s">
        <x:v>64</x:v>
      </x:c>
      <x:c r="I157" s="10"/>
      <x:c r="J157" s="10"/>
      <x:c r="K157" s="10" t="s">
        <x:v>243</x:v>
      </x:c>
      <x:c r="L157" s="10" t="s">
        <x:v>244</x:v>
      </x:c>
      <x:c r="M157" s="10">
        <x:f t="shared" si="2"/>
        <x:v>1</x:v>
      </x:c>
    </x:row>
    <x:row r="158" ht="52.79999923706055" customHeight="1">
      <x:c r="A158" s="10">
        <x:v>157</x:v>
      </x:c>
      <x:c r="B158" s="10" t="s">
        <x:v>29</x:v>
      </x:c>
      <x:c r="C158" s="10" t="s">
        <x:v>245</x:v>
      </x:c>
      <x:c r="D158" s="10" t="s">
        <x:v>62</x:v>
      </x:c>
      <x:c r="E158" s="10" t="s">
        <x:v>246</x:v>
      </x:c>
      <x:c r="F158" s="10" t="str">
        <x:v>Hoàn thành</x:v>
      </x:c>
      <x:c r="G158" s="10" t="s">
        <x:v>52</x:v>
      </x:c>
      <x:c r="H158" s="10" t="s">
        <x:v>52</x:v>
      </x:c>
      <x:c r="I158" s="10"/>
      <x:c r="J158" s="10"/>
      <x:c r="K158" s="10" t="str">
        <x:v>CLOSED / PASS; full conversion implementation completed; protocol version=1.0.0; final JPEG quality=95; guardrail tests PASS; no training.</x:v>
      </x:c>
      <x:c r="L158" s="10" t="str">
        <x:v>scripts/02D1B_full_dicom_to_jpg.py
tests/test_phase2D1B_full_guardrails.py
reports/phase2D1B_full_preflight.json
reports/phase2D1B_full_preflight.md</x:v>
      </x:c>
      <x:c r="M158" s="10">
        <x:f t="shared" si="2"/>
        <x:v>0</x:v>
      </x:c>
    </x:row>
    <x:row r="159" ht="42.150001525878906" customHeight="1">
      <x:c r="A159" s="10">
        <x:v>158</x:v>
      </x:c>
      <x:c r="B159" s="10" t="s">
        <x:v>29</x:v>
      </x:c>
      <x:c r="C159" s="10" t="s">
        <x:v>245</x:v>
      </x:c>
      <x:c r="D159" s="10" t="s">
        <x:v>84</x:v>
      </x:c>
      <x:c r="E159" s="10" t="s">
        <x:v>247</x:v>
      </x:c>
      <x:c r="F159" s="10" t="str">
        <x:v>Hoàn thành</x:v>
      </x:c>
      <x:c r="G159" s="10" t="s">
        <x:v>52</x:v>
      </x:c>
      <x:c r="H159" s="10" t="s">
        <x:v>52</x:v>
      </x:c>
      <x:c r="I159" s="10"/>
      <x:c r="J159" s="10"/>
      <x:c r="K159" s="10" t="str">
        <x:v>CLOSED / PASS; processed=4,894/4,894; output JPG=4,894; missing=0; duplicate image_id=0; decode errors=0; uniform JPEG quality=95.</x:v>
      </x:c>
      <x:c r="L159" s="10" t="str">
        <x:v>reports/phase2D1B_full_validation.json
reports/phase2D1B_full_validation.md
reports/phase2D1B_full_errors.csv</x:v>
      </x:c>
      <x:c r="M159" s="10">
        <x:f t="shared" si="2"/>
        <x:v>0</x:v>
      </x:c>
    </x:row>
    <x:row r="160" ht="52.79999923706055" customHeight="1">
      <x:c r="A160" s="10">
        <x:v>159</x:v>
      </x:c>
      <x:c r="B160" s="10" t="s">
        <x:v>29</x:v>
      </x:c>
      <x:c r="C160" s="10" t="s">
        <x:v>245</x:v>
      </x:c>
      <x:c r="D160" s="10" t="s">
        <x:v>84</x:v>
      </x:c>
      <x:c r="E160" s="10" t="s">
        <x:v>248</x:v>
      </x:c>
      <x:c r="F160" s="10" t="str">
        <x:v>Hoàn thành</x:v>
      </x:c>
      <x:c r="G160" s="10" t="s">
        <x:v>52</x:v>
      </x:c>
      <x:c r="H160" s="10" t="s">
        <x:v>52</x:v>
      </x:c>
      <x:c r="I160" s="10"/>
      <x:c r="J160" s="10"/>
      <x:c r="K160" s="10" t="str">
        <x:v>CLOSED / PASS; width/height mismatches=0; orientation changes=0; resize=0; crop=0; rotation=0; flip=0; transpose=0.</x:v>
      </x:c>
      <x:c r="L160" s="10" t="str">
        <x:v>reports/phase2D1B_full_metadata_audit.csv
reports/phase2D1B_full_validation.json</x:v>
      </x:c>
      <x:c r="M160" s="10">
        <x:f t="shared" si="2"/>
        <x:v>0</x:v>
      </x:c>
    </x:row>
    <x:row r="161" ht="52.79999923706055" customHeight="1">
      <x:c r="A161" s="10">
        <x:v>160</x:v>
      </x:c>
      <x:c r="B161" s="10" t="s">
        <x:v>29</x:v>
      </x:c>
      <x:c r="C161" s="10" t="s">
        <x:v>245</x:v>
      </x:c>
      <x:c r="D161" s="10" t="s">
        <x:v>84</x:v>
      </x:c>
      <x:c r="E161" s="10" t="s">
        <x:v>249</x:v>
      </x:c>
      <x:c r="F161" s="10" t="str">
        <x:v>Hoàn thành</x:v>
      </x:c>
      <x:c r="G161" s="10" t="s">
        <x:v>52</x:v>
      </x:c>
      <x:c r="H161" s="10" t="s">
        <x:v>52</x:v>
      </x:c>
      <x:c r="I161" s="10"/>
      <x:c r="J161" s="10"/>
      <x:c r="K161" s="10" t="str">
        <x:v>CLOSED / PASS; bbox_scaling_required=false; bbox coordinates preserved; invalid/out-of-bound bbox=0; no clamp, scale, delete or fuse operation.</x:v>
      </x:c>
      <x:c r="L161" s="10" t="str">
        <x:v>reports/phase2D1B_full_bbox_audit.csv
reports/phase2D1B_full_validation.json</x:v>
      </x:c>
      <x:c r="M161" s="10">
        <x:f t="shared" si="2"/>
        <x:v>0</x:v>
      </x:c>
    </x:row>
    <x:row r="162" ht="52.79999923706055" customHeight="1">
      <x:c r="A162" s="10">
        <x:v>161</x:v>
      </x:c>
      <x:c r="B162" s="10" t="s">
        <x:v>29</x:v>
      </x:c>
      <x:c r="C162" s="10" t="s">
        <x:v>245</x:v>
      </x:c>
      <x:c r="D162" s="10" t="s">
        <x:v>78</x:v>
      </x:c>
      <x:c r="E162" s="10" t="s">
        <x:v>250</x:v>
      </x:c>
      <x:c r="F162" s="10" t="str">
        <x:v>Hoàn thành</x:v>
      </x:c>
      <x:c r="G162" s="10" t="s">
        <x:v>52</x:v>
      </x:c>
      <x:c r="H162" s="10" t="s">
        <x:v>52</x:v>
      </x:c>
      <x:c r="I162" s="10"/>
      <x:c r="J162" s="10"/>
      <x:c r="K162" s="10" t="str">
        <x:v>CLOSED / PASS; coco_master_jpg.json created as validated path-only JPG derivative; coco_master.json remains the official annotation master.</x:v>
      </x:c>
      <x:c r="L162" s="10" t="str">
        <x:v>data/processed/coco/coco_master_jpg.json
reports/phase2D1B_full_validation.json</x:v>
      </x:c>
      <x:c r="M162" s="10">
        <x:f t="shared" si="2"/>
        <x:v>0</x:v>
      </x:c>
    </x:row>
    <x:row r="163" ht="42.150001525878906" customHeight="1">
      <x:c r="A163" s="10">
        <x:v>162</x:v>
      </x:c>
      <x:c r="B163" s="10" t="s">
        <x:v>29</x:v>
      </x:c>
      <x:c r="C163" s="10" t="s">
        <x:v>245</x:v>
      </x:c>
      <x:c r="D163" s="10" t="s">
        <x:v>84</x:v>
      </x:c>
      <x:c r="E163" s="10" t="s">
        <x:v>251</x:v>
      </x:c>
      <x:c r="F163" s="10" t="str">
        <x:v>Hoàn thành</x:v>
      </x:c>
      <x:c r="G163" s="10" t="s">
        <x:v>52</x:v>
      </x:c>
      <x:c r="H163" s="10" t="s">
        <x:v>52</x:v>
      </x:c>
      <x:c r="I163" s="10"/>
      <x:c r="J163" s="10"/>
      <x:c r="K163" s="10" t="str">
        <x:v>CLOSED / PASS; COCO-JPG images=4,894; annotations=36,096; categories=14; missing JPG references=0.</x:v>
      </x:c>
      <x:c r="L163" s="10" t="str">
        <x:v>data/processed/coco/coco_master_jpg.json
reports/phase2D1B_full_validation.json</x:v>
      </x:c>
      <x:c r="M163" s="10">
        <x:f t="shared" si="2"/>
        <x:v>0</x:v>
      </x:c>
    </x:row>
    <x:row r="164" ht="42.150001525878906" customHeight="1">
      <x:c r="A164" s="10">
        <x:v>163</x:v>
      </x:c>
      <x:c r="B164" s="10" t="s">
        <x:v>29</x:v>
      </x:c>
      <x:c r="C164" s="10" t="s">
        <x:v>245</x:v>
      </x:c>
      <x:c r="D164" s="10" t="s">
        <x:v>84</x:v>
      </x:c>
      <x:c r="E164" s="10" t="s">
        <x:v>252</x:v>
      </x:c>
      <x:c r="F164" s="10" t="str">
        <x:v>Hoàn thành</x:v>
      </x:c>
      <x:c r="G164" s="10" t="s">
        <x:v>52</x:v>
      </x:c>
      <x:c r="H164" s="10" t="s">
        <x:v>52</x:v>
      </x:c>
      <x:c r="I164" s="10"/>
      <x:c r="J164" s="10"/>
      <x:c r="K164" s="10" t="str">
        <x:v>CLOSED / PASS; abnormal images=4,394; No Finding images=500; No Finding annotations=0; No Finding category absent.</x:v>
      </x:c>
      <x:c r="L164" s="10" t="str">
        <x:v>reports/phase2D1B_full_no_finding_audit.csv
reports/phase2D1B_full_validation.json</x:v>
      </x:c>
      <x:c r="M164" s="10">
        <x:f t="shared" si="2"/>
        <x:v>0</x:v>
      </x:c>
    </x:row>
    <x:row r="165" ht="42.150001525878906" customHeight="1">
      <x:c r="A165" s="10">
        <x:v>164</x:v>
      </x:c>
      <x:c r="B165" s="10" t="s">
        <x:v>29</x:v>
      </x:c>
      <x:c r="C165" s="10" t="s">
        <x:v>245</x:v>
      </x:c>
      <x:c r="D165" s="10" t="s">
        <x:v>84</x:v>
      </x:c>
      <x:c r="E165" s="10" t="s">
        <x:v>253</x:v>
      </x:c>
      <x:c r="F165" s="10" t="str">
        <x:v>Hoàn thành</x:v>
      </x:c>
      <x:c r="G165" s="10" t="s">
        <x:v>52</x:v>
      </x:c>
      <x:c r="H165" s="10" t="s">
        <x:v>52</x:v>
      </x:c>
      <x:c r="I165" s="10"/>
      <x:c r="J165" s="10"/>
      <x:c r="K165" s="10" t="str">
        <x:v>CLOSED / PASS; bbox, area, category, annotation ID and traceability mismatches=0; geometry and category mapping validation PASS.</x:v>
      </x:c>
      <x:c r="L165" s="10" t="str">
        <x:v>reports/phase2D1B_full_bbox_audit.csv
reports/phase2D1B_full_mapping.csv
reports/phase2D1B_full_validation.json</x:v>
      </x:c>
      <x:c r="M165" s="10">
        <x:f t="shared" si="2"/>
        <x:v>0</x:v>
      </x:c>
    </x:row>
    <x:row r="166" ht="52.79999923706055" customHeight="1">
      <x:c r="A166" s="10">
        <x:v>165</x:v>
      </x:c>
      <x:c r="B166" s="10" t="s">
        <x:v>29</x:v>
      </x:c>
      <x:c r="C166" s="10" t="s">
        <x:v>245</x:v>
      </x:c>
      <x:c r="D166" s="10" t="s">
        <x:v>78</x:v>
      </x:c>
      <x:c r="E166" s="10" t="s">
        <x:v>254</x:v>
      </x:c>
      <x:c r="F166" s="10" t="str">
        <x:v>Hoàn thành</x:v>
      </x:c>
      <x:c r="G166" s="10" t="s">
        <x:v>64</x:v>
      </x:c>
      <x:c r="H166" s="10" t="s">
        <x:v>64</x:v>
      </x:c>
      <x:c r="I166" s="10"/>
      <x:c r="J166" s="10"/>
      <x:c r="K166" s="10" t="str">
        <x:v>CLOSED / PASS; full DICOM-to-JPG traceability mapping created for all 4,894 images; missing mappings=0; duplicate image IDs=0.</x:v>
      </x:c>
      <x:c r="L166" s="10" t="str">
        <x:v>reports/phase2D1B_full_mapping.csv
reports/phase2D1B_full_mapping.jsonl</x:v>
      </x:c>
      <x:c r="M166" s="10">
        <x:f t="shared" si="2"/>
        <x:v>0</x:v>
      </x:c>
    </x:row>
    <x:row r="167" ht="84.44999694824219" customHeight="1">
      <x:c r="A167" s="10">
        <x:v>166</x:v>
      </x:c>
      <x:c r="B167" s="10" t="s">
        <x:v>29</x:v>
      </x:c>
      <x:c r="C167" s="10" t="s">
        <x:v>245</x:v>
      </x:c>
      <x:c r="D167" s="10" t="s">
        <x:v>78</x:v>
      </x:c>
      <x:c r="E167" s="10" t="s">
        <x:v>255</x:v>
      </x:c>
      <x:c r="F167" s="10" t="str">
        <x:v>Hoàn thành</x:v>
      </x:c>
      <x:c r="G167" s="10" t="s">
        <x:v>64</x:v>
      </x:c>
      <x:c r="H167" s="10" t="s">
        <x:v>64</x:v>
      </x:c>
      <x:c r="I167" s="10"/>
      <x:c r="J167" s="10"/>
      <x:c r="K167" s="10" t="str">
        <x:v>CLOSED / PASS; full metadata, bbox, No Finding and conversion-error audits created; conversion errors=0.</x:v>
      </x:c>
      <x:c r="L167" s="10" t="str">
        <x:v>reports/phase2D1B_full_metadata_audit.csv
reports/phase2D1B_full_bbox_audit.csv
reports/phase2D1B_full_no_finding_audit.csv
reports/phase2D1B_full_errors.csv</x:v>
      </x:c>
      <x:c r="M167" s="10">
        <x:f t="shared" si="2"/>
        <x:v>0</x:v>
      </x:c>
    </x:row>
    <x:row r="168" ht="52.79999923706055" customHeight="1">
      <x:c r="A168" s="10">
        <x:v>167</x:v>
      </x:c>
      <x:c r="B168" s="10" t="s">
        <x:v>29</x:v>
      </x:c>
      <x:c r="C168" s="10" t="s">
        <x:v>245</x:v>
      </x:c>
      <x:c r="D168" s="10" t="s">
        <x:v>78</x:v>
      </x:c>
      <x:c r="E168" s="10" t="s">
        <x:v>256</x:v>
      </x:c>
      <x:c r="F168" s="10" t="str">
        <x:v>Hoàn thành</x:v>
      </x:c>
      <x:c r="G168" s="10" t="s">
        <x:v>64</x:v>
      </x:c>
      <x:c r="H168" s="10" t="s">
        <x:v>64</x:v>
      </x:c>
      <x:c r="I168" s="10"/>
      <x:c r="J168" s="10"/>
      <x:c r="K168" s="10" t="str">
        <x:v>CLOSED / PASS; full preflight, validation, promotion, cleanup and final-output-integrity evidence created.</x:v>
      </x:c>
      <x:c r="L168" s="10" t="str">
        <x:v>reports/phase2D1B_full_preflight.json
reports/phase2D1B_full_preflight.md
reports/phase2D1B_full_validation.json
reports/phase2D1B_full_validation.md
reports/phase2D1B_full_promotion.json
reports/phase2D1B_full_cleanup_audit.json</x:v>
      </x:c>
      <x:c r="M168" s="10">
        <x:f t="shared" si="2"/>
        <x:v>0</x:v>
      </x:c>
    </x:row>
    <x:row r="169" ht="63.29999923706055" customHeight="1">
      <x:c r="A169" s="10">
        <x:v>168</x:v>
      </x:c>
      <x:c r="B169" s="10" t="s">
        <x:v>29</x:v>
      </x:c>
      <x:c r="C169" s="10" t="s">
        <x:v>245</x:v>
      </x:c>
      <x:c r="D169" s="10" t="s">
        <x:v>84</x:v>
      </x:c>
      <x:c r="E169" s="10" t="s">
        <x:v>257</x:v>
      </x:c>
      <x:c r="F169" s="10" t="str">
        <x:v>Hoàn thành</x:v>
      </x:c>
      <x:c r="G169" s="10" t="s">
        <x:v>52</x:v>
      </x:c>
      <x:c r="H169" s="10" t="s">
        <x:v>52</x:v>
      </x:c>
      <x:c r="I169" s="10"/>
      <x:c r="J169" s="10"/>
      <x:c r="K169" s="10" t="str">
        <x:v>CLOSED / PASS; full conversion and validation GPT/researcher review PASS; JPG representation and COCO-JPG derivative ready. MMDetection loading, empty-image retention, dataset training readiness and training authorization remain false.</x:v>
      </x:c>
      <x:c r="L169" s="10" t="str">
        <x:v>reports/phase2D1B_full_validation.md
reports/phase2D1B_full_promotion.json
reports/phase2D1B_full_cleanup_audit.json</x:v>
      </x:c>
      <x:c r="M169" s="10">
        <x:f t="shared" si="2"/>
        <x:v>0</x:v>
      </x:c>
    </x:row>
    <x:row r="170" ht="33.75" customHeight="1">
      <x:c r="A170" s="10">
        <x:v>169</x:v>
      </x:c>
      <x:c r="B170" s="10" t="s">
        <x:v>29</x:v>
      </x:c>
      <x:c r="C170" s="10" t="s">
        <x:v>258</x:v>
      </x:c>
      <x:c r="D170" s="10" t="s">
        <x:v>62</x:v>
      </x:c>
      <x:c r="E170" s="10" t="s">
        <x:v>259</x:v>
      </x:c>
      <x:c r="F170" s="10" t="s">
        <x:v>3</x:v>
      </x:c>
      <x:c r="G170" s="10" t="s">
        <x:v>52</x:v>
      </x:c>
      <x:c r="H170" s="10" t="s">
        <x:v>52</x:v>
      </x:c>
      <x:c r="I170" s="10"/>
      <x:c r="J170" s="10"/>
      <x:c r="K170" s="10" t="str">
        <x:v>NOT STARTED / NEXT; unlocked after Phase 2D.1B-Full CLOSED / PASS; Google Colab; no training.</x:v>
      </x:c>
      <x:c r="L170" s="10" t="s">
        <x:v>260</x:v>
      </x:c>
      <x:c r="M170" s="10">
        <x:f t="shared" si="2"/>
        <x:v>0</x:v>
      </x:c>
    </x:row>
    <x:row r="171" ht="16.950000762939453" customHeight="1">
      <x:c r="A171" s="10">
        <x:v>170</x:v>
      </x:c>
      <x:c r="B171" s="10" t="s">
        <x:v>29</x:v>
      </x:c>
      <x:c r="C171" s="10" t="s">
        <x:v>258</x:v>
      </x:c>
      <x:c r="D171" s="10" t="s">
        <x:v>84</x:v>
      </x:c>
      <x:c r="E171" s="10" t="s">
        <x:v>261</x:v>
      </x:c>
      <x:c r="F171" s="10" t="s">
        <x:v>3</x:v>
      </x:c>
      <x:c r="G171" s="10" t="s">
        <x:v>52</x:v>
      </x:c>
      <x:c r="H171" s="10" t="s">
        <x:v>52</x:v>
      </x:c>
      <x:c r="I171" s="10"/>
      <x:c r="J171" s="10"/>
      <x:c r="K171" s="10" t="str">
        <x:v>NOT STARTED / NEXT; unlocked after Phase 2D.1B-Full CLOSED / PASS; Google Colab; no training.</x:v>
      </x:c>
      <x:c r="L171" s="10"/>
      <x:c r="M171" s="10">
        <x:f t="shared" si="2"/>
        <x:v>0</x:v>
      </x:c>
    </x:row>
    <x:row r="172" ht="16.950000762939453" customHeight="1">
      <x:c r="A172" s="10">
        <x:v>171</x:v>
      </x:c>
      <x:c r="B172" s="10" t="s">
        <x:v>29</x:v>
      </x:c>
      <x:c r="C172" s="10" t="s">
        <x:v>258</x:v>
      </x:c>
      <x:c r="D172" s="10" t="s">
        <x:v>84</x:v>
      </x:c>
      <x:c r="E172" s="10" t="s">
        <x:v>262</x:v>
      </x:c>
      <x:c r="F172" s="10" t="s">
        <x:v>3</x:v>
      </x:c>
      <x:c r="G172" s="10" t="s">
        <x:v>52</x:v>
      </x:c>
      <x:c r="H172" s="10" t="s">
        <x:v>52</x:v>
      </x:c>
      <x:c r="I172" s="10"/>
      <x:c r="J172" s="10"/>
      <x:c r="K172" s="10" t="str">
        <x:v>NOT STARTED / NEXT; unlocked after Phase 2D.1B-Full CLOSED / PASS; Google Colab; no training.</x:v>
      </x:c>
      <x:c r="L172" s="10"/>
      <x:c r="M172" s="10">
        <x:f t="shared" si="2"/>
        <x:v>0</x:v>
      </x:c>
    </x:row>
    <x:row r="173" ht="16.950000762939453" customHeight="1">
      <x:c r="A173" s="10">
        <x:v>172</x:v>
      </x:c>
      <x:c r="B173" s="10" t="s">
        <x:v>29</x:v>
      </x:c>
      <x:c r="C173" s="10" t="s">
        <x:v>258</x:v>
      </x:c>
      <x:c r="D173" s="10" t="s">
        <x:v>84</x:v>
      </x:c>
      <x:c r="E173" s="10" t="s">
        <x:v>263</x:v>
      </x:c>
      <x:c r="F173" s="10" t="s">
        <x:v>3</x:v>
      </x:c>
      <x:c r="G173" s="10" t="s">
        <x:v>52</x:v>
      </x:c>
      <x:c r="H173" s="10" t="s">
        <x:v>52</x:v>
      </x:c>
      <x:c r="I173" s="10"/>
      <x:c r="J173" s="10"/>
      <x:c r="K173" s="10" t="str">
        <x:v>NOT STARTED / NEXT; unlocked after Phase 2D.1B-Full CLOSED / PASS; Google Colab; no training.</x:v>
      </x:c>
      <x:c r="L173" s="10"/>
      <x:c r="M173" s="10">
        <x:f t="shared" si="2"/>
        <x:v>0</x:v>
      </x:c>
    </x:row>
    <x:row r="174" ht="16.950000762939453" customHeight="1">
      <x:c r="A174" s="10">
        <x:v>173</x:v>
      </x:c>
      <x:c r="B174" s="10" t="s">
        <x:v>29</x:v>
      </x:c>
      <x:c r="C174" s="10" t="s">
        <x:v>258</x:v>
      </x:c>
      <x:c r="D174" s="10" t="s">
        <x:v>84</x:v>
      </x:c>
      <x:c r="E174" s="10" t="s">
        <x:v>264</x:v>
      </x:c>
      <x:c r="F174" s="10" t="s">
        <x:v>3</x:v>
      </x:c>
      <x:c r="G174" s="10" t="s">
        <x:v>52</x:v>
      </x:c>
      <x:c r="H174" s="10" t="s">
        <x:v>52</x:v>
      </x:c>
      <x:c r="I174" s="10"/>
      <x:c r="J174" s="10"/>
      <x:c r="K174" s="10" t="str">
        <x:v>NOT STARTED / NEXT; unlocked after Phase 2D.1B-Full CLOSED / PASS; Google Colab; no training.</x:v>
      </x:c>
      <x:c r="L174" s="10"/>
      <x:c r="M174" s="10">
        <x:f t="shared" si="2"/>
        <x:v>0</x:v>
      </x:c>
    </x:row>
    <x:row r="175" ht="16.950000762939453" customHeight="1">
      <x:c r="A175" s="10">
        <x:v>174</x:v>
      </x:c>
      <x:c r="B175" s="10" t="s">
        <x:v>29</x:v>
      </x:c>
      <x:c r="C175" s="10" t="s">
        <x:v>258</x:v>
      </x:c>
      <x:c r="D175" s="10" t="s">
        <x:v>84</x:v>
      </x:c>
      <x:c r="E175" s="10" t="s">
        <x:v>265</x:v>
      </x:c>
      <x:c r="F175" s="10" t="s">
        <x:v>3</x:v>
      </x:c>
      <x:c r="G175" s="10" t="s">
        <x:v>52</x:v>
      </x:c>
      <x:c r="H175" s="10" t="s">
        <x:v>52</x:v>
      </x:c>
      <x:c r="I175" s="10"/>
      <x:c r="J175" s="10"/>
      <x:c r="K175" s="10" t="str">
        <x:v>NOT STARTED / NEXT; unlocked after Phase 2D.1B-Full CLOSED / PASS; Google Colab; no training.</x:v>
      </x:c>
      <x:c r="L175" s="10"/>
      <x:c r="M175" s="10">
        <x:f t="shared" si="2"/>
        <x:v>0</x:v>
      </x:c>
    </x:row>
    <x:row r="176" ht="16.950000762939453" customHeight="1">
      <x:c r="A176" s="10">
        <x:v>175</x:v>
      </x:c>
      <x:c r="B176" s="10" t="s">
        <x:v>29</x:v>
      </x:c>
      <x:c r="C176" s="10" t="s">
        <x:v>258</x:v>
      </x:c>
      <x:c r="D176" s="10" t="s">
        <x:v>84</x:v>
      </x:c>
      <x:c r="E176" s="10" t="s">
        <x:v>266</x:v>
      </x:c>
      <x:c r="F176" s="10" t="s">
        <x:v>3</x:v>
      </x:c>
      <x:c r="G176" s="10" t="s">
        <x:v>52</x:v>
      </x:c>
      <x:c r="H176" s="10" t="s">
        <x:v>52</x:v>
      </x:c>
      <x:c r="I176" s="10"/>
      <x:c r="J176" s="10"/>
      <x:c r="K176" s="10" t="str">
        <x:v>NOT STARTED / NEXT; unlocked after Phase 2D.1B-Full CLOSED / PASS; Google Colab; no training.</x:v>
      </x:c>
      <x:c r="L176" s="10"/>
      <x:c r="M176" s="10">
        <x:f t="shared" si="2"/>
        <x:v>0</x:v>
      </x:c>
    </x:row>
    <x:row r="177" ht="16.950000762939453" customHeight="1">
      <x:c r="A177" s="10">
        <x:v>176</x:v>
      </x:c>
      <x:c r="B177" s="10" t="s">
        <x:v>29</x:v>
      </x:c>
      <x:c r="C177" s="10" t="s">
        <x:v>258</x:v>
      </x:c>
      <x:c r="D177" s="10" t="s">
        <x:v>84</x:v>
      </x:c>
      <x:c r="E177" s="10" t="s">
        <x:v>267</x:v>
      </x:c>
      <x:c r="F177" s="10" t="s">
        <x:v>3</x:v>
      </x:c>
      <x:c r="G177" s="10" t="s">
        <x:v>52</x:v>
      </x:c>
      <x:c r="H177" s="10" t="s">
        <x:v>52</x:v>
      </x:c>
      <x:c r="I177" s="10"/>
      <x:c r="J177" s="10"/>
      <x:c r="K177" s="10" t="str">
        <x:v>NOT STARTED / NEXT; unlocked after Phase 2D.1B-Full CLOSED / PASS; Google Colab; no training.</x:v>
      </x:c>
      <x:c r="L177" s="10"/>
      <x:c r="M177" s="10">
        <x:f t="shared" si="2"/>
        <x:v>0</x:v>
      </x:c>
    </x:row>
    <x:row r="178" ht="33.75" customHeight="1">
      <x:c r="A178" s="10">
        <x:v>177</x:v>
      </x:c>
      <x:c r="B178" s="10" t="s">
        <x:v>29</x:v>
      </x:c>
      <x:c r="C178" s="10" t="s">
        <x:v>258</x:v>
      </x:c>
      <x:c r="D178" s="10" t="s">
        <x:v>78</x:v>
      </x:c>
      <x:c r="E178" s="10" t="s">
        <x:v>268</x:v>
      </x:c>
      <x:c r="F178" s="10" t="s">
        <x:v>3</x:v>
      </x:c>
      <x:c r="G178" s="10" t="s">
        <x:v>64</x:v>
      </x:c>
      <x:c r="H178" s="10" t="s">
        <x:v>64</x:v>
      </x:c>
      <x:c r="I178" s="10"/>
      <x:c r="J178" s="10"/>
      <x:c r="K178" s="10" t="str">
        <x:v>NOT STARTED / NEXT; unlocked after Phase 2D.1B-Full CLOSED / PASS; Google Colab; no training.</x:v>
      </x:c>
      <x:c r="L178" s="10" t="s">
        <x:v>269</x:v>
      </x:c>
      <x:c r="M178" s="10">
        <x:f t="shared" si="2"/>
        <x:v>0</x:v>
      </x:c>
    </x:row>
    <x:row r="179" ht="84.44999694824219" customHeight="1">
      <x:c r="A179" s="10">
        <x:v>178</x:v>
      </x:c>
      <x:c r="B179" s="10" t="s">
        <x:v>29</x:v>
      </x:c>
      <x:c r="C179" s="10" t="s">
        <x:v>258</x:v>
      </x:c>
      <x:c r="D179" s="10" t="s">
        <x:v>78</x:v>
      </x:c>
      <x:c r="E179" s="10" t="s">
        <x:v>270</x:v>
      </x:c>
      <x:c r="F179" s="10" t="s">
        <x:v>3</x:v>
      </x:c>
      <x:c r="G179" s="10" t="s">
        <x:v>64</x:v>
      </x:c>
      <x:c r="H179" s="10" t="s">
        <x:v>64</x:v>
      </x:c>
      <x:c r="I179" s="10"/>
      <x:c r="J179" s="10"/>
      <x:c r="K179" s="10" t="str">
        <x:v>NOT STARTED / NEXT; unlocked after Phase 2D.1B-Full CLOSED / PASS; Google Colab; no training.</x:v>
      </x:c>
      <x:c r="L179" s="10" t="s">
        <x:v>271</x:v>
      </x:c>
      <x:c r="M179" s="10">
        <x:f t="shared" si="2"/>
        <x:v>0</x:v>
      </x:c>
    </x:row>
    <x:row r="180" ht="16.950000762939453" customHeight="1">
      <x:c r="A180" s="10">
        <x:v>179</x:v>
      </x:c>
      <x:c r="B180" s="10" t="s">
        <x:v>29</x:v>
      </x:c>
      <x:c r="C180" s="10" t="s">
        <x:v>272</x:v>
      </x:c>
      <x:c r="D180" s="10" t="s">
        <x:v>62</x:v>
      </x:c>
      <x:c r="E180" s="10" t="s">
        <x:v>273</x:v>
      </x:c>
      <x:c r="F180" s="10" t="s">
        <x:v>3</x:v>
      </x:c>
      <x:c r="G180" s="10" t="s">
        <x:v>52</x:v>
      </x:c>
      <x:c r="H180" s="10" t="s">
        <x:v>64</x:v>
      </x:c>
      <x:c r="I180" s="10"/>
      <x:c r="J180" s="10"/>
      <x:c r="K180" s="10" t="s">
        <x:v>274</x:v>
      </x:c>
      <x:c r="L180" s="10"/>
      <x:c r="M180" s="10">
        <x:f t="shared" si="2"/>
        <x:v>0</x:v>
      </x:c>
    </x:row>
    <x:row r="181" ht="16.950000762939453" customHeight="1">
      <x:c r="A181" s="10">
        <x:v>180</x:v>
      </x:c>
      <x:c r="B181" s="10" t="s">
        <x:v>29</x:v>
      </x:c>
      <x:c r="C181" s="10" t="s">
        <x:v>272</x:v>
      </x:c>
      <x:c r="D181" s="10" t="s">
        <x:v>62</x:v>
      </x:c>
      <x:c r="E181" s="10" t="s">
        <x:v>275</x:v>
      </x:c>
      <x:c r="F181" s="10" t="s">
        <x:v>3</x:v>
      </x:c>
      <x:c r="G181" s="10" t="s">
        <x:v>52</x:v>
      </x:c>
      <x:c r="H181" s="10" t="s">
        <x:v>64</x:v>
      </x:c>
      <x:c r="I181" s="10"/>
      <x:c r="J181" s="10"/>
      <x:c r="K181" s="10" t="s">
        <x:v>274</x:v>
      </x:c>
      <x:c r="L181" s="10"/>
      <x:c r="M181" s="10">
        <x:f t="shared" si="2"/>
        <x:v>0</x:v>
      </x:c>
    </x:row>
    <x:row r="182" ht="16.950000762939453" customHeight="1">
      <x:c r="A182" s="10">
        <x:v>181</x:v>
      </x:c>
      <x:c r="B182" s="10" t="s">
        <x:v>29</x:v>
      </x:c>
      <x:c r="C182" s="10" t="s">
        <x:v>272</x:v>
      </x:c>
      <x:c r="D182" s="10" t="s">
        <x:v>84</x:v>
      </x:c>
      <x:c r="E182" s="10" t="s">
        <x:v>276</x:v>
      </x:c>
      <x:c r="F182" s="10" t="s">
        <x:v>3</x:v>
      </x:c>
      <x:c r="G182" s="10" t="s">
        <x:v>52</x:v>
      </x:c>
      <x:c r="H182" s="10" t="s">
        <x:v>52</x:v>
      </x:c>
      <x:c r="I182" s="10"/>
      <x:c r="J182" s="10"/>
      <x:c r="K182" s="10" t="s">
        <x:v>274</x:v>
      </x:c>
      <x:c r="L182" s="10"/>
      <x:c r="M182" s="10">
        <x:f t="shared" si="2"/>
        <x:v>0</x:v>
      </x:c>
    </x:row>
    <x:row r="183" ht="16.950000762939453" customHeight="1">
      <x:c r="A183" s="10">
        <x:v>182</x:v>
      </x:c>
      <x:c r="B183" s="10" t="s">
        <x:v>29</x:v>
      </x:c>
      <x:c r="C183" s="10" t="s">
        <x:v>272</x:v>
      </x:c>
      <x:c r="D183" s="10" t="s">
        <x:v>84</x:v>
      </x:c>
      <x:c r="E183" s="10" t="s">
        <x:v>277</x:v>
      </x:c>
      <x:c r="F183" s="10" t="s">
        <x:v>3</x:v>
      </x:c>
      <x:c r="G183" s="10" t="s">
        <x:v>52</x:v>
      </x:c>
      <x:c r="H183" s="10" t="s">
        <x:v>52</x:v>
      </x:c>
      <x:c r="I183" s="10"/>
      <x:c r="J183" s="10"/>
      <x:c r="K183" s="10" t="s">
        <x:v>274</x:v>
      </x:c>
      <x:c r="L183" s="10"/>
      <x:c r="M183" s="10">
        <x:f t="shared" si="2"/>
        <x:v>0</x:v>
      </x:c>
    </x:row>
    <x:row r="184" ht="27.600000381469727">
      <x:c r="A184" s="10">
        <x:v>183</x:v>
      </x:c>
      <x:c r="B184" s="10" t="s">
        <x:v>29</x:v>
      </x:c>
      <x:c r="C184" s="10" t="s">
        <x:v>278</x:v>
      </x:c>
      <x:c r="D184" s="10" t="s">
        <x:v>62</x:v>
      </x:c>
      <x:c r="E184" s="10" t="s">
        <x:v>279</x:v>
      </x:c>
      <x:c r="F184" s="10" t="s">
        <x:v>3</x:v>
      </x:c>
      <x:c r="G184" s="10" t="s">
        <x:v>52</x:v>
      </x:c>
      <x:c r="H184" s="10" t="s">
        <x:v>64</x:v>
      </x:c>
      <x:c r="I184" s="10"/>
      <x:c r="J184" s="10"/>
      <x:c r="K184" s="10"/>
      <x:c r="L184" s="10"/>
      <x:c r="M184" s="10">
        <x:f t="shared" si="2"/>
        <x:v>0</x:v>
      </x:c>
    </x:row>
    <x:row r="185" ht="27.600000381469727">
      <x:c r="A185" s="10">
        <x:v>184</x:v>
      </x:c>
      <x:c r="B185" s="10" t="s">
        <x:v>29</x:v>
      </x:c>
      <x:c r="C185" s="10" t="s">
        <x:v>278</x:v>
      </x:c>
      <x:c r="D185" s="10" t="s">
        <x:v>62</x:v>
      </x:c>
      <x:c r="E185" s="10" t="s">
        <x:v>280</x:v>
      </x:c>
      <x:c r="F185" s="10" t="s">
        <x:v>3</x:v>
      </x:c>
      <x:c r="G185" s="10" t="s">
        <x:v>64</x:v>
      </x:c>
      <x:c r="H185" s="10" t="s">
        <x:v>64</x:v>
      </x:c>
      <x:c r="I185" s="10"/>
      <x:c r="J185" s="10"/>
      <x:c r="K185" s="10"/>
      <x:c r="L185" s="10"/>
      <x:c r="M185" s="10">
        <x:f t="shared" si="2"/>
        <x:v>0</x:v>
      </x:c>
    </x:row>
    <x:row r="186" ht="27.600000381469727">
      <x:c r="A186" s="10">
        <x:v>185</x:v>
      </x:c>
      <x:c r="B186" s="10" t="s">
        <x:v>29</x:v>
      </x:c>
      <x:c r="C186" s="10" t="s">
        <x:v>278</x:v>
      </x:c>
      <x:c r="D186" s="10" t="s">
        <x:v>62</x:v>
      </x:c>
      <x:c r="E186" s="10" t="s">
        <x:v>281</x:v>
      </x:c>
      <x:c r="F186" s="10" t="s">
        <x:v>3</x:v>
      </x:c>
      <x:c r="G186" s="10" t="s">
        <x:v>64</x:v>
      </x:c>
      <x:c r="H186" s="10" t="s">
        <x:v>64</x:v>
      </x:c>
      <x:c r="I186" s="10"/>
      <x:c r="J186" s="10"/>
      <x:c r="K186" s="10"/>
      <x:c r="L186" s="10"/>
      <x:c r="M186" s="10">
        <x:f t="shared" si="2"/>
        <x:v>0</x:v>
      </x:c>
    </x:row>
    <x:row r="187" ht="27.600000381469727">
      <x:c r="A187" s="10">
        <x:v>186</x:v>
      </x:c>
      <x:c r="B187" s="10" t="s">
        <x:v>29</x:v>
      </x:c>
      <x:c r="C187" s="10" t="s">
        <x:v>278</x:v>
      </x:c>
      <x:c r="D187" s="10" t="s">
        <x:v>62</x:v>
      </x:c>
      <x:c r="E187" s="10" t="s">
        <x:v>282</x:v>
      </x:c>
      <x:c r="F187" s="10" t="s">
        <x:v>3</x:v>
      </x:c>
      <x:c r="G187" s="10" t="s">
        <x:v>52</x:v>
      </x:c>
      <x:c r="H187" s="10" t="s">
        <x:v>64</x:v>
      </x:c>
      <x:c r="I187" s="10"/>
      <x:c r="J187" s="10"/>
      <x:c r="K187" s="10"/>
      <x:c r="L187" s="10"/>
      <x:c r="M187" s="10">
        <x:f t="shared" si="2"/>
        <x:v>0</x:v>
      </x:c>
    </x:row>
    <x:row r="188" ht="27.600000381469727">
      <x:c r="A188" s="10">
        <x:v>187</x:v>
      </x:c>
      <x:c r="B188" s="10" t="s">
        <x:v>29</x:v>
      </x:c>
      <x:c r="C188" s="10" t="s">
        <x:v>278</x:v>
      </x:c>
      <x:c r="D188" s="10" t="s">
        <x:v>62</x:v>
      </x:c>
      <x:c r="E188" s="10" t="s">
        <x:v>283</x:v>
      </x:c>
      <x:c r="F188" s="10" t="s">
        <x:v>3</x:v>
      </x:c>
      <x:c r="G188" s="10" t="s">
        <x:v>52</x:v>
      </x:c>
      <x:c r="H188" s="10" t="s">
        <x:v>64</x:v>
      </x:c>
      <x:c r="I188" s="10"/>
      <x:c r="J188" s="10"/>
      <x:c r="K188" s="10"/>
      <x:c r="L188" s="10"/>
      <x:c r="M188" s="10">
        <x:f t="shared" si="2"/>
        <x:v>0</x:v>
      </x:c>
    </x:row>
    <x:row r="189" ht="27.600000381469727">
      <x:c r="A189" s="10">
        <x:v>188</x:v>
      </x:c>
      <x:c r="B189" s="10" t="s">
        <x:v>29</x:v>
      </x:c>
      <x:c r="C189" s="10" t="s">
        <x:v>278</x:v>
      </x:c>
      <x:c r="D189" s="10" t="s">
        <x:v>62</x:v>
      </x:c>
      <x:c r="E189" s="10" t="s">
        <x:v>284</x:v>
      </x:c>
      <x:c r="F189" s="10" t="s">
        <x:v>3</x:v>
      </x:c>
      <x:c r="G189" s="10" t="s">
        <x:v>52</x:v>
      </x:c>
      <x:c r="H189" s="10" t="s">
        <x:v>64</x:v>
      </x:c>
      <x:c r="I189" s="10"/>
      <x:c r="J189" s="10"/>
      <x:c r="K189" s="10"/>
      <x:c r="L189" s="10"/>
      <x:c r="M189" s="10">
        <x:f t="shared" si="2"/>
        <x:v>0</x:v>
      </x:c>
    </x:row>
    <x:row r="190" ht="27.600000381469727">
      <x:c r="A190" s="10">
        <x:v>189</x:v>
      </x:c>
      <x:c r="B190" s="10" t="s">
        <x:v>29</x:v>
      </x:c>
      <x:c r="C190" s="10" t="s">
        <x:v>278</x:v>
      </x:c>
      <x:c r="D190" s="10" t="s">
        <x:v>62</x:v>
      </x:c>
      <x:c r="E190" s="10" t="s">
        <x:v>285</x:v>
      </x:c>
      <x:c r="F190" s="10" t="s">
        <x:v>3</x:v>
      </x:c>
      <x:c r="G190" s="10" t="s">
        <x:v>64</x:v>
      </x:c>
      <x:c r="H190" s="10" t="s">
        <x:v>64</x:v>
      </x:c>
      <x:c r="I190" s="10"/>
      <x:c r="J190" s="10"/>
      <x:c r="K190" s="10"/>
      <x:c r="L190" s="10"/>
      <x:c r="M190" s="10">
        <x:f t="shared" si="2"/>
        <x:v>0</x:v>
      </x:c>
    </x:row>
    <x:row r="191" ht="27.600000381469727">
      <x:c r="A191" s="10">
        <x:v>190</x:v>
      </x:c>
      <x:c r="B191" s="10" t="s">
        <x:v>29</x:v>
      </x:c>
      <x:c r="C191" s="10" t="s">
        <x:v>278</x:v>
      </x:c>
      <x:c r="D191" s="10" t="s">
        <x:v>78</x:v>
      </x:c>
      <x:c r="E191" s="10" t="s">
        <x:v>286</x:v>
      </x:c>
      <x:c r="F191" s="10" t="s">
        <x:v>3</x:v>
      </x:c>
      <x:c r="G191" s="10" t="s">
        <x:v>64</x:v>
      </x:c>
      <x:c r="H191" s="10" t="s">
        <x:v>64</x:v>
      </x:c>
      <x:c r="I191" s="10"/>
      <x:c r="J191" s="10"/>
      <x:c r="K191" s="10"/>
      <x:c r="L191" s="10"/>
      <x:c r="M191" s="10">
        <x:f t="shared" si="2"/>
        <x:v>0</x:v>
      </x:c>
    </x:row>
    <x:row r="192" ht="27.600000381469727">
      <x:c r="A192" s="10">
        <x:v>191</x:v>
      </x:c>
      <x:c r="B192" s="10" t="s">
        <x:v>29</x:v>
      </x:c>
      <x:c r="C192" s="10" t="s">
        <x:v>278</x:v>
      </x:c>
      <x:c r="D192" s="10" t="s">
        <x:v>78</x:v>
      </x:c>
      <x:c r="E192" s="10" t="s">
        <x:v>287</x:v>
      </x:c>
      <x:c r="F192" s="10" t="s">
        <x:v>3</x:v>
      </x:c>
      <x:c r="G192" s="10" t="s">
        <x:v>64</x:v>
      </x:c>
      <x:c r="H192" s="10" t="s">
        <x:v>64</x:v>
      </x:c>
      <x:c r="I192" s="10"/>
      <x:c r="J192" s="10"/>
      <x:c r="K192" s="10"/>
      <x:c r="L192" s="10"/>
      <x:c r="M192" s="10">
        <x:f t="shared" si="2"/>
        <x:v>0</x:v>
      </x:c>
    </x:row>
    <x:row r="193" ht="27.600000381469727">
      <x:c r="A193" s="10">
        <x:v>192</x:v>
      </x:c>
      <x:c r="B193" s="10" t="s">
        <x:v>29</x:v>
      </x:c>
      <x:c r="C193" s="10" t="s">
        <x:v>278</x:v>
      </x:c>
      <x:c r="D193" s="10" t="s">
        <x:v>78</x:v>
      </x:c>
      <x:c r="E193" s="10" t="s">
        <x:v>288</x:v>
      </x:c>
      <x:c r="F193" s="10" t="s">
        <x:v>3</x:v>
      </x:c>
      <x:c r="G193" s="10" t="s">
        <x:v>64</x:v>
      </x:c>
      <x:c r="H193" s="10" t="s">
        <x:v>64</x:v>
      </x:c>
      <x:c r="I193" s="10"/>
      <x:c r="J193" s="10"/>
      <x:c r="K193" s="10"/>
      <x:c r="L193" s="10"/>
      <x:c r="M193" s="10">
        <x:f t="shared" si="2"/>
        <x:v>0</x:v>
      </x:c>
    </x:row>
    <x:row r="194" ht="27.600000381469727">
      <x:c r="A194" s="10">
        <x:v>193</x:v>
      </x:c>
      <x:c r="B194" s="10" t="s">
        <x:v>29</x:v>
      </x:c>
      <x:c r="C194" s="10" t="s">
        <x:v>278</x:v>
      </x:c>
      <x:c r="D194" s="10" t="s">
        <x:v>78</x:v>
      </x:c>
      <x:c r="E194" s="10" t="s">
        <x:v>289</x:v>
      </x:c>
      <x:c r="F194" s="10" t="s">
        <x:v>3</x:v>
      </x:c>
      <x:c r="G194" s="10" t="s">
        <x:v>64</x:v>
      </x:c>
      <x:c r="H194" s="10" t="s">
        <x:v>64</x:v>
      </x:c>
      <x:c r="I194" s="10"/>
      <x:c r="J194" s="10"/>
      <x:c r="K194" s="10"/>
      <x:c r="L194" s="10"/>
      <x:c r="M194" s="10" t="n">
        <x:f t="shared" ref="M194:M257" si="3">IF(F194="Hoàn thành",1,0)</x:f>
        <x:v>0</x:v>
      </x:c>
    </x:row>
    <x:row r="195" ht="27.600000381469727">
      <x:c r="A195" s="10">
        <x:v>194</x:v>
      </x:c>
      <x:c r="B195" s="10" t="s">
        <x:v>29</x:v>
      </x:c>
      <x:c r="C195" s="10" t="s">
        <x:v>278</x:v>
      </x:c>
      <x:c r="D195" s="10" t="s">
        <x:v>78</x:v>
      </x:c>
      <x:c r="E195" s="10" t="s">
        <x:v>290</x:v>
      </x:c>
      <x:c r="F195" s="10" t="s">
        <x:v>3</x:v>
      </x:c>
      <x:c r="G195" s="10" t="s">
        <x:v>64</x:v>
      </x:c>
      <x:c r="H195" s="10" t="s">
        <x:v>64</x:v>
      </x:c>
      <x:c r="I195" s="10"/>
      <x:c r="J195" s="10"/>
      <x:c r="K195" s="10"/>
      <x:c r="L195" s="10"/>
      <x:c r="M195" s="10">
        <x:f t="shared" si="3"/>
        <x:v>0</x:v>
      </x:c>
    </x:row>
    <x:row r="196" ht="27.600000381469727">
      <x:c r="A196" s="10">
        <x:v>195</x:v>
      </x:c>
      <x:c r="B196" s="10" t="s">
        <x:v>29</x:v>
      </x:c>
      <x:c r="C196" s="10" t="s">
        <x:v>278</x:v>
      </x:c>
      <x:c r="D196" s="10" t="s">
        <x:v>78</x:v>
      </x:c>
      <x:c r="E196" s="10" t="s">
        <x:v>291</x:v>
      </x:c>
      <x:c r="F196" s="10" t="s">
        <x:v>3</x:v>
      </x:c>
      <x:c r="G196" s="10" t="s">
        <x:v>64</x:v>
      </x:c>
      <x:c r="H196" s="10" t="s">
        <x:v>64</x:v>
      </x:c>
      <x:c r="I196" s="10"/>
      <x:c r="J196" s="10"/>
      <x:c r="K196" s="10"/>
      <x:c r="L196" s="10"/>
      <x:c r="M196" s="10">
        <x:f t="shared" si="3"/>
        <x:v>0</x:v>
      </x:c>
    </x:row>
    <x:row r="197" ht="27.600000381469727">
      <x:c r="A197" s="10">
        <x:v>196</x:v>
      </x:c>
      <x:c r="B197" s="10" t="s">
        <x:v>29</x:v>
      </x:c>
      <x:c r="C197" s="10" t="s">
        <x:v>278</x:v>
      </x:c>
      <x:c r="D197" s="10" t="s">
        <x:v>84</x:v>
      </x:c>
      <x:c r="E197" s="10" t="s">
        <x:v>292</x:v>
      </x:c>
      <x:c r="F197" s="10" t="s">
        <x:v>3</x:v>
      </x:c>
      <x:c r="G197" s="10" t="s">
        <x:v>52</x:v>
      </x:c>
      <x:c r="H197" s="10" t="s">
        <x:v>64</x:v>
      </x:c>
      <x:c r="I197" s="10"/>
      <x:c r="J197" s="10"/>
      <x:c r="K197" s="10"/>
      <x:c r="L197" s="10"/>
      <x:c r="M197" s="10">
        <x:f t="shared" si="3"/>
        <x:v>0</x:v>
      </x:c>
    </x:row>
    <x:row r="198" ht="27.600000381469727">
      <x:c r="A198" s="10">
        <x:v>197</x:v>
      </x:c>
      <x:c r="B198" s="10" t="s">
        <x:v>29</x:v>
      </x:c>
      <x:c r="C198" s="10" t="s">
        <x:v>278</x:v>
      </x:c>
      <x:c r="D198" s="10" t="s">
        <x:v>84</x:v>
      </x:c>
      <x:c r="E198" s="10" t="s">
        <x:v>293</x:v>
      </x:c>
      <x:c r="F198" s="10" t="s">
        <x:v>3</x:v>
      </x:c>
      <x:c r="G198" s="10" t="s">
        <x:v>52</x:v>
      </x:c>
      <x:c r="H198" s="10" t="s">
        <x:v>64</x:v>
      </x:c>
      <x:c r="I198" s="10"/>
      <x:c r="J198" s="10"/>
      <x:c r="K198" s="10"/>
      <x:c r="L198" s="10"/>
      <x:c r="M198" s="10">
        <x:f t="shared" si="3"/>
        <x:v>0</x:v>
      </x:c>
    </x:row>
    <x:row r="199" ht="27.600000381469727">
      <x:c r="A199" s="10">
        <x:v>198</x:v>
      </x:c>
      <x:c r="B199" s="10" t="s">
        <x:v>29</x:v>
      </x:c>
      <x:c r="C199" s="10" t="s">
        <x:v>278</x:v>
      </x:c>
      <x:c r="D199" s="10" t="s">
        <x:v>84</x:v>
      </x:c>
      <x:c r="E199" s="10" t="s">
        <x:v>294</x:v>
      </x:c>
      <x:c r="F199" s="10" t="s">
        <x:v>3</x:v>
      </x:c>
      <x:c r="G199" s="10" t="s">
        <x:v>52</x:v>
      </x:c>
      <x:c r="H199" s="10" t="s">
        <x:v>64</x:v>
      </x:c>
      <x:c r="I199" s="10"/>
      <x:c r="J199" s="10"/>
      <x:c r="K199" s="10"/>
      <x:c r="L199" s="10"/>
      <x:c r="M199" s="10">
        <x:f t="shared" si="3"/>
        <x:v>0</x:v>
      </x:c>
    </x:row>
    <x:row r="200" ht="27.600000381469727">
      <x:c r="A200" s="10">
        <x:v>199</x:v>
      </x:c>
      <x:c r="B200" s="10" t="s">
        <x:v>29</x:v>
      </x:c>
      <x:c r="C200" s="10" t="s">
        <x:v>278</x:v>
      </x:c>
      <x:c r="D200" s="10" t="s">
        <x:v>84</x:v>
      </x:c>
      <x:c r="E200" s="10" t="s">
        <x:v>295</x:v>
      </x:c>
      <x:c r="F200" s="10" t="s">
        <x:v>3</x:v>
      </x:c>
      <x:c r="G200" s="10" t="s">
        <x:v>52</x:v>
      </x:c>
      <x:c r="H200" s="10" t="s">
        <x:v>64</x:v>
      </x:c>
      <x:c r="I200" s="10"/>
      <x:c r="J200" s="10"/>
      <x:c r="K200" s="10"/>
      <x:c r="L200" s="10"/>
      <x:c r="M200" s="10">
        <x:f t="shared" si="3"/>
        <x:v>0</x:v>
      </x:c>
    </x:row>
    <x:row r="201" ht="27.600000381469727">
      <x:c r="A201" s="10">
        <x:v>200</x:v>
      </x:c>
      <x:c r="B201" s="10" t="s">
        <x:v>29</x:v>
      </x:c>
      <x:c r="C201" s="10" t="s">
        <x:v>278</x:v>
      </x:c>
      <x:c r="D201" s="10" t="s">
        <x:v>84</x:v>
      </x:c>
      <x:c r="E201" s="10" t="s">
        <x:v>296</x:v>
      </x:c>
      <x:c r="F201" s="10" t="s">
        <x:v>3</x:v>
      </x:c>
      <x:c r="G201" s="10" t="s">
        <x:v>52</x:v>
      </x:c>
      <x:c r="H201" s="10" t="s">
        <x:v>64</x:v>
      </x:c>
      <x:c r="I201" s="10"/>
      <x:c r="J201" s="10"/>
      <x:c r="K201" s="10"/>
      <x:c r="L201" s="10"/>
      <x:c r="M201" s="10">
        <x:f t="shared" si="3"/>
        <x:v>0</x:v>
      </x:c>
    </x:row>
    <x:row r="202" ht="27.600000381469727">
      <x:c r="A202" s="10">
        <x:v>201</x:v>
      </x:c>
      <x:c r="B202" s="10" t="s">
        <x:v>29</x:v>
      </x:c>
      <x:c r="C202" s="10" t="s">
        <x:v>297</x:v>
      </x:c>
      <x:c r="D202" s="10" t="s">
        <x:v>62</x:v>
      </x:c>
      <x:c r="E202" s="10" t="s">
        <x:v>298</x:v>
      </x:c>
      <x:c r="F202" s="10" t="s">
        <x:v>3</x:v>
      </x:c>
      <x:c r="G202" s="10" t="s">
        <x:v>64</x:v>
      </x:c>
      <x:c r="H202" s="10" t="s">
        <x:v>64</x:v>
      </x:c>
      <x:c r="I202" s="10"/>
      <x:c r="J202" s="10"/>
      <x:c r="K202" s="10"/>
      <x:c r="L202" s="10"/>
      <x:c r="M202" s="10">
        <x:f t="shared" si="3"/>
        <x:v>0</x:v>
      </x:c>
    </x:row>
    <x:row r="203" ht="27.600000381469727">
      <x:c r="A203" s="10">
        <x:v>202</x:v>
      </x:c>
      <x:c r="B203" s="10" t="s">
        <x:v>29</x:v>
      </x:c>
      <x:c r="C203" s="10" t="s">
        <x:v>297</x:v>
      </x:c>
      <x:c r="D203" s="10" t="s">
        <x:v>62</x:v>
      </x:c>
      <x:c r="E203" s="10" t="s">
        <x:v>299</x:v>
      </x:c>
      <x:c r="F203" s="10" t="s">
        <x:v>3</x:v>
      </x:c>
      <x:c r="G203" s="10" t="s">
        <x:v>64</x:v>
      </x:c>
      <x:c r="H203" s="10" t="s">
        <x:v>64</x:v>
      </x:c>
      <x:c r="I203" s="10"/>
      <x:c r="J203" s="10"/>
      <x:c r="K203" s="10"/>
      <x:c r="L203" s="10"/>
      <x:c r="M203" s="10">
        <x:f t="shared" si="3"/>
        <x:v>0</x:v>
      </x:c>
    </x:row>
    <x:row r="204" ht="27.600000381469727">
      <x:c r="A204" s="10">
        <x:v>203</x:v>
      </x:c>
      <x:c r="B204" s="10" t="s">
        <x:v>29</x:v>
      </x:c>
      <x:c r="C204" s="10" t="s">
        <x:v>297</x:v>
      </x:c>
      <x:c r="D204" s="10" t="s">
        <x:v>62</x:v>
      </x:c>
      <x:c r="E204" s="10" t="s">
        <x:v>300</x:v>
      </x:c>
      <x:c r="F204" s="10" t="s">
        <x:v>3</x:v>
      </x:c>
      <x:c r="G204" s="10" t="s">
        <x:v>64</x:v>
      </x:c>
      <x:c r="H204" s="10" t="s">
        <x:v>64</x:v>
      </x:c>
      <x:c r="I204" s="10"/>
      <x:c r="J204" s="10"/>
      <x:c r="K204" s="10"/>
      <x:c r="L204" s="10"/>
      <x:c r="M204" s="10">
        <x:f t="shared" si="3"/>
        <x:v>0</x:v>
      </x:c>
    </x:row>
    <x:row r="205" ht="27.600000381469727">
      <x:c r="A205" s="10">
        <x:v>204</x:v>
      </x:c>
      <x:c r="B205" s="10" t="s">
        <x:v>29</x:v>
      </x:c>
      <x:c r="C205" s="10" t="s">
        <x:v>297</x:v>
      </x:c>
      <x:c r="D205" s="10" t="s">
        <x:v>62</x:v>
      </x:c>
      <x:c r="E205" s="10" t="s">
        <x:v>301</x:v>
      </x:c>
      <x:c r="F205" s="10" t="s">
        <x:v>3</x:v>
      </x:c>
      <x:c r="G205" s="10" t="s">
        <x:v>64</x:v>
      </x:c>
      <x:c r="H205" s="10" t="s">
        <x:v>64</x:v>
      </x:c>
      <x:c r="I205" s="10"/>
      <x:c r="J205" s="10"/>
      <x:c r="K205" s="10"/>
      <x:c r="L205" s="10"/>
      <x:c r="M205" s="10">
        <x:f t="shared" si="3"/>
        <x:v>0</x:v>
      </x:c>
    </x:row>
    <x:row r="206" ht="27.600000381469727">
      <x:c r="A206" s="10">
        <x:v>205</x:v>
      </x:c>
      <x:c r="B206" s="10" t="s">
        <x:v>29</x:v>
      </x:c>
      <x:c r="C206" s="10" t="s">
        <x:v>297</x:v>
      </x:c>
      <x:c r="D206" s="10" t="s">
        <x:v>62</x:v>
      </x:c>
      <x:c r="E206" s="10" t="s">
        <x:v>302</x:v>
      </x:c>
      <x:c r="F206" s="10" t="s">
        <x:v>3</x:v>
      </x:c>
      <x:c r="G206" s="10" t="s">
        <x:v>52</x:v>
      </x:c>
      <x:c r="H206" s="10" t="s">
        <x:v>64</x:v>
      </x:c>
      <x:c r="I206" s="10"/>
      <x:c r="J206" s="10"/>
      <x:c r="K206" s="10"/>
      <x:c r="L206" s="10"/>
      <x:c r="M206" s="10">
        <x:f t="shared" si="3"/>
        <x:v>0</x:v>
      </x:c>
    </x:row>
    <x:row r="207" ht="27.600000381469727">
      <x:c r="A207" s="10">
        <x:v>206</x:v>
      </x:c>
      <x:c r="B207" s="10" t="s">
        <x:v>29</x:v>
      </x:c>
      <x:c r="C207" s="10" t="s">
        <x:v>297</x:v>
      </x:c>
      <x:c r="D207" s="10" t="s">
        <x:v>62</x:v>
      </x:c>
      <x:c r="E207" s="10" t="s">
        <x:v>303</x:v>
      </x:c>
      <x:c r="F207" s="10" t="s">
        <x:v>3</x:v>
      </x:c>
      <x:c r="G207" s="10" t="s">
        <x:v>64</x:v>
      </x:c>
      <x:c r="H207" s="10" t="s">
        <x:v>64</x:v>
      </x:c>
      <x:c r="I207" s="10"/>
      <x:c r="J207" s="10"/>
      <x:c r="K207" s="10"/>
      <x:c r="L207" s="10"/>
      <x:c r="M207" s="10">
        <x:f t="shared" si="3"/>
        <x:v>0</x:v>
      </x:c>
    </x:row>
    <x:row r="208" ht="27.600000381469727">
      <x:c r="A208" s="10">
        <x:v>207</x:v>
      </x:c>
      <x:c r="B208" s="10" t="s">
        <x:v>29</x:v>
      </x:c>
      <x:c r="C208" s="10" t="s">
        <x:v>297</x:v>
      </x:c>
      <x:c r="D208" s="10" t="s">
        <x:v>62</x:v>
      </x:c>
      <x:c r="E208" s="10" t="s">
        <x:v>304</x:v>
      </x:c>
      <x:c r="F208" s="10" t="s">
        <x:v>3</x:v>
      </x:c>
      <x:c r="G208" s="10" t="s">
        <x:v>64</x:v>
      </x:c>
      <x:c r="H208" s="10" t="s">
        <x:v>64</x:v>
      </x:c>
      <x:c r="I208" s="10"/>
      <x:c r="J208" s="10"/>
      <x:c r="K208" s="10"/>
      <x:c r="L208" s="10"/>
      <x:c r="M208" s="10">
        <x:f t="shared" si="3"/>
        <x:v>0</x:v>
      </x:c>
    </x:row>
    <x:row r="209" ht="27.600000381469727">
      <x:c r="A209" s="10">
        <x:v>208</x:v>
      </x:c>
      <x:c r="B209" s="10" t="s">
        <x:v>29</x:v>
      </x:c>
      <x:c r="C209" s="10" t="s">
        <x:v>297</x:v>
      </x:c>
      <x:c r="D209" s="10" t="s">
        <x:v>62</x:v>
      </x:c>
      <x:c r="E209" s="10" t="s">
        <x:v>305</x:v>
      </x:c>
      <x:c r="F209" s="10" t="s">
        <x:v>3</x:v>
      </x:c>
      <x:c r="G209" s="10" t="s">
        <x:v>64</x:v>
      </x:c>
      <x:c r="H209" s="10" t="s">
        <x:v>64</x:v>
      </x:c>
      <x:c r="I209" s="10"/>
      <x:c r="J209" s="10"/>
      <x:c r="K209" s="10"/>
      <x:c r="L209" s="10"/>
      <x:c r="M209" s="10">
        <x:f t="shared" si="3"/>
        <x:v>0</x:v>
      </x:c>
    </x:row>
    <x:row r="210" ht="27.600000381469727">
      <x:c r="A210" s="10">
        <x:v>209</x:v>
      </x:c>
      <x:c r="B210" s="10" t="s">
        <x:v>29</x:v>
      </x:c>
      <x:c r="C210" s="10" t="s">
        <x:v>297</x:v>
      </x:c>
      <x:c r="D210" s="10" t="s">
        <x:v>62</x:v>
      </x:c>
      <x:c r="E210" s="10" t="s">
        <x:v>306</x:v>
      </x:c>
      <x:c r="F210" s="10" t="s">
        <x:v>3</x:v>
      </x:c>
      <x:c r="G210" s="10" t="s">
        <x:v>52</x:v>
      </x:c>
      <x:c r="H210" s="10" t="s">
        <x:v>64</x:v>
      </x:c>
      <x:c r="I210" s="10"/>
      <x:c r="J210" s="10"/>
      <x:c r="K210" s="10"/>
      <x:c r="L210" s="10"/>
      <x:c r="M210" s="10">
        <x:f t="shared" si="3"/>
        <x:v>0</x:v>
      </x:c>
    </x:row>
    <x:row r="211" ht="27.600000381469727">
      <x:c r="A211" s="10">
        <x:v>210</x:v>
      </x:c>
      <x:c r="B211" s="10" t="s">
        <x:v>29</x:v>
      </x:c>
      <x:c r="C211" s="10" t="s">
        <x:v>297</x:v>
      </x:c>
      <x:c r="D211" s="10" t="s">
        <x:v>62</x:v>
      </x:c>
      <x:c r="E211" s="10" t="s">
        <x:v>307</x:v>
      </x:c>
      <x:c r="F211" s="10" t="s">
        <x:v>3</x:v>
      </x:c>
      <x:c r="G211" s="10" t="s">
        <x:v>64</x:v>
      </x:c>
      <x:c r="H211" s="10" t="s">
        <x:v>64</x:v>
      </x:c>
      <x:c r="I211" s="10"/>
      <x:c r="J211" s="10"/>
      <x:c r="K211" s="10"/>
      <x:c r="L211" s="10"/>
      <x:c r="M211" s="10">
        <x:f t="shared" si="3"/>
        <x:v>0</x:v>
      </x:c>
    </x:row>
    <x:row r="212" ht="27.600000381469727">
      <x:c r="A212" s="10">
        <x:v>211</x:v>
      </x:c>
      <x:c r="B212" s="10" t="s">
        <x:v>29</x:v>
      </x:c>
      <x:c r="C212" s="10" t="s">
        <x:v>297</x:v>
      </x:c>
      <x:c r="D212" s="10" t="s">
        <x:v>78</x:v>
      </x:c>
      <x:c r="E212" s="10" t="s">
        <x:v>308</x:v>
      </x:c>
      <x:c r="F212" s="10" t="s">
        <x:v>3</x:v>
      </x:c>
      <x:c r="G212" s="10" t="s">
        <x:v>64</x:v>
      </x:c>
      <x:c r="H212" s="10" t="s">
        <x:v>64</x:v>
      </x:c>
      <x:c r="I212" s="10"/>
      <x:c r="J212" s="10"/>
      <x:c r="K212" s="10"/>
      <x:c r="L212" s="10"/>
      <x:c r="M212" s="10">
        <x:f t="shared" si="3"/>
        <x:v>0</x:v>
      </x:c>
    </x:row>
    <x:row r="213" ht="27.600000381469727">
      <x:c r="A213" s="10">
        <x:v>212</x:v>
      </x:c>
      <x:c r="B213" s="10" t="s">
        <x:v>29</x:v>
      </x:c>
      <x:c r="C213" s="10" t="s">
        <x:v>297</x:v>
      </x:c>
      <x:c r="D213" s="10" t="s">
        <x:v>78</x:v>
      </x:c>
      <x:c r="E213" s="10" t="s">
        <x:v>309</x:v>
      </x:c>
      <x:c r="F213" s="10" t="s">
        <x:v>3</x:v>
      </x:c>
      <x:c r="G213" s="10" t="s">
        <x:v>64</x:v>
      </x:c>
      <x:c r="H213" s="10" t="s">
        <x:v>64</x:v>
      </x:c>
      <x:c r="I213" s="10"/>
      <x:c r="J213" s="10"/>
      <x:c r="K213" s="10"/>
      <x:c r="L213" s="10"/>
      <x:c r="M213" s="10">
        <x:f t="shared" si="3"/>
        <x:v>0</x:v>
      </x:c>
    </x:row>
    <x:row r="214" ht="27.600000381469727">
      <x:c r="A214" s="10">
        <x:v>213</x:v>
      </x:c>
      <x:c r="B214" s="10" t="s">
        <x:v>29</x:v>
      </x:c>
      <x:c r="C214" s="10" t="s">
        <x:v>297</x:v>
      </x:c>
      <x:c r="D214" s="10" t="s">
        <x:v>78</x:v>
      </x:c>
      <x:c r="E214" s="10" t="s">
        <x:v>310</x:v>
      </x:c>
      <x:c r="F214" s="10" t="s">
        <x:v>3</x:v>
      </x:c>
      <x:c r="G214" s="10" t="s">
        <x:v>64</x:v>
      </x:c>
      <x:c r="H214" s="10" t="s">
        <x:v>64</x:v>
      </x:c>
      <x:c r="I214" s="10"/>
      <x:c r="J214" s="10"/>
      <x:c r="K214" s="10"/>
      <x:c r="L214" s="10"/>
      <x:c r="M214" s="10">
        <x:f t="shared" si="3"/>
        <x:v>0</x:v>
      </x:c>
    </x:row>
    <x:row r="215" ht="27.600000381469727">
      <x:c r="A215" s="10">
        <x:v>214</x:v>
      </x:c>
      <x:c r="B215" s="10" t="s">
        <x:v>29</x:v>
      </x:c>
      <x:c r="C215" s="10" t="s">
        <x:v>297</x:v>
      </x:c>
      <x:c r="D215" s="10" t="s">
        <x:v>78</x:v>
      </x:c>
      <x:c r="E215" s="10" t="s">
        <x:v>311</x:v>
      </x:c>
      <x:c r="F215" s="10" t="s">
        <x:v>3</x:v>
      </x:c>
      <x:c r="G215" s="10" t="s">
        <x:v>64</x:v>
      </x:c>
      <x:c r="H215" s="10" t="s">
        <x:v>64</x:v>
      </x:c>
      <x:c r="I215" s="10"/>
      <x:c r="J215" s="10"/>
      <x:c r="K215" s="10"/>
      <x:c r="L215" s="10"/>
      <x:c r="M215" s="10">
        <x:f t="shared" si="3"/>
        <x:v>0</x:v>
      </x:c>
    </x:row>
    <x:row r="216" ht="27.600000381469727">
      <x:c r="A216" s="10">
        <x:v>215</x:v>
      </x:c>
      <x:c r="B216" s="10" t="s">
        <x:v>29</x:v>
      </x:c>
      <x:c r="C216" s="10" t="s">
        <x:v>297</x:v>
      </x:c>
      <x:c r="D216" s="10" t="s">
        <x:v>78</x:v>
      </x:c>
      <x:c r="E216" s="10" t="s">
        <x:v>312</x:v>
      </x:c>
      <x:c r="F216" s="10" t="s">
        <x:v>3</x:v>
      </x:c>
      <x:c r="G216" s="10" t="s">
        <x:v>64</x:v>
      </x:c>
      <x:c r="H216" s="10" t="s">
        <x:v>64</x:v>
      </x:c>
      <x:c r="I216" s="10"/>
      <x:c r="J216" s="10"/>
      <x:c r="K216" s="10"/>
      <x:c r="L216" s="10"/>
      <x:c r="M216" s="10">
        <x:f t="shared" si="3"/>
        <x:v>0</x:v>
      </x:c>
    </x:row>
    <x:row r="217" ht="27.600000381469727">
      <x:c r="A217" s="10">
        <x:v>216</x:v>
      </x:c>
      <x:c r="B217" s="10" t="s">
        <x:v>29</x:v>
      </x:c>
      <x:c r="C217" s="10" t="s">
        <x:v>297</x:v>
      </x:c>
      <x:c r="D217" s="10" t="s">
        <x:v>78</x:v>
      </x:c>
      <x:c r="E217" s="10" t="s">
        <x:v>313</x:v>
      </x:c>
      <x:c r="F217" s="10" t="s">
        <x:v>3</x:v>
      </x:c>
      <x:c r="G217" s="10" t="s">
        <x:v>64</x:v>
      </x:c>
      <x:c r="H217" s="10" t="s">
        <x:v>64</x:v>
      </x:c>
      <x:c r="I217" s="10"/>
      <x:c r="J217" s="10"/>
      <x:c r="K217" s="10"/>
      <x:c r="L217" s="10"/>
      <x:c r="M217" s="10">
        <x:f t="shared" si="3"/>
        <x:v>0</x:v>
      </x:c>
    </x:row>
    <x:row r="218" ht="27.600000381469727">
      <x:c r="A218" s="10">
        <x:v>217</x:v>
      </x:c>
      <x:c r="B218" s="10" t="s">
        <x:v>29</x:v>
      </x:c>
      <x:c r="C218" s="10" t="s">
        <x:v>297</x:v>
      </x:c>
      <x:c r="D218" s="10" t="s">
        <x:v>78</x:v>
      </x:c>
      <x:c r="E218" s="10" t="s">
        <x:v>314</x:v>
      </x:c>
      <x:c r="F218" s="10" t="s">
        <x:v>3</x:v>
      </x:c>
      <x:c r="G218" s="10" t="s">
        <x:v>64</x:v>
      </x:c>
      <x:c r="H218" s="10" t="s">
        <x:v>64</x:v>
      </x:c>
      <x:c r="I218" s="10"/>
      <x:c r="J218" s="10"/>
      <x:c r="K218" s="10"/>
      <x:c r="L218" s="10"/>
      <x:c r="M218" s="10">
        <x:f t="shared" si="3"/>
        <x:v>0</x:v>
      </x:c>
    </x:row>
    <x:row r="219" ht="27.600000381469727">
      <x:c r="A219" s="10">
        <x:v>218</x:v>
      </x:c>
      <x:c r="B219" s="10" t="s">
        <x:v>29</x:v>
      </x:c>
      <x:c r="C219" s="10" t="s">
        <x:v>297</x:v>
      </x:c>
      <x:c r="D219" s="10" t="s">
        <x:v>78</x:v>
      </x:c>
      <x:c r="E219" s="10" t="s">
        <x:v>315</x:v>
      </x:c>
      <x:c r="F219" s="10" t="s">
        <x:v>3</x:v>
      </x:c>
      <x:c r="G219" s="10" t="s">
        <x:v>64</x:v>
      </x:c>
      <x:c r="H219" s="10" t="s">
        <x:v>64</x:v>
      </x:c>
      <x:c r="I219" s="10"/>
      <x:c r="J219" s="10"/>
      <x:c r="K219" s="10"/>
      <x:c r="L219" s="10"/>
      <x:c r="M219" s="10">
        <x:f t="shared" si="3"/>
        <x:v>0</x:v>
      </x:c>
    </x:row>
    <x:row r="220" ht="27.600000381469727">
      <x:c r="A220" s="10">
        <x:v>219</x:v>
      </x:c>
      <x:c r="B220" s="10" t="s">
        <x:v>29</x:v>
      </x:c>
      <x:c r="C220" s="10" t="s">
        <x:v>297</x:v>
      </x:c>
      <x:c r="D220" s="10" t="s">
        <x:v>78</x:v>
      </x:c>
      <x:c r="E220" s="10" t="s">
        <x:v>316</x:v>
      </x:c>
      <x:c r="F220" s="10" t="s">
        <x:v>3</x:v>
      </x:c>
      <x:c r="G220" s="10" t="s">
        <x:v>64</x:v>
      </x:c>
      <x:c r="H220" s="10" t="s">
        <x:v>64</x:v>
      </x:c>
      <x:c r="I220" s="10"/>
      <x:c r="J220" s="10"/>
      <x:c r="K220" s="10"/>
      <x:c r="L220" s="10"/>
      <x:c r="M220" s="10">
        <x:f t="shared" si="3"/>
        <x:v>0</x:v>
      </x:c>
    </x:row>
    <x:row r="221" ht="27.600000381469727">
      <x:c r="A221" s="10">
        <x:v>220</x:v>
      </x:c>
      <x:c r="B221" s="10" t="s">
        <x:v>29</x:v>
      </x:c>
      <x:c r="C221" s="10" t="s">
        <x:v>297</x:v>
      </x:c>
      <x:c r="D221" s="10" t="s">
        <x:v>84</x:v>
      </x:c>
      <x:c r="E221" s="10" t="s">
        <x:v>317</x:v>
      </x:c>
      <x:c r="F221" s="10" t="s">
        <x:v>3</x:v>
      </x:c>
      <x:c r="G221" s="10" t="s">
        <x:v>52</x:v>
      </x:c>
      <x:c r="H221" s="10" t="s">
        <x:v>64</x:v>
      </x:c>
      <x:c r="I221" s="10"/>
      <x:c r="J221" s="10"/>
      <x:c r="K221" s="10"/>
      <x:c r="L221" s="10"/>
      <x:c r="M221" s="10">
        <x:f t="shared" si="3"/>
        <x:v>0</x:v>
      </x:c>
    </x:row>
    <x:row r="222" ht="27.600000381469727">
      <x:c r="A222" s="10">
        <x:v>221</x:v>
      </x:c>
      <x:c r="B222" s="10" t="s">
        <x:v>29</x:v>
      </x:c>
      <x:c r="C222" s="10" t="s">
        <x:v>297</x:v>
      </x:c>
      <x:c r="D222" s="10" t="s">
        <x:v>84</x:v>
      </x:c>
      <x:c r="E222" s="10" t="s">
        <x:v>318</x:v>
      </x:c>
      <x:c r="F222" s="10" t="s">
        <x:v>3</x:v>
      </x:c>
      <x:c r="G222" s="10" t="s">
        <x:v>52</x:v>
      </x:c>
      <x:c r="H222" s="10" t="s">
        <x:v>64</x:v>
      </x:c>
      <x:c r="I222" s="10"/>
      <x:c r="J222" s="10"/>
      <x:c r="K222" s="10"/>
      <x:c r="L222" s="10"/>
      <x:c r="M222" s="10">
        <x:f t="shared" si="3"/>
        <x:v>0</x:v>
      </x:c>
    </x:row>
    <x:row r="223" ht="27.600000381469727">
      <x:c r="A223" s="10">
        <x:v>222</x:v>
      </x:c>
      <x:c r="B223" s="10" t="s">
        <x:v>29</x:v>
      </x:c>
      <x:c r="C223" s="10" t="s">
        <x:v>297</x:v>
      </x:c>
      <x:c r="D223" s="10" t="s">
        <x:v>84</x:v>
      </x:c>
      <x:c r="E223" s="10" t="s">
        <x:v>319</x:v>
      </x:c>
      <x:c r="F223" s="10" t="s">
        <x:v>3</x:v>
      </x:c>
      <x:c r="G223" s="10" t="s">
        <x:v>52</x:v>
      </x:c>
      <x:c r="H223" s="10" t="s">
        <x:v>64</x:v>
      </x:c>
      <x:c r="I223" s="10"/>
      <x:c r="J223" s="10"/>
      <x:c r="K223" s="10"/>
      <x:c r="L223" s="10"/>
      <x:c r="M223" s="10">
        <x:f t="shared" si="3"/>
        <x:v>0</x:v>
      </x:c>
    </x:row>
    <x:row r="224" ht="27.600000381469727">
      <x:c r="A224" s="10">
        <x:v>223</x:v>
      </x:c>
      <x:c r="B224" s="10" t="s">
        <x:v>29</x:v>
      </x:c>
      <x:c r="C224" s="10" t="s">
        <x:v>297</x:v>
      </x:c>
      <x:c r="D224" s="10" t="s">
        <x:v>84</x:v>
      </x:c>
      <x:c r="E224" s="10" t="s">
        <x:v>320</x:v>
      </x:c>
      <x:c r="F224" s="10" t="s">
        <x:v>3</x:v>
      </x:c>
      <x:c r="G224" s="10" t="s">
        <x:v>52</x:v>
      </x:c>
      <x:c r="H224" s="10" t="s">
        <x:v>64</x:v>
      </x:c>
      <x:c r="I224" s="10"/>
      <x:c r="J224" s="10"/>
      <x:c r="K224" s="10"/>
      <x:c r="L224" s="10"/>
      <x:c r="M224" s="10">
        <x:f t="shared" si="3"/>
        <x:v>0</x:v>
      </x:c>
    </x:row>
    <x:row r="225" ht="27.600000381469727">
      <x:c r="A225" s="10">
        <x:v>224</x:v>
      </x:c>
      <x:c r="B225" s="10" t="s">
        <x:v>29</x:v>
      </x:c>
      <x:c r="C225" s="10" t="s">
        <x:v>321</x:v>
      </x:c>
      <x:c r="D225" s="10" t="s">
        <x:v>62</x:v>
      </x:c>
      <x:c r="E225" s="10" t="s">
        <x:v>322</x:v>
      </x:c>
      <x:c r="F225" s="10" t="s">
        <x:v>3</x:v>
      </x:c>
      <x:c r="G225" s="10" t="s">
        <x:v>52</x:v>
      </x:c>
      <x:c r="H225" s="10" t="s">
        <x:v>64</x:v>
      </x:c>
      <x:c r="I225" s="10"/>
      <x:c r="J225" s="10"/>
      <x:c r="K225" s="10"/>
      <x:c r="L225" s="10"/>
      <x:c r="M225" s="10">
        <x:f t="shared" si="3"/>
        <x:v>0</x:v>
      </x:c>
    </x:row>
    <x:row r="226" ht="27.600000381469727">
      <x:c r="A226" s="10">
        <x:v>225</x:v>
      </x:c>
      <x:c r="B226" s="10" t="s">
        <x:v>29</x:v>
      </x:c>
      <x:c r="C226" s="10" t="s">
        <x:v>321</x:v>
      </x:c>
      <x:c r="D226" s="10" t="s">
        <x:v>62</x:v>
      </x:c>
      <x:c r="E226" s="10" t="s">
        <x:v>323</x:v>
      </x:c>
      <x:c r="F226" s="10" t="s">
        <x:v>3</x:v>
      </x:c>
      <x:c r="G226" s="10" t="s">
        <x:v>52</x:v>
      </x:c>
      <x:c r="H226" s="10" t="s">
        <x:v>64</x:v>
      </x:c>
      <x:c r="I226" s="10"/>
      <x:c r="J226" s="10"/>
      <x:c r="K226" s="10"/>
      <x:c r="L226" s="10"/>
      <x:c r="M226" s="10">
        <x:f t="shared" si="3"/>
        <x:v>0</x:v>
      </x:c>
    </x:row>
    <x:row r="227" ht="27.600000381469727">
      <x:c r="A227" s="10">
        <x:v>226</x:v>
      </x:c>
      <x:c r="B227" s="10" t="s">
        <x:v>29</x:v>
      </x:c>
      <x:c r="C227" s="10" t="s">
        <x:v>321</x:v>
      </x:c>
      <x:c r="D227" s="10" t="s">
        <x:v>62</x:v>
      </x:c>
      <x:c r="E227" s="10" t="s">
        <x:v>324</x:v>
      </x:c>
      <x:c r="F227" s="10" t="s">
        <x:v>3</x:v>
      </x:c>
      <x:c r="G227" s="10" t="s">
        <x:v>52</x:v>
      </x:c>
      <x:c r="H227" s="10" t="s">
        <x:v>64</x:v>
      </x:c>
      <x:c r="I227" s="10"/>
      <x:c r="J227" s="10"/>
      <x:c r="K227" s="10"/>
      <x:c r="L227" s="10"/>
      <x:c r="M227" s="10">
        <x:f t="shared" si="3"/>
        <x:v>0</x:v>
      </x:c>
    </x:row>
    <x:row r="228" ht="27.600000381469727">
      <x:c r="A228" s="10">
        <x:v>227</x:v>
      </x:c>
      <x:c r="B228" s="10" t="s">
        <x:v>29</x:v>
      </x:c>
      <x:c r="C228" s="10" t="s">
        <x:v>321</x:v>
      </x:c>
      <x:c r="D228" s="10" t="s">
        <x:v>62</x:v>
      </x:c>
      <x:c r="E228" s="10" t="s">
        <x:v>325</x:v>
      </x:c>
      <x:c r="F228" s="10" t="s">
        <x:v>3</x:v>
      </x:c>
      <x:c r="G228" s="10" t="s">
        <x:v>52</x:v>
      </x:c>
      <x:c r="H228" s="10" t="s">
        <x:v>64</x:v>
      </x:c>
      <x:c r="I228" s="10"/>
      <x:c r="J228" s="10"/>
      <x:c r="K228" s="10"/>
      <x:c r="L228" s="10"/>
      <x:c r="M228" s="10">
        <x:f t="shared" si="3"/>
        <x:v>0</x:v>
      </x:c>
    </x:row>
    <x:row r="229" ht="27.600000381469727">
      <x:c r="A229" s="10">
        <x:v>228</x:v>
      </x:c>
      <x:c r="B229" s="10" t="s">
        <x:v>29</x:v>
      </x:c>
      <x:c r="C229" s="10" t="s">
        <x:v>321</x:v>
      </x:c>
      <x:c r="D229" s="10" t="s">
        <x:v>62</x:v>
      </x:c>
      <x:c r="E229" s="10" t="s">
        <x:v>326</x:v>
      </x:c>
      <x:c r="F229" s="10" t="s">
        <x:v>3</x:v>
      </x:c>
      <x:c r="G229" s="10" t="s">
        <x:v>52</x:v>
      </x:c>
      <x:c r="H229" s="10" t="s">
        <x:v>64</x:v>
      </x:c>
      <x:c r="I229" s="10"/>
      <x:c r="J229" s="10"/>
      <x:c r="K229" s="10"/>
      <x:c r="L229" s="10"/>
      <x:c r="M229" s="10">
        <x:f t="shared" si="3"/>
        <x:v>0</x:v>
      </x:c>
    </x:row>
    <x:row r="230" ht="27.600000381469727">
      <x:c r="A230" s="10">
        <x:v>229</x:v>
      </x:c>
      <x:c r="B230" s="10" t="s">
        <x:v>29</x:v>
      </x:c>
      <x:c r="C230" s="10" t="s">
        <x:v>321</x:v>
      </x:c>
      <x:c r="D230" s="10" t="s">
        <x:v>62</x:v>
      </x:c>
      <x:c r="E230" s="10" t="s">
        <x:v>327</x:v>
      </x:c>
      <x:c r="F230" s="10" t="s">
        <x:v>3</x:v>
      </x:c>
      <x:c r="G230" s="10" t="s">
        <x:v>52</x:v>
      </x:c>
      <x:c r="H230" s="10" t="s">
        <x:v>64</x:v>
      </x:c>
      <x:c r="I230" s="10"/>
      <x:c r="J230" s="10"/>
      <x:c r="K230" s="10"/>
      <x:c r="L230" s="10"/>
      <x:c r="M230" s="10">
        <x:f t="shared" si="3"/>
        <x:v>0</x:v>
      </x:c>
    </x:row>
    <x:row r="231" ht="27.600000381469727">
      <x:c r="A231" s="10">
        <x:v>230</x:v>
      </x:c>
      <x:c r="B231" s="10" t="s">
        <x:v>29</x:v>
      </x:c>
      <x:c r="C231" s="10" t="s">
        <x:v>321</x:v>
      </x:c>
      <x:c r="D231" s="10" t="s">
        <x:v>78</x:v>
      </x:c>
      <x:c r="E231" s="10" t="s">
        <x:v>328</x:v>
      </x:c>
      <x:c r="F231" s="10" t="s">
        <x:v>3</x:v>
      </x:c>
      <x:c r="G231" s="10" t="s">
        <x:v>64</x:v>
      </x:c>
      <x:c r="H231" s="10" t="s">
        <x:v>64</x:v>
      </x:c>
      <x:c r="I231" s="10"/>
      <x:c r="J231" s="10"/>
      <x:c r="K231" s="10"/>
      <x:c r="L231" s="10"/>
      <x:c r="M231" s="10">
        <x:f t="shared" si="3"/>
        <x:v>0</x:v>
      </x:c>
    </x:row>
    <x:row r="232" ht="27.600000381469727">
      <x:c r="A232" s="10">
        <x:v>231</x:v>
      </x:c>
      <x:c r="B232" s="10" t="s">
        <x:v>29</x:v>
      </x:c>
      <x:c r="C232" s="10" t="s">
        <x:v>321</x:v>
      </x:c>
      <x:c r="D232" s="10" t="s">
        <x:v>78</x:v>
      </x:c>
      <x:c r="E232" s="10" t="s">
        <x:v>82</x:v>
      </x:c>
      <x:c r="F232" s="10" t="s">
        <x:v>3</x:v>
      </x:c>
      <x:c r="G232" s="10" t="s">
        <x:v>64</x:v>
      </x:c>
      <x:c r="H232" s="10" t="s">
        <x:v>64</x:v>
      </x:c>
      <x:c r="I232" s="10"/>
      <x:c r="J232" s="10"/>
      <x:c r="K232" s="10"/>
      <x:c r="L232" s="10"/>
      <x:c r="M232" s="10">
        <x:f t="shared" si="3"/>
        <x:v>0</x:v>
      </x:c>
    </x:row>
    <x:row r="233" ht="27.600000381469727">
      <x:c r="A233" s="10">
        <x:v>232</x:v>
      </x:c>
      <x:c r="B233" s="10" t="s">
        <x:v>29</x:v>
      </x:c>
      <x:c r="C233" s="10" t="s">
        <x:v>321</x:v>
      </x:c>
      <x:c r="D233" s="10" t="s">
        <x:v>78</x:v>
      </x:c>
      <x:c r="E233" s="10" t="s">
        <x:v>329</x:v>
      </x:c>
      <x:c r="F233" s="10" t="s">
        <x:v>3</x:v>
      </x:c>
      <x:c r="G233" s="10" t="s">
        <x:v>64</x:v>
      </x:c>
      <x:c r="H233" s="10" t="s">
        <x:v>64</x:v>
      </x:c>
      <x:c r="I233" s="10"/>
      <x:c r="J233" s="10"/>
      <x:c r="K233" s="10"/>
      <x:c r="L233" s="10"/>
      <x:c r="M233" s="10">
        <x:f t="shared" si="3"/>
        <x:v>0</x:v>
      </x:c>
    </x:row>
    <x:row r="234" ht="27.600000381469727">
      <x:c r="A234" s="10">
        <x:v>233</x:v>
      </x:c>
      <x:c r="B234" s="10" t="s">
        <x:v>29</x:v>
      </x:c>
      <x:c r="C234" s="10" t="s">
        <x:v>321</x:v>
      </x:c>
      <x:c r="D234" s="10" t="s">
        <x:v>84</x:v>
      </x:c>
      <x:c r="E234" s="10" t="s">
        <x:v>330</x:v>
      </x:c>
      <x:c r="F234" s="10" t="s">
        <x:v>3</x:v>
      </x:c>
      <x:c r="G234" s="10" t="s">
        <x:v>52</x:v>
      </x:c>
      <x:c r="H234" s="10" t="s">
        <x:v>64</x:v>
      </x:c>
      <x:c r="I234" s="10"/>
      <x:c r="J234" s="10"/>
      <x:c r="K234" s="10"/>
      <x:c r="L234" s="10"/>
      <x:c r="M234" s="10">
        <x:f t="shared" si="3"/>
        <x:v>0</x:v>
      </x:c>
    </x:row>
    <x:row r="235" ht="27.600000381469727">
      <x:c r="A235" s="10">
        <x:v>234</x:v>
      </x:c>
      <x:c r="B235" s="10" t="s">
        <x:v>29</x:v>
      </x:c>
      <x:c r="C235" s="10" t="s">
        <x:v>321</x:v>
      </x:c>
      <x:c r="D235" s="10" t="s">
        <x:v>84</x:v>
      </x:c>
      <x:c r="E235" s="10" t="s">
        <x:v>331</x:v>
      </x:c>
      <x:c r="F235" s="10" t="s">
        <x:v>3</x:v>
      </x:c>
      <x:c r="G235" s="10" t="s">
        <x:v>52</x:v>
      </x:c>
      <x:c r="H235" s="10" t="s">
        <x:v>64</x:v>
      </x:c>
      <x:c r="I235" s="10"/>
      <x:c r="J235" s="10"/>
      <x:c r="K235" s="10"/>
      <x:c r="L235" s="10"/>
      <x:c r="M235" s="10">
        <x:f t="shared" si="3"/>
        <x:v>0</x:v>
      </x:c>
    </x:row>
    <x:row r="236" ht="27.600000381469727">
      <x:c r="A236" s="10">
        <x:v>235</x:v>
      </x:c>
      <x:c r="B236" s="10" t="s">
        <x:v>29</x:v>
      </x:c>
      <x:c r="C236" s="10" t="s">
        <x:v>321</x:v>
      </x:c>
      <x:c r="D236" s="10" t="s">
        <x:v>84</x:v>
      </x:c>
      <x:c r="E236" s="10" t="s">
        <x:v>332</x:v>
      </x:c>
      <x:c r="F236" s="10" t="s">
        <x:v>3</x:v>
      </x:c>
      <x:c r="G236" s="10" t="s">
        <x:v>52</x:v>
      </x:c>
      <x:c r="H236" s="10" t="s">
        <x:v>64</x:v>
      </x:c>
      <x:c r="I236" s="10"/>
      <x:c r="J236" s="10"/>
      <x:c r="K236" s="10"/>
      <x:c r="L236" s="10"/>
      <x:c r="M236" s="10">
        <x:f t="shared" si="3"/>
        <x:v>0</x:v>
      </x:c>
    </x:row>
    <x:row r="237" ht="27.600000381469727">
      <x:c r="A237" s="10">
        <x:v>236</x:v>
      </x:c>
      <x:c r="B237" s="10" t="s">
        <x:v>30</x:v>
      </x:c>
      <x:c r="C237" s="10" t="s">
        <x:v>333</x:v>
      </x:c>
      <x:c r="D237" s="10" t="s">
        <x:v>62</x:v>
      </x:c>
      <x:c r="E237" s="10" t="s">
        <x:v>334</x:v>
      </x:c>
      <x:c r="F237" s="10" t="s">
        <x:v>3</x:v>
      </x:c>
      <x:c r="G237" s="10" t="s">
        <x:v>64</x:v>
      </x:c>
      <x:c r="H237" s="10" t="s">
        <x:v>64</x:v>
      </x:c>
      <x:c r="I237" s="10"/>
      <x:c r="J237" s="10"/>
      <x:c r="K237" s="10"/>
      <x:c r="L237" s="10"/>
      <x:c r="M237" s="10">
        <x:f t="shared" si="3"/>
        <x:v>0</x:v>
      </x:c>
    </x:row>
    <x:row r="238" ht="27.600000381469727">
      <x:c r="A238" s="10">
        <x:v>237</x:v>
      </x:c>
      <x:c r="B238" s="10" t="s">
        <x:v>30</x:v>
      </x:c>
      <x:c r="C238" s="10" t="s">
        <x:v>333</x:v>
      </x:c>
      <x:c r="D238" s="10" t="s">
        <x:v>62</x:v>
      </x:c>
      <x:c r="E238" s="10" t="s">
        <x:v>335</x:v>
      </x:c>
      <x:c r="F238" s="10" t="s">
        <x:v>3</x:v>
      </x:c>
      <x:c r="G238" s="10" t="s">
        <x:v>64</x:v>
      </x:c>
      <x:c r="H238" s="10" t="s">
        <x:v>64</x:v>
      </x:c>
      <x:c r="I238" s="10"/>
      <x:c r="J238" s="10"/>
      <x:c r="K238" s="10"/>
      <x:c r="L238" s="10"/>
      <x:c r="M238" s="10">
        <x:f t="shared" si="3"/>
        <x:v>0</x:v>
      </x:c>
    </x:row>
    <x:row r="239" ht="27.600000381469727">
      <x:c r="A239" s="10">
        <x:v>238</x:v>
      </x:c>
      <x:c r="B239" s="10" t="s">
        <x:v>30</x:v>
      </x:c>
      <x:c r="C239" s="10" t="s">
        <x:v>333</x:v>
      </x:c>
      <x:c r="D239" s="10" t="s">
        <x:v>62</x:v>
      </x:c>
      <x:c r="E239" s="10" t="s">
        <x:v>336</x:v>
      </x:c>
      <x:c r="F239" s="10" t="s">
        <x:v>3</x:v>
      </x:c>
      <x:c r="G239" s="10" t="s">
        <x:v>64</x:v>
      </x:c>
      <x:c r="H239" s="10" t="s">
        <x:v>64</x:v>
      </x:c>
      <x:c r="I239" s="10"/>
      <x:c r="J239" s="10"/>
      <x:c r="K239" s="10"/>
      <x:c r="L239" s="10"/>
      <x:c r="M239" s="10">
        <x:f t="shared" si="3"/>
        <x:v>0</x:v>
      </x:c>
    </x:row>
    <x:row r="240" ht="27.600000381469727">
      <x:c r="A240" s="10">
        <x:v>239</x:v>
      </x:c>
      <x:c r="B240" s="10" t="s">
        <x:v>30</x:v>
      </x:c>
      <x:c r="C240" s="10" t="s">
        <x:v>333</x:v>
      </x:c>
      <x:c r="D240" s="10" t="s">
        <x:v>62</x:v>
      </x:c>
      <x:c r="E240" s="10" t="s">
        <x:v>337</x:v>
      </x:c>
      <x:c r="F240" s="10" t="s">
        <x:v>3</x:v>
      </x:c>
      <x:c r="G240" s="10" t="s">
        <x:v>64</x:v>
      </x:c>
      <x:c r="H240" s="10" t="s">
        <x:v>64</x:v>
      </x:c>
      <x:c r="I240" s="10"/>
      <x:c r="J240" s="10"/>
      <x:c r="K240" s="10"/>
      <x:c r="L240" s="10"/>
      <x:c r="M240" s="10">
        <x:f t="shared" si="3"/>
        <x:v>0</x:v>
      </x:c>
    </x:row>
    <x:row r="241" ht="27.600000381469727">
      <x:c r="A241" s="10">
        <x:v>240</x:v>
      </x:c>
      <x:c r="B241" s="10" t="s">
        <x:v>30</x:v>
      </x:c>
      <x:c r="C241" s="10" t="s">
        <x:v>333</x:v>
      </x:c>
      <x:c r="D241" s="10" t="s">
        <x:v>62</x:v>
      </x:c>
      <x:c r="E241" s="10" t="s">
        <x:v>338</x:v>
      </x:c>
      <x:c r="F241" s="10" t="s">
        <x:v>3</x:v>
      </x:c>
      <x:c r="G241" s="10" t="s">
        <x:v>64</x:v>
      </x:c>
      <x:c r="H241" s="10" t="s">
        <x:v>64</x:v>
      </x:c>
      <x:c r="I241" s="10"/>
      <x:c r="J241" s="10"/>
      <x:c r="K241" s="10"/>
      <x:c r="L241" s="10"/>
      <x:c r="M241" s="10">
        <x:f t="shared" si="3"/>
        <x:v>0</x:v>
      </x:c>
    </x:row>
    <x:row r="242" ht="27.600000381469727">
      <x:c r="A242" s="10">
        <x:v>241</x:v>
      </x:c>
      <x:c r="B242" s="10" t="s">
        <x:v>30</x:v>
      </x:c>
      <x:c r="C242" s="10" t="s">
        <x:v>333</x:v>
      </x:c>
      <x:c r="D242" s="10" t="s">
        <x:v>62</x:v>
      </x:c>
      <x:c r="E242" s="10" t="s">
        <x:v>339</x:v>
      </x:c>
      <x:c r="F242" s="10" t="s">
        <x:v>3</x:v>
      </x:c>
      <x:c r="G242" s="10" t="s">
        <x:v>64</x:v>
      </x:c>
      <x:c r="H242" s="10" t="s">
        <x:v>64</x:v>
      </x:c>
      <x:c r="I242" s="10"/>
      <x:c r="J242" s="10"/>
      <x:c r="K242" s="10"/>
      <x:c r="L242" s="10"/>
      <x:c r="M242" s="10">
        <x:f t="shared" si="3"/>
        <x:v>0</x:v>
      </x:c>
    </x:row>
    <x:row r="243" ht="27.600000381469727">
      <x:c r="A243" s="10">
        <x:v>242</x:v>
      </x:c>
      <x:c r="B243" s="10" t="s">
        <x:v>30</x:v>
      </x:c>
      <x:c r="C243" s="10" t="s">
        <x:v>333</x:v>
      </x:c>
      <x:c r="D243" s="10" t="s">
        <x:v>62</x:v>
      </x:c>
      <x:c r="E243" s="10" t="s">
        <x:v>340</x:v>
      </x:c>
      <x:c r="F243" s="10" t="s">
        <x:v>3</x:v>
      </x:c>
      <x:c r="G243" s="10" t="s">
        <x:v>64</x:v>
      </x:c>
      <x:c r="H243" s="10" t="s">
        <x:v>64</x:v>
      </x:c>
      <x:c r="I243" s="10"/>
      <x:c r="J243" s="10"/>
      <x:c r="K243" s="10"/>
      <x:c r="L243" s="10"/>
      <x:c r="M243" s="10">
        <x:f t="shared" si="3"/>
        <x:v>0</x:v>
      </x:c>
    </x:row>
    <x:row r="244" ht="27.600000381469727">
      <x:c r="A244" s="10">
        <x:v>243</x:v>
      </x:c>
      <x:c r="B244" s="10" t="s">
        <x:v>30</x:v>
      </x:c>
      <x:c r="C244" s="10" t="s">
        <x:v>333</x:v>
      </x:c>
      <x:c r="D244" s="10" t="s">
        <x:v>62</x:v>
      </x:c>
      <x:c r="E244" s="10" t="s">
        <x:v>341</x:v>
      </x:c>
      <x:c r="F244" s="10" t="s">
        <x:v>3</x:v>
      </x:c>
      <x:c r="G244" s="10" t="s">
        <x:v>64</x:v>
      </x:c>
      <x:c r="H244" s="10" t="s">
        <x:v>64</x:v>
      </x:c>
      <x:c r="I244" s="10"/>
      <x:c r="J244" s="10"/>
      <x:c r="K244" s="10"/>
      <x:c r="L244" s="10"/>
      <x:c r="M244" s="10">
        <x:f t="shared" si="3"/>
        <x:v>0</x:v>
      </x:c>
    </x:row>
    <x:row r="245" ht="27.600000381469727">
      <x:c r="A245" s="10">
        <x:v>244</x:v>
      </x:c>
      <x:c r="B245" s="10" t="s">
        <x:v>30</x:v>
      </x:c>
      <x:c r="C245" s="10" t="s">
        <x:v>333</x:v>
      </x:c>
      <x:c r="D245" s="10" t="s">
        <x:v>78</x:v>
      </x:c>
      <x:c r="E245" s="10" t="s">
        <x:v>342</x:v>
      </x:c>
      <x:c r="F245" s="10" t="s">
        <x:v>3</x:v>
      </x:c>
      <x:c r="G245" s="10" t="s">
        <x:v>64</x:v>
      </x:c>
      <x:c r="H245" s="10" t="s">
        <x:v>64</x:v>
      </x:c>
      <x:c r="I245" s="10"/>
      <x:c r="J245" s="10"/>
      <x:c r="K245" s="10"/>
      <x:c r="L245" s="10"/>
      <x:c r="M245" s="10">
        <x:f t="shared" si="3"/>
        <x:v>0</x:v>
      </x:c>
    </x:row>
    <x:row r="246" ht="27.600000381469727">
      <x:c r="A246" s="10">
        <x:v>245</x:v>
      </x:c>
      <x:c r="B246" s="10" t="s">
        <x:v>30</x:v>
      </x:c>
      <x:c r="C246" s="10" t="s">
        <x:v>333</x:v>
      </x:c>
      <x:c r="D246" s="10" t="s">
        <x:v>78</x:v>
      </x:c>
      <x:c r="E246" s="10" t="s">
        <x:v>343</x:v>
      </x:c>
      <x:c r="F246" s="10" t="s">
        <x:v>3</x:v>
      </x:c>
      <x:c r="G246" s="10" t="s">
        <x:v>64</x:v>
      </x:c>
      <x:c r="H246" s="10" t="s">
        <x:v>64</x:v>
      </x:c>
      <x:c r="I246" s="10"/>
      <x:c r="J246" s="10"/>
      <x:c r="K246" s="10"/>
      <x:c r="L246" s="10"/>
      <x:c r="M246" s="10">
        <x:f t="shared" si="3"/>
        <x:v>0</x:v>
      </x:c>
    </x:row>
    <x:row r="247" ht="27.600000381469727">
      <x:c r="A247" s="10">
        <x:v>246</x:v>
      </x:c>
      <x:c r="B247" s="10" t="s">
        <x:v>30</x:v>
      </x:c>
      <x:c r="C247" s="10" t="s">
        <x:v>333</x:v>
      </x:c>
      <x:c r="D247" s="10" t="s">
        <x:v>78</x:v>
      </x:c>
      <x:c r="E247" s="10" t="s">
        <x:v>344</x:v>
      </x:c>
      <x:c r="F247" s="10" t="s">
        <x:v>3</x:v>
      </x:c>
      <x:c r="G247" s="10" t="s">
        <x:v>64</x:v>
      </x:c>
      <x:c r="H247" s="10" t="s">
        <x:v>64</x:v>
      </x:c>
      <x:c r="I247" s="10"/>
      <x:c r="J247" s="10"/>
      <x:c r="K247" s="10"/>
      <x:c r="L247" s="10"/>
      <x:c r="M247" s="10">
        <x:f t="shared" si="3"/>
        <x:v>0</x:v>
      </x:c>
    </x:row>
    <x:row r="248" ht="27.600000381469727">
      <x:c r="A248" s="10">
        <x:v>247</x:v>
      </x:c>
      <x:c r="B248" s="10" t="s">
        <x:v>30</x:v>
      </x:c>
      <x:c r="C248" s="10" t="s">
        <x:v>333</x:v>
      </x:c>
      <x:c r="D248" s="10" t="s">
        <x:v>78</x:v>
      </x:c>
      <x:c r="E248" s="10" t="s">
        <x:v>345</x:v>
      </x:c>
      <x:c r="F248" s="10" t="s">
        <x:v>3</x:v>
      </x:c>
      <x:c r="G248" s="10" t="s">
        <x:v>64</x:v>
      </x:c>
      <x:c r="H248" s="10" t="s">
        <x:v>64</x:v>
      </x:c>
      <x:c r="I248" s="10"/>
      <x:c r="J248" s="10"/>
      <x:c r="K248" s="10"/>
      <x:c r="L248" s="10"/>
      <x:c r="M248" s="10">
        <x:f t="shared" si="3"/>
        <x:v>0</x:v>
      </x:c>
    </x:row>
    <x:row r="249" ht="27.600000381469727">
      <x:c r="A249" s="10">
        <x:v>248</x:v>
      </x:c>
      <x:c r="B249" s="10" t="s">
        <x:v>30</x:v>
      </x:c>
      <x:c r="C249" s="10" t="s">
        <x:v>333</x:v>
      </x:c>
      <x:c r="D249" s="10" t="s">
        <x:v>78</x:v>
      </x:c>
      <x:c r="E249" s="10" t="s">
        <x:v>346</x:v>
      </x:c>
      <x:c r="F249" s="10" t="s">
        <x:v>3</x:v>
      </x:c>
      <x:c r="G249" s="10" t="s">
        <x:v>64</x:v>
      </x:c>
      <x:c r="H249" s="10" t="s">
        <x:v>64</x:v>
      </x:c>
      <x:c r="I249" s="10"/>
      <x:c r="J249" s="10"/>
      <x:c r="K249" s="10"/>
      <x:c r="L249" s="10"/>
      <x:c r="M249" s="10">
        <x:f t="shared" si="3"/>
        <x:v>0</x:v>
      </x:c>
    </x:row>
    <x:row r="250" ht="27.600000381469727">
      <x:c r="A250" s="10">
        <x:v>249</x:v>
      </x:c>
      <x:c r="B250" s="10" t="s">
        <x:v>30</x:v>
      </x:c>
      <x:c r="C250" s="10" t="s">
        <x:v>333</x:v>
      </x:c>
      <x:c r="D250" s="10" t="s">
        <x:v>84</x:v>
      </x:c>
      <x:c r="E250" s="10" t="s">
        <x:v>347</x:v>
      </x:c>
      <x:c r="F250" s="10" t="s">
        <x:v>3</x:v>
      </x:c>
      <x:c r="G250" s="10" t="s">
        <x:v>64</x:v>
      </x:c>
      <x:c r="H250" s="10" t="s">
        <x:v>64</x:v>
      </x:c>
      <x:c r="I250" s="10"/>
      <x:c r="J250" s="10"/>
      <x:c r="K250" s="10"/>
      <x:c r="L250" s="10"/>
      <x:c r="M250" s="10">
        <x:f t="shared" si="3"/>
        <x:v>0</x:v>
      </x:c>
    </x:row>
    <x:row r="251" ht="27.600000381469727">
      <x:c r="A251" s="10">
        <x:v>250</x:v>
      </x:c>
      <x:c r="B251" s="10" t="s">
        <x:v>30</x:v>
      </x:c>
      <x:c r="C251" s="10" t="s">
        <x:v>333</x:v>
      </x:c>
      <x:c r="D251" s="10" t="s">
        <x:v>84</x:v>
      </x:c>
      <x:c r="E251" s="10" t="s">
        <x:v>348</x:v>
      </x:c>
      <x:c r="F251" s="10" t="s">
        <x:v>3</x:v>
      </x:c>
      <x:c r="G251" s="10" t="s">
        <x:v>64</x:v>
      </x:c>
      <x:c r="H251" s="10" t="s">
        <x:v>64</x:v>
      </x:c>
      <x:c r="I251" s="10"/>
      <x:c r="J251" s="10"/>
      <x:c r="K251" s="10"/>
      <x:c r="L251" s="10"/>
      <x:c r="M251" s="10">
        <x:f t="shared" si="3"/>
        <x:v>0</x:v>
      </x:c>
    </x:row>
    <x:row r="252" ht="27.600000381469727">
      <x:c r="A252" s="10">
        <x:v>251</x:v>
      </x:c>
      <x:c r="B252" s="10" t="s">
        <x:v>30</x:v>
      </x:c>
      <x:c r="C252" s="10" t="s">
        <x:v>333</x:v>
      </x:c>
      <x:c r="D252" s="10" t="s">
        <x:v>84</x:v>
      </x:c>
      <x:c r="E252" s="10" t="s">
        <x:v>349</x:v>
      </x:c>
      <x:c r="F252" s="10" t="s">
        <x:v>3</x:v>
      </x:c>
      <x:c r="G252" s="10" t="s">
        <x:v>64</x:v>
      </x:c>
      <x:c r="H252" s="10" t="s">
        <x:v>64</x:v>
      </x:c>
      <x:c r="I252" s="10"/>
      <x:c r="J252" s="10"/>
      <x:c r="K252" s="10"/>
      <x:c r="L252" s="10"/>
      <x:c r="M252" s="10">
        <x:f t="shared" si="3"/>
        <x:v>0</x:v>
      </x:c>
    </x:row>
    <x:row r="253" ht="27.600000381469727">
      <x:c r="A253" s="10">
        <x:v>252</x:v>
      </x:c>
      <x:c r="B253" s="10" t="s">
        <x:v>30</x:v>
      </x:c>
      <x:c r="C253" s="10" t="s">
        <x:v>333</x:v>
      </x:c>
      <x:c r="D253" s="10" t="s">
        <x:v>84</x:v>
      </x:c>
      <x:c r="E253" s="10" t="s">
        <x:v>350</x:v>
      </x:c>
      <x:c r="F253" s="10" t="s">
        <x:v>3</x:v>
      </x:c>
      <x:c r="G253" s="10" t="s">
        <x:v>64</x:v>
      </x:c>
      <x:c r="H253" s="10" t="s">
        <x:v>64</x:v>
      </x:c>
      <x:c r="I253" s="10"/>
      <x:c r="J253" s="10"/>
      <x:c r="K253" s="10"/>
      <x:c r="L253" s="10"/>
      <x:c r="M253" s="10">
        <x:f t="shared" si="3"/>
        <x:v>0</x:v>
      </x:c>
    </x:row>
    <x:row r="254" ht="27.600000381469727">
      <x:c r="A254" s="10">
        <x:v>253</x:v>
      </x:c>
      <x:c r="B254" s="10" t="s">
        <x:v>31</x:v>
      </x:c>
      <x:c r="C254" s="10" t="s">
        <x:v>351</x:v>
      </x:c>
      <x:c r="D254" s="10" t="s">
        <x:v>62</x:v>
      </x:c>
      <x:c r="E254" s="10" t="s">
        <x:v>352</x:v>
      </x:c>
      <x:c r="F254" s="10" t="s">
        <x:v>3</x:v>
      </x:c>
      <x:c r="G254" s="10" t="s">
        <x:v>64</x:v>
      </x:c>
      <x:c r="H254" s="10" t="s">
        <x:v>64</x:v>
      </x:c>
      <x:c r="I254" s="10"/>
      <x:c r="J254" s="10"/>
      <x:c r="K254" s="10"/>
      <x:c r="L254" s="10"/>
      <x:c r="M254" s="10">
        <x:f t="shared" si="3"/>
        <x:v>0</x:v>
      </x:c>
    </x:row>
    <x:row r="255" ht="27.600000381469727">
      <x:c r="A255" s="10">
        <x:v>254</x:v>
      </x:c>
      <x:c r="B255" s="10" t="s">
        <x:v>31</x:v>
      </x:c>
      <x:c r="C255" s="10" t="s">
        <x:v>351</x:v>
      </x:c>
      <x:c r="D255" s="10" t="s">
        <x:v>62</x:v>
      </x:c>
      <x:c r="E255" s="10" t="s">
        <x:v>353</x:v>
      </x:c>
      <x:c r="F255" s="10" t="s">
        <x:v>3</x:v>
      </x:c>
      <x:c r="G255" s="10" t="s">
        <x:v>64</x:v>
      </x:c>
      <x:c r="H255" s="10" t="s">
        <x:v>64</x:v>
      </x:c>
      <x:c r="I255" s="10"/>
      <x:c r="J255" s="10"/>
      <x:c r="K255" s="10"/>
      <x:c r="L255" s="10"/>
      <x:c r="M255" s="10">
        <x:f t="shared" si="3"/>
        <x:v>0</x:v>
      </x:c>
    </x:row>
    <x:row r="256" ht="27.600000381469727">
      <x:c r="A256" s="10">
        <x:v>255</x:v>
      </x:c>
      <x:c r="B256" s="10" t="s">
        <x:v>31</x:v>
      </x:c>
      <x:c r="C256" s="10" t="s">
        <x:v>351</x:v>
      </x:c>
      <x:c r="D256" s="10" t="s">
        <x:v>62</x:v>
      </x:c>
      <x:c r="E256" s="10" t="s">
        <x:v>354</x:v>
      </x:c>
      <x:c r="F256" s="10" t="s">
        <x:v>3</x:v>
      </x:c>
      <x:c r="G256" s="10" t="s">
        <x:v>52</x:v>
      </x:c>
      <x:c r="H256" s="10" t="s">
        <x:v>64</x:v>
      </x:c>
      <x:c r="I256" s="10"/>
      <x:c r="J256" s="10"/>
      <x:c r="K256" s="10"/>
      <x:c r="L256" s="10"/>
      <x:c r="M256" s="10">
        <x:f t="shared" si="3"/>
        <x:v>0</x:v>
      </x:c>
    </x:row>
    <x:row r="257" ht="27.600000381469727">
      <x:c r="A257" s="10">
        <x:v>256</x:v>
      </x:c>
      <x:c r="B257" s="10" t="s">
        <x:v>31</x:v>
      </x:c>
      <x:c r="C257" s="10" t="s">
        <x:v>351</x:v>
      </x:c>
      <x:c r="D257" s="10" t="s">
        <x:v>62</x:v>
      </x:c>
      <x:c r="E257" s="10" t="s">
        <x:v>355</x:v>
      </x:c>
      <x:c r="F257" s="10" t="s">
        <x:v>3</x:v>
      </x:c>
      <x:c r="G257" s="10" t="s">
        <x:v>52</x:v>
      </x:c>
      <x:c r="H257" s="10" t="s">
        <x:v>64</x:v>
      </x:c>
      <x:c r="I257" s="10"/>
      <x:c r="J257" s="10"/>
      <x:c r="K257" s="10"/>
      <x:c r="L257" s="10"/>
      <x:c r="M257" s="10">
        <x:f t="shared" si="3"/>
        <x:v>0</x:v>
      </x:c>
    </x:row>
    <x:row r="258" ht="27.600000381469727">
      <x:c r="A258" s="10">
        <x:v>257</x:v>
      </x:c>
      <x:c r="B258" s="10" t="s">
        <x:v>31</x:v>
      </x:c>
      <x:c r="C258" s="10" t="s">
        <x:v>351</x:v>
      </x:c>
      <x:c r="D258" s="10" t="s">
        <x:v>62</x:v>
      </x:c>
      <x:c r="E258" s="10" t="s">
        <x:v>356</x:v>
      </x:c>
      <x:c r="F258" s="10" t="s">
        <x:v>3</x:v>
      </x:c>
      <x:c r="G258" s="10" t="s">
        <x:v>52</x:v>
      </x:c>
      <x:c r="H258" s="10" t="s">
        <x:v>64</x:v>
      </x:c>
      <x:c r="I258" s="10"/>
      <x:c r="J258" s="10"/>
      <x:c r="K258" s="10"/>
      <x:c r="L258" s="10"/>
      <x:c r="M258" s="10" t="n">
        <x:f t="shared" ref="M258:M321" si="4">IF(F258="Hoàn thành",1,0)</x:f>
        <x:v>0</x:v>
      </x:c>
    </x:row>
    <x:row r="259" ht="27.600000381469727">
      <x:c r="A259" s="10">
        <x:v>258</x:v>
      </x:c>
      <x:c r="B259" s="10" t="s">
        <x:v>31</x:v>
      </x:c>
      <x:c r="C259" s="10" t="s">
        <x:v>351</x:v>
      </x:c>
      <x:c r="D259" s="10" t="s">
        <x:v>62</x:v>
      </x:c>
      <x:c r="E259" s="10" t="s">
        <x:v>357</x:v>
      </x:c>
      <x:c r="F259" s="10" t="s">
        <x:v>3</x:v>
      </x:c>
      <x:c r="G259" s="10" t="s">
        <x:v>52</x:v>
      </x:c>
      <x:c r="H259" s="10" t="s">
        <x:v>64</x:v>
      </x:c>
      <x:c r="I259" s="10"/>
      <x:c r="J259" s="10"/>
      <x:c r="K259" s="10"/>
      <x:c r="L259" s="10"/>
      <x:c r="M259" s="10">
        <x:f t="shared" si="4"/>
        <x:v>0</x:v>
      </x:c>
    </x:row>
    <x:row r="260" ht="27.600000381469727">
      <x:c r="A260" s="10">
        <x:v>259</x:v>
      </x:c>
      <x:c r="B260" s="10" t="s">
        <x:v>31</x:v>
      </x:c>
      <x:c r="C260" s="10" t="s">
        <x:v>351</x:v>
      </x:c>
      <x:c r="D260" s="10" t="s">
        <x:v>62</x:v>
      </x:c>
      <x:c r="E260" s="10" t="s">
        <x:v>358</x:v>
      </x:c>
      <x:c r="F260" s="10" t="s">
        <x:v>3</x:v>
      </x:c>
      <x:c r="G260" s="10" t="s">
        <x:v>52</x:v>
      </x:c>
      <x:c r="H260" s="10" t="s">
        <x:v>64</x:v>
      </x:c>
      <x:c r="I260" s="10"/>
      <x:c r="J260" s="10"/>
      <x:c r="K260" s="10"/>
      <x:c r="L260" s="10"/>
      <x:c r="M260" s="10">
        <x:f t="shared" si="4"/>
        <x:v>0</x:v>
      </x:c>
    </x:row>
    <x:row r="261" ht="27.600000381469727">
      <x:c r="A261" s="10">
        <x:v>260</x:v>
      </x:c>
      <x:c r="B261" s="10" t="s">
        <x:v>31</x:v>
      </x:c>
      <x:c r="C261" s="10" t="s">
        <x:v>351</x:v>
      </x:c>
      <x:c r="D261" s="10" t="s">
        <x:v>62</x:v>
      </x:c>
      <x:c r="E261" s="10" t="s">
        <x:v>359</x:v>
      </x:c>
      <x:c r="F261" s="10" t="s">
        <x:v>3</x:v>
      </x:c>
      <x:c r="G261" s="10" t="s">
        <x:v>52</x:v>
      </x:c>
      <x:c r="H261" s="10" t="s">
        <x:v>64</x:v>
      </x:c>
      <x:c r="I261" s="10"/>
      <x:c r="J261" s="10"/>
      <x:c r="K261" s="10"/>
      <x:c r="L261" s="10"/>
      <x:c r="M261" s="10">
        <x:f t="shared" si="4"/>
        <x:v>0</x:v>
      </x:c>
    </x:row>
    <x:row r="262" ht="27.600000381469727">
      <x:c r="A262" s="10">
        <x:v>261</x:v>
      </x:c>
      <x:c r="B262" s="10" t="s">
        <x:v>31</x:v>
      </x:c>
      <x:c r="C262" s="10" t="s">
        <x:v>351</x:v>
      </x:c>
      <x:c r="D262" s="10" t="s">
        <x:v>360</x:v>
      </x:c>
      <x:c r="E262" s="10" t="s">
        <x:v>361</x:v>
      </x:c>
      <x:c r="F262" s="10" t="s">
        <x:v>3</x:v>
      </x:c>
      <x:c r="G262" s="10" t="s">
        <x:v>52</x:v>
      </x:c>
      <x:c r="H262" s="10" t="s">
        <x:v>64</x:v>
      </x:c>
      <x:c r="I262" s="10"/>
      <x:c r="J262" s="10"/>
      <x:c r="K262" s="10"/>
      <x:c r="L262" s="10"/>
      <x:c r="M262" s="10">
        <x:f t="shared" si="4"/>
        <x:v>0</x:v>
      </x:c>
    </x:row>
    <x:row r="263" ht="27.600000381469727">
      <x:c r="A263" s="10">
        <x:v>262</x:v>
      </x:c>
      <x:c r="B263" s="10" t="s">
        <x:v>31</x:v>
      </x:c>
      <x:c r="C263" s="10" t="s">
        <x:v>351</x:v>
      </x:c>
      <x:c r="D263" s="10" t="s">
        <x:v>360</x:v>
      </x:c>
      <x:c r="E263" s="10" t="s">
        <x:v>362</x:v>
      </x:c>
      <x:c r="F263" s="10" t="s">
        <x:v>3</x:v>
      </x:c>
      <x:c r="G263" s="10" t="s">
        <x:v>64</x:v>
      </x:c>
      <x:c r="H263" s="10" t="s">
        <x:v>64</x:v>
      </x:c>
      <x:c r="I263" s="10"/>
      <x:c r="J263" s="10"/>
      <x:c r="K263" s="10"/>
      <x:c r="L263" s="10"/>
      <x:c r="M263" s="10">
        <x:f t="shared" si="4"/>
        <x:v>0</x:v>
      </x:c>
    </x:row>
    <x:row r="264" ht="27.600000381469727">
      <x:c r="A264" s="10">
        <x:v>263</x:v>
      </x:c>
      <x:c r="B264" s="10" t="s">
        <x:v>31</x:v>
      </x:c>
      <x:c r="C264" s="10" t="s">
        <x:v>351</x:v>
      </x:c>
      <x:c r="D264" s="10" t="s">
        <x:v>360</x:v>
      </x:c>
      <x:c r="E264" s="10" t="s">
        <x:v>363</x:v>
      </x:c>
      <x:c r="F264" s="10" t="s">
        <x:v>3</x:v>
      </x:c>
      <x:c r="G264" s="10" t="s">
        <x:v>64</x:v>
      </x:c>
      <x:c r="H264" s="10" t="s">
        <x:v>64</x:v>
      </x:c>
      <x:c r="I264" s="10"/>
      <x:c r="J264" s="10"/>
      <x:c r="K264" s="10"/>
      <x:c r="L264" s="10"/>
      <x:c r="M264" s="10">
        <x:f t="shared" si="4"/>
        <x:v>0</x:v>
      </x:c>
    </x:row>
    <x:row r="265" ht="27.600000381469727">
      <x:c r="A265" s="10">
        <x:v>264</x:v>
      </x:c>
      <x:c r="B265" s="10" t="s">
        <x:v>31</x:v>
      </x:c>
      <x:c r="C265" s="10" t="s">
        <x:v>351</x:v>
      </x:c>
      <x:c r="D265" s="10" t="s">
        <x:v>360</x:v>
      </x:c>
      <x:c r="E265" s="10" t="s">
        <x:v>364</x:v>
      </x:c>
      <x:c r="F265" s="10" t="s">
        <x:v>3</x:v>
      </x:c>
      <x:c r="G265" s="10" t="s">
        <x:v>64</x:v>
      </x:c>
      <x:c r="H265" s="10" t="s">
        <x:v>64</x:v>
      </x:c>
      <x:c r="I265" s="10"/>
      <x:c r="J265" s="10"/>
      <x:c r="K265" s="10"/>
      <x:c r="L265" s="10"/>
      <x:c r="M265" s="10">
        <x:f t="shared" si="4"/>
        <x:v>0</x:v>
      </x:c>
    </x:row>
    <x:row r="266" ht="27.600000381469727">
      <x:c r="A266" s="10">
        <x:v>265</x:v>
      </x:c>
      <x:c r="B266" s="10" t="s">
        <x:v>31</x:v>
      </x:c>
      <x:c r="C266" s="10" t="s">
        <x:v>351</x:v>
      </x:c>
      <x:c r="D266" s="10" t="s">
        <x:v>360</x:v>
      </x:c>
      <x:c r="E266" s="10" t="s">
        <x:v>365</x:v>
      </x:c>
      <x:c r="F266" s="10" t="s">
        <x:v>3</x:v>
      </x:c>
      <x:c r="G266" s="10" t="s">
        <x:v>64</x:v>
      </x:c>
      <x:c r="H266" s="10" t="s">
        <x:v>64</x:v>
      </x:c>
      <x:c r="I266" s="10"/>
      <x:c r="J266" s="10"/>
      <x:c r="K266" s="10"/>
      <x:c r="L266" s="10"/>
      <x:c r="M266" s="10">
        <x:f t="shared" si="4"/>
        <x:v>0</x:v>
      </x:c>
    </x:row>
    <x:row r="267" ht="27.600000381469727">
      <x:c r="A267" s="10">
        <x:v>266</x:v>
      </x:c>
      <x:c r="B267" s="10" t="s">
        <x:v>31</x:v>
      </x:c>
      <x:c r="C267" s="10" t="s">
        <x:v>351</x:v>
      </x:c>
      <x:c r="D267" s="10" t="s">
        <x:v>360</x:v>
      </x:c>
      <x:c r="E267" s="10" t="s">
        <x:v>366</x:v>
      </x:c>
      <x:c r="F267" s="10" t="s">
        <x:v>3</x:v>
      </x:c>
      <x:c r="G267" s="10" t="s">
        <x:v>52</x:v>
      </x:c>
      <x:c r="H267" s="10" t="s">
        <x:v>64</x:v>
      </x:c>
      <x:c r="I267" s="10"/>
      <x:c r="J267" s="10"/>
      <x:c r="K267" s="10"/>
      <x:c r="L267" s="10"/>
      <x:c r="M267" s="10">
        <x:f t="shared" si="4"/>
        <x:v>0</x:v>
      </x:c>
    </x:row>
    <x:row r="268" ht="27.600000381469727">
      <x:c r="A268" s="10">
        <x:v>267</x:v>
      </x:c>
      <x:c r="B268" s="10" t="s">
        <x:v>31</x:v>
      </x:c>
      <x:c r="C268" s="10" t="s">
        <x:v>351</x:v>
      </x:c>
      <x:c r="D268" s="10" t="s">
        <x:v>78</x:v>
      </x:c>
      <x:c r="E268" s="10" t="s">
        <x:v>367</x:v>
      </x:c>
      <x:c r="F268" s="10" t="s">
        <x:v>3</x:v>
      </x:c>
      <x:c r="G268" s="10" t="s">
        <x:v>64</x:v>
      </x:c>
      <x:c r="H268" s="10" t="s">
        <x:v>64</x:v>
      </x:c>
      <x:c r="I268" s="10"/>
      <x:c r="J268" s="10"/>
      <x:c r="K268" s="10"/>
      <x:c r="L268" s="10"/>
      <x:c r="M268" s="10">
        <x:f t="shared" si="4"/>
        <x:v>0</x:v>
      </x:c>
    </x:row>
    <x:row r="269" ht="27.600000381469727">
      <x:c r="A269" s="10">
        <x:v>268</x:v>
      </x:c>
      <x:c r="B269" s="10" t="s">
        <x:v>31</x:v>
      </x:c>
      <x:c r="C269" s="10" t="s">
        <x:v>351</x:v>
      </x:c>
      <x:c r="D269" s="10" t="s">
        <x:v>78</x:v>
      </x:c>
      <x:c r="E269" s="10" t="s">
        <x:v>368</x:v>
      </x:c>
      <x:c r="F269" s="10" t="s">
        <x:v>3</x:v>
      </x:c>
      <x:c r="G269" s="10" t="s">
        <x:v>64</x:v>
      </x:c>
      <x:c r="H269" s="10" t="s">
        <x:v>64</x:v>
      </x:c>
      <x:c r="I269" s="10"/>
      <x:c r="J269" s="10"/>
      <x:c r="K269" s="10"/>
      <x:c r="L269" s="10"/>
      <x:c r="M269" s="10">
        <x:f t="shared" si="4"/>
        <x:v>0</x:v>
      </x:c>
    </x:row>
    <x:row r="270" ht="27.600000381469727">
      <x:c r="A270" s="10">
        <x:v>269</x:v>
      </x:c>
      <x:c r="B270" s="10" t="s">
        <x:v>31</x:v>
      </x:c>
      <x:c r="C270" s="10" t="s">
        <x:v>351</x:v>
      </x:c>
      <x:c r="D270" s="10" t="s">
        <x:v>78</x:v>
      </x:c>
      <x:c r="E270" s="10" t="s">
        <x:v>369</x:v>
      </x:c>
      <x:c r="F270" s="10" t="s">
        <x:v>3</x:v>
      </x:c>
      <x:c r="G270" s="10" t="s">
        <x:v>64</x:v>
      </x:c>
      <x:c r="H270" s="10" t="s">
        <x:v>64</x:v>
      </x:c>
      <x:c r="I270" s="10"/>
      <x:c r="J270" s="10"/>
      <x:c r="K270" s="10"/>
      <x:c r="L270" s="10"/>
      <x:c r="M270" s="10">
        <x:f t="shared" si="4"/>
        <x:v>0</x:v>
      </x:c>
    </x:row>
    <x:row r="271" ht="27.600000381469727">
      <x:c r="A271" s="10">
        <x:v>270</x:v>
      </x:c>
      <x:c r="B271" s="10" t="s">
        <x:v>31</x:v>
      </x:c>
      <x:c r="C271" s="10" t="s">
        <x:v>351</x:v>
      </x:c>
      <x:c r="D271" s="10" t="s">
        <x:v>84</x:v>
      </x:c>
      <x:c r="E271" s="10" t="s">
        <x:v>370</x:v>
      </x:c>
      <x:c r="F271" s="10" t="s">
        <x:v>3</x:v>
      </x:c>
      <x:c r="G271" s="10" t="s">
        <x:v>52</x:v>
      </x:c>
      <x:c r="H271" s="10" t="s">
        <x:v>64</x:v>
      </x:c>
      <x:c r="I271" s="10"/>
      <x:c r="J271" s="10"/>
      <x:c r="K271" s="10"/>
      <x:c r="L271" s="10"/>
      <x:c r="M271" s="10">
        <x:f t="shared" si="4"/>
        <x:v>0</x:v>
      </x:c>
    </x:row>
    <x:row r="272" ht="27.600000381469727">
      <x:c r="A272" s="10">
        <x:v>271</x:v>
      </x:c>
      <x:c r="B272" s="10" t="s">
        <x:v>31</x:v>
      </x:c>
      <x:c r="C272" s="10" t="s">
        <x:v>351</x:v>
      </x:c>
      <x:c r="D272" s="10" t="s">
        <x:v>84</x:v>
      </x:c>
      <x:c r="E272" s="10" t="s">
        <x:v>371</x:v>
      </x:c>
      <x:c r="F272" s="10" t="s">
        <x:v>3</x:v>
      </x:c>
      <x:c r="G272" s="10" t="s">
        <x:v>52</x:v>
      </x:c>
      <x:c r="H272" s="10" t="s">
        <x:v>64</x:v>
      </x:c>
      <x:c r="I272" s="10"/>
      <x:c r="J272" s="10"/>
      <x:c r="K272" s="10"/>
      <x:c r="L272" s="10"/>
      <x:c r="M272" s="10">
        <x:f t="shared" si="4"/>
        <x:v>0</x:v>
      </x:c>
    </x:row>
    <x:row r="273" ht="27.600000381469727">
      <x:c r="A273" s="10">
        <x:v>272</x:v>
      </x:c>
      <x:c r="B273" s="10" t="s">
        <x:v>31</x:v>
      </x:c>
      <x:c r="C273" s="10" t="s">
        <x:v>351</x:v>
      </x:c>
      <x:c r="D273" s="10" t="s">
        <x:v>84</x:v>
      </x:c>
      <x:c r="E273" s="10" t="s">
        <x:v>372</x:v>
      </x:c>
      <x:c r="F273" s="10" t="s">
        <x:v>3</x:v>
      </x:c>
      <x:c r="G273" s="10" t="s">
        <x:v>52</x:v>
      </x:c>
      <x:c r="H273" s="10" t="s">
        <x:v>64</x:v>
      </x:c>
      <x:c r="I273" s="10"/>
      <x:c r="J273" s="10"/>
      <x:c r="K273" s="10"/>
      <x:c r="L273" s="10"/>
      <x:c r="M273" s="10">
        <x:f t="shared" si="4"/>
        <x:v>0</x:v>
      </x:c>
    </x:row>
    <x:row r="274" ht="27.600000381469727">
      <x:c r="A274" s="10">
        <x:v>273</x:v>
      </x:c>
      <x:c r="B274" s="10" t="s">
        <x:v>31</x:v>
      </x:c>
      <x:c r="C274" s="10" t="s">
        <x:v>351</x:v>
      </x:c>
      <x:c r="D274" s="10" t="s">
        <x:v>84</x:v>
      </x:c>
      <x:c r="E274" s="10" t="s">
        <x:v>373</x:v>
      </x:c>
      <x:c r="F274" s="10" t="s">
        <x:v>3</x:v>
      </x:c>
      <x:c r="G274" s="10" t="s">
        <x:v>52</x:v>
      </x:c>
      <x:c r="H274" s="10" t="s">
        <x:v>64</x:v>
      </x:c>
      <x:c r="I274" s="10"/>
      <x:c r="J274" s="10"/>
      <x:c r="K274" s="10"/>
      <x:c r="L274" s="10"/>
      <x:c r="M274" s="10">
        <x:f t="shared" si="4"/>
        <x:v>0</x:v>
      </x:c>
    </x:row>
    <x:row r="275" ht="27.600000381469727">
      <x:c r="A275" s="10">
        <x:v>274</x:v>
      </x:c>
      <x:c r="B275" s="10" t="s">
        <x:v>31</x:v>
      </x:c>
      <x:c r="C275" s="10" t="s">
        <x:v>351</x:v>
      </x:c>
      <x:c r="D275" s="10" t="s">
        <x:v>84</x:v>
      </x:c>
      <x:c r="E275" s="10" t="s">
        <x:v>374</x:v>
      </x:c>
      <x:c r="F275" s="10" t="s">
        <x:v>3</x:v>
      </x:c>
      <x:c r="G275" s="10" t="s">
        <x:v>52</x:v>
      </x:c>
      <x:c r="H275" s="10" t="s">
        <x:v>64</x:v>
      </x:c>
      <x:c r="I275" s="10"/>
      <x:c r="J275" s="10"/>
      <x:c r="K275" s="10"/>
      <x:c r="L275" s="10"/>
      <x:c r="M275" s="10">
        <x:f t="shared" si="4"/>
        <x:v>0</x:v>
      </x:c>
    </x:row>
    <x:row r="276">
      <x:c r="A276" s="10">
        <x:v>275</x:v>
      </x:c>
      <x:c r="B276" s="10" t="s">
        <x:v>31</x:v>
      </x:c>
      <x:c r="C276" s="10" t="s">
        <x:v>375</x:v>
      </x:c>
      <x:c r="D276" s="10" t="s">
        <x:v>62</x:v>
      </x:c>
      <x:c r="E276" s="10" t="s">
        <x:v>376</x:v>
      </x:c>
      <x:c r="F276" s="10" t="s">
        <x:v>3</x:v>
      </x:c>
      <x:c r="G276" s="10" t="s">
        <x:v>64</x:v>
      </x:c>
      <x:c r="H276" s="10" t="s">
        <x:v>64</x:v>
      </x:c>
      <x:c r="I276" s="10"/>
      <x:c r="J276" s="10"/>
      <x:c r="K276" s="10"/>
      <x:c r="L276" s="10"/>
      <x:c r="M276" s="10">
        <x:f t="shared" si="4"/>
        <x:v>0</x:v>
      </x:c>
    </x:row>
    <x:row r="277">
      <x:c r="A277" s="10">
        <x:v>276</x:v>
      </x:c>
      <x:c r="B277" s="10" t="s">
        <x:v>31</x:v>
      </x:c>
      <x:c r="C277" s="10" t="s">
        <x:v>375</x:v>
      </x:c>
      <x:c r="D277" s="10" t="s">
        <x:v>62</x:v>
      </x:c>
      <x:c r="E277" s="10" t="s">
        <x:v>377</x:v>
      </x:c>
      <x:c r="F277" s="10" t="s">
        <x:v>3</x:v>
      </x:c>
      <x:c r="G277" s="10" t="s">
        <x:v>64</x:v>
      </x:c>
      <x:c r="H277" s="10" t="s">
        <x:v>64</x:v>
      </x:c>
      <x:c r="I277" s="10"/>
      <x:c r="J277" s="10"/>
      <x:c r="K277" s="10"/>
      <x:c r="L277" s="10"/>
      <x:c r="M277" s="10">
        <x:f t="shared" si="4"/>
        <x:v>0</x:v>
      </x:c>
    </x:row>
    <x:row r="278">
      <x:c r="A278" s="10">
        <x:v>277</x:v>
      </x:c>
      <x:c r="B278" s="10" t="s">
        <x:v>31</x:v>
      </x:c>
      <x:c r="C278" s="10" t="s">
        <x:v>375</x:v>
      </x:c>
      <x:c r="D278" s="10" t="s">
        <x:v>62</x:v>
      </x:c>
      <x:c r="E278" s="10" t="s">
        <x:v>378</x:v>
      </x:c>
      <x:c r="F278" s="10" t="s">
        <x:v>3</x:v>
      </x:c>
      <x:c r="G278" s="10" t="s">
        <x:v>64</x:v>
      </x:c>
      <x:c r="H278" s="10" t="s">
        <x:v>64</x:v>
      </x:c>
      <x:c r="I278" s="10"/>
      <x:c r="J278" s="10"/>
      <x:c r="K278" s="10"/>
      <x:c r="L278" s="10"/>
      <x:c r="M278" s="10">
        <x:f t="shared" si="4"/>
        <x:v>0</x:v>
      </x:c>
    </x:row>
    <x:row r="279">
      <x:c r="A279" s="10">
        <x:v>278</x:v>
      </x:c>
      <x:c r="B279" s="10" t="s">
        <x:v>31</x:v>
      </x:c>
      <x:c r="C279" s="10" t="s">
        <x:v>375</x:v>
      </x:c>
      <x:c r="D279" s="10" t="s">
        <x:v>62</x:v>
      </x:c>
      <x:c r="E279" s="10" t="s">
        <x:v>379</x:v>
      </x:c>
      <x:c r="F279" s="10" t="s">
        <x:v>3</x:v>
      </x:c>
      <x:c r="G279" s="10" t="s">
        <x:v>64</x:v>
      </x:c>
      <x:c r="H279" s="10" t="s">
        <x:v>64</x:v>
      </x:c>
      <x:c r="I279" s="10"/>
      <x:c r="J279" s="10"/>
      <x:c r="K279" s="10"/>
      <x:c r="L279" s="10"/>
      <x:c r="M279" s="10">
        <x:f t="shared" si="4"/>
        <x:v>0</x:v>
      </x:c>
    </x:row>
    <x:row r="280">
      <x:c r="A280" s="10">
        <x:v>279</x:v>
      </x:c>
      <x:c r="B280" s="10" t="s">
        <x:v>31</x:v>
      </x:c>
      <x:c r="C280" s="10" t="s">
        <x:v>375</x:v>
      </x:c>
      <x:c r="D280" s="10" t="s">
        <x:v>62</x:v>
      </x:c>
      <x:c r="E280" s="10" t="s">
        <x:v>380</x:v>
      </x:c>
      <x:c r="F280" s="10" t="s">
        <x:v>3</x:v>
      </x:c>
      <x:c r="G280" s="10" t="s">
        <x:v>52</x:v>
      </x:c>
      <x:c r="H280" s="10" t="s">
        <x:v>64</x:v>
      </x:c>
      <x:c r="I280" s="10"/>
      <x:c r="J280" s="10"/>
      <x:c r="K280" s="10"/>
      <x:c r="L280" s="10"/>
      <x:c r="M280" s="10">
        <x:f t="shared" si="4"/>
        <x:v>0</x:v>
      </x:c>
    </x:row>
    <x:row r="281">
      <x:c r="A281" s="10">
        <x:v>280</x:v>
      </x:c>
      <x:c r="B281" s="10" t="s">
        <x:v>31</x:v>
      </x:c>
      <x:c r="C281" s="10" t="s">
        <x:v>375</x:v>
      </x:c>
      <x:c r="D281" s="10" t="s">
        <x:v>62</x:v>
      </x:c>
      <x:c r="E281" s="10" t="s">
        <x:v>381</x:v>
      </x:c>
      <x:c r="F281" s="10" t="s">
        <x:v>3</x:v>
      </x:c>
      <x:c r="G281" s="10" t="s">
        <x:v>52</x:v>
      </x:c>
      <x:c r="H281" s="10" t="s">
        <x:v>64</x:v>
      </x:c>
      <x:c r="I281" s="10"/>
      <x:c r="J281" s="10"/>
      <x:c r="K281" s="10"/>
      <x:c r="L281" s="10"/>
      <x:c r="M281" s="10">
        <x:f t="shared" si="4"/>
        <x:v>0</x:v>
      </x:c>
    </x:row>
    <x:row r="282">
      <x:c r="A282" s="10">
        <x:v>281</x:v>
      </x:c>
      <x:c r="B282" s="10" t="s">
        <x:v>31</x:v>
      </x:c>
      <x:c r="C282" s="10" t="s">
        <x:v>375</x:v>
      </x:c>
      <x:c r="D282" s="10" t="s">
        <x:v>62</x:v>
      </x:c>
      <x:c r="E282" s="10" t="s">
        <x:v>382</x:v>
      </x:c>
      <x:c r="F282" s="10" t="s">
        <x:v>3</x:v>
      </x:c>
      <x:c r="G282" s="10" t="s">
        <x:v>52</x:v>
      </x:c>
      <x:c r="H282" s="10" t="s">
        <x:v>64</x:v>
      </x:c>
      <x:c r="I282" s="10"/>
      <x:c r="J282" s="10"/>
      <x:c r="K282" s="10"/>
      <x:c r="L282" s="10"/>
      <x:c r="M282" s="10">
        <x:f t="shared" si="4"/>
        <x:v>0</x:v>
      </x:c>
    </x:row>
    <x:row r="283">
      <x:c r="A283" s="10">
        <x:v>282</x:v>
      </x:c>
      <x:c r="B283" s="10" t="s">
        <x:v>31</x:v>
      </x:c>
      <x:c r="C283" s="10" t="s">
        <x:v>375</x:v>
      </x:c>
      <x:c r="D283" s="10" t="s">
        <x:v>62</x:v>
      </x:c>
      <x:c r="E283" s="10" t="s">
        <x:v>383</x:v>
      </x:c>
      <x:c r="F283" s="10" t="s">
        <x:v>3</x:v>
      </x:c>
      <x:c r="G283" s="10" t="s">
        <x:v>64</x:v>
      </x:c>
      <x:c r="H283" s="10" t="s">
        <x:v>64</x:v>
      </x:c>
      <x:c r="I283" s="10"/>
      <x:c r="J283" s="10"/>
      <x:c r="K283" s="10"/>
      <x:c r="L283" s="10"/>
      <x:c r="M283" s="10">
        <x:f t="shared" si="4"/>
        <x:v>0</x:v>
      </x:c>
    </x:row>
    <x:row r="284">
      <x:c r="A284" s="10">
        <x:v>283</x:v>
      </x:c>
      <x:c r="B284" s="10" t="s">
        <x:v>31</x:v>
      </x:c>
      <x:c r="C284" s="10" t="s">
        <x:v>375</x:v>
      </x:c>
      <x:c r="D284" s="10" t="s">
        <x:v>62</x:v>
      </x:c>
      <x:c r="E284" s="10" t="s">
        <x:v>384</x:v>
      </x:c>
      <x:c r="F284" s="10" t="s">
        <x:v>3</x:v>
      </x:c>
      <x:c r="G284" s="10" t="s">
        <x:v>64</x:v>
      </x:c>
      <x:c r="H284" s="10" t="s">
        <x:v>64</x:v>
      </x:c>
      <x:c r="I284" s="10"/>
      <x:c r="J284" s="10"/>
      <x:c r="K284" s="10"/>
      <x:c r="L284" s="10"/>
      <x:c r="M284" s="10">
        <x:f t="shared" si="4"/>
        <x:v>0</x:v>
      </x:c>
    </x:row>
    <x:row r="285">
      <x:c r="A285" s="10">
        <x:v>284</x:v>
      </x:c>
      <x:c r="B285" s="10" t="s">
        <x:v>31</x:v>
      </x:c>
      <x:c r="C285" s="10" t="s">
        <x:v>375</x:v>
      </x:c>
      <x:c r="D285" s="10" t="s">
        <x:v>62</x:v>
      </x:c>
      <x:c r="E285" s="10" t="s">
        <x:v>385</x:v>
      </x:c>
      <x:c r="F285" s="10" t="s">
        <x:v>3</x:v>
      </x:c>
      <x:c r="G285" s="10" t="s">
        <x:v>52</x:v>
      </x:c>
      <x:c r="H285" s="10" t="s">
        <x:v>64</x:v>
      </x:c>
      <x:c r="I285" s="10"/>
      <x:c r="J285" s="10"/>
      <x:c r="K285" s="10"/>
      <x:c r="L285" s="10"/>
      <x:c r="M285" s="10">
        <x:f t="shared" si="4"/>
        <x:v>0</x:v>
      </x:c>
    </x:row>
    <x:row r="286">
      <x:c r="A286" s="10">
        <x:v>285</x:v>
      </x:c>
      <x:c r="B286" s="10" t="s">
        <x:v>31</x:v>
      </x:c>
      <x:c r="C286" s="10" t="s">
        <x:v>375</x:v>
      </x:c>
      <x:c r="D286" s="10" t="s">
        <x:v>78</x:v>
      </x:c>
      <x:c r="E286" s="10" t="s">
        <x:v>386</x:v>
      </x:c>
      <x:c r="F286" s="10" t="s">
        <x:v>3</x:v>
      </x:c>
      <x:c r="G286" s="10" t="s">
        <x:v>64</x:v>
      </x:c>
      <x:c r="H286" s="10" t="s">
        <x:v>64</x:v>
      </x:c>
      <x:c r="I286" s="10"/>
      <x:c r="J286" s="10"/>
      <x:c r="K286" s="10"/>
      <x:c r="L286" s="10"/>
      <x:c r="M286" s="10">
        <x:f t="shared" si="4"/>
        <x:v>0</x:v>
      </x:c>
    </x:row>
    <x:row r="287">
      <x:c r="A287" s="10">
        <x:v>286</x:v>
      </x:c>
      <x:c r="B287" s="10" t="s">
        <x:v>31</x:v>
      </x:c>
      <x:c r="C287" s="10" t="s">
        <x:v>375</x:v>
      </x:c>
      <x:c r="D287" s="10" t="s">
        <x:v>78</x:v>
      </x:c>
      <x:c r="E287" s="10" t="s">
        <x:v>387</x:v>
      </x:c>
      <x:c r="F287" s="10" t="s">
        <x:v>3</x:v>
      </x:c>
      <x:c r="G287" s="10" t="s">
        <x:v>64</x:v>
      </x:c>
      <x:c r="H287" s="10" t="s">
        <x:v>64</x:v>
      </x:c>
      <x:c r="I287" s="10"/>
      <x:c r="J287" s="10"/>
      <x:c r="K287" s="10"/>
      <x:c r="L287" s="10"/>
      <x:c r="M287" s="10">
        <x:f t="shared" si="4"/>
        <x:v>0</x:v>
      </x:c>
    </x:row>
    <x:row r="288">
      <x:c r="A288" s="10">
        <x:v>287</x:v>
      </x:c>
      <x:c r="B288" s="10" t="s">
        <x:v>31</x:v>
      </x:c>
      <x:c r="C288" s="10" t="s">
        <x:v>375</x:v>
      </x:c>
      <x:c r="D288" s="10" t="s">
        <x:v>84</x:v>
      </x:c>
      <x:c r="E288" s="10" t="s">
        <x:v>388</x:v>
      </x:c>
      <x:c r="F288" s="10" t="s">
        <x:v>3</x:v>
      </x:c>
      <x:c r="G288" s="10" t="s">
        <x:v>52</x:v>
      </x:c>
      <x:c r="H288" s="10" t="s">
        <x:v>64</x:v>
      </x:c>
      <x:c r="I288" s="10"/>
      <x:c r="J288" s="10"/>
      <x:c r="K288" s="10"/>
      <x:c r="L288" s="10"/>
      <x:c r="M288" s="10">
        <x:f t="shared" si="4"/>
        <x:v>0</x:v>
      </x:c>
    </x:row>
    <x:row r="289">
      <x:c r="A289" s="10">
        <x:v>288</x:v>
      </x:c>
      <x:c r="B289" s="10" t="s">
        <x:v>31</x:v>
      </x:c>
      <x:c r="C289" s="10" t="s">
        <x:v>375</x:v>
      </x:c>
      <x:c r="D289" s="10" t="s">
        <x:v>84</x:v>
      </x:c>
      <x:c r="E289" s="10" t="s">
        <x:v>389</x:v>
      </x:c>
      <x:c r="F289" s="10" t="s">
        <x:v>3</x:v>
      </x:c>
      <x:c r="G289" s="10" t="s">
        <x:v>52</x:v>
      </x:c>
      <x:c r="H289" s="10" t="s">
        <x:v>64</x:v>
      </x:c>
      <x:c r="I289" s="10"/>
      <x:c r="J289" s="10"/>
      <x:c r="K289" s="10"/>
      <x:c r="L289" s="10"/>
      <x:c r="M289" s="10">
        <x:f t="shared" si="4"/>
        <x:v>0</x:v>
      </x:c>
    </x:row>
    <x:row r="290">
      <x:c r="A290" s="10">
        <x:v>289</x:v>
      </x:c>
      <x:c r="B290" s="10" t="s">
        <x:v>31</x:v>
      </x:c>
      <x:c r="C290" s="10" t="s">
        <x:v>375</x:v>
      </x:c>
      <x:c r="D290" s="10" t="s">
        <x:v>84</x:v>
      </x:c>
      <x:c r="E290" s="10" t="s">
        <x:v>390</x:v>
      </x:c>
      <x:c r="F290" s="10" t="s">
        <x:v>3</x:v>
      </x:c>
      <x:c r="G290" s="10" t="s">
        <x:v>52</x:v>
      </x:c>
      <x:c r="H290" s="10" t="s">
        <x:v>64</x:v>
      </x:c>
      <x:c r="I290" s="10"/>
      <x:c r="J290" s="10"/>
      <x:c r="K290" s="10"/>
      <x:c r="L290" s="10"/>
      <x:c r="M290" s="10">
        <x:f t="shared" si="4"/>
        <x:v>0</x:v>
      </x:c>
    </x:row>
    <x:row r="291">
      <x:c r="A291" s="10">
        <x:v>290</x:v>
      </x:c>
      <x:c r="B291" s="10" t="s">
        <x:v>31</x:v>
      </x:c>
      <x:c r="C291" s="10" t="s">
        <x:v>375</x:v>
      </x:c>
      <x:c r="D291" s="10" t="s">
        <x:v>84</x:v>
      </x:c>
      <x:c r="E291" s="10" t="s">
        <x:v>391</x:v>
      </x:c>
      <x:c r="F291" s="10" t="s">
        <x:v>3</x:v>
      </x:c>
      <x:c r="G291" s="10" t="s">
        <x:v>52</x:v>
      </x:c>
      <x:c r="H291" s="10" t="s">
        <x:v>64</x:v>
      </x:c>
      <x:c r="I291" s="10"/>
      <x:c r="J291" s="10"/>
      <x:c r="K291" s="10"/>
      <x:c r="L291" s="10"/>
      <x:c r="M291" s="10">
        <x:f t="shared" si="4"/>
        <x:v>0</x:v>
      </x:c>
    </x:row>
    <x:row r="292">
      <x:c r="A292" s="10">
        <x:v>291</x:v>
      </x:c>
      <x:c r="B292" s="10" t="s">
        <x:v>31</x:v>
      </x:c>
      <x:c r="C292" s="10" t="s">
        <x:v>375</x:v>
      </x:c>
      <x:c r="D292" s="10" t="s">
        <x:v>84</x:v>
      </x:c>
      <x:c r="E292" s="10" t="s">
        <x:v>392</x:v>
      </x:c>
      <x:c r="F292" s="10" t="s">
        <x:v>3</x:v>
      </x:c>
      <x:c r="G292" s="10" t="s">
        <x:v>52</x:v>
      </x:c>
      <x:c r="H292" s="10" t="s">
        <x:v>64</x:v>
      </x:c>
      <x:c r="I292" s="10"/>
      <x:c r="J292" s="10"/>
      <x:c r="K292" s="10"/>
      <x:c r="L292" s="10"/>
      <x:c r="M292" s="10">
        <x:f t="shared" si="4"/>
        <x:v>0</x:v>
      </x:c>
    </x:row>
    <x:row r="293" ht="27.600000381469727">
      <x:c r="A293" s="10">
        <x:v>292</x:v>
      </x:c>
      <x:c r="B293" s="10" t="s">
        <x:v>31</x:v>
      </x:c>
      <x:c r="C293" s="10" t="s">
        <x:v>393</x:v>
      </x:c>
      <x:c r="D293" s="10" t="s">
        <x:v>62</x:v>
      </x:c>
      <x:c r="E293" s="10" t="s">
        <x:v>394</x:v>
      </x:c>
      <x:c r="F293" s="10" t="s">
        <x:v>3</x:v>
      </x:c>
      <x:c r="G293" s="10" t="s">
        <x:v>53</x:v>
      </x:c>
      <x:c r="H293" s="10" t="s">
        <x:v>64</x:v>
      </x:c>
      <x:c r="I293" s="10"/>
      <x:c r="J293" s="10"/>
      <x:c r="K293" s="10"/>
      <x:c r="L293" s="10"/>
      <x:c r="M293" s="10">
        <x:f t="shared" si="4"/>
        <x:v>0</x:v>
      </x:c>
    </x:row>
    <x:row r="294" ht="27.600000381469727">
      <x:c r="A294" s="10">
        <x:v>293</x:v>
      </x:c>
      <x:c r="B294" s="10" t="s">
        <x:v>31</x:v>
      </x:c>
      <x:c r="C294" s="10" t="s">
        <x:v>393</x:v>
      </x:c>
      <x:c r="D294" s="10" t="s">
        <x:v>62</x:v>
      </x:c>
      <x:c r="E294" s="10" t="s">
        <x:v>395</x:v>
      </x:c>
      <x:c r="F294" s="10" t="s">
        <x:v>3</x:v>
      </x:c>
      <x:c r="G294" s="10" t="s">
        <x:v>53</x:v>
      </x:c>
      <x:c r="H294" s="10" t="s">
        <x:v>64</x:v>
      </x:c>
      <x:c r="I294" s="10"/>
      <x:c r="J294" s="10"/>
      <x:c r="K294" s="10"/>
      <x:c r="L294" s="10"/>
      <x:c r="M294" s="10">
        <x:f t="shared" si="4"/>
        <x:v>0</x:v>
      </x:c>
    </x:row>
    <x:row r="295" ht="27.600000381469727">
      <x:c r="A295" s="10">
        <x:v>294</x:v>
      </x:c>
      <x:c r="B295" s="10" t="s">
        <x:v>31</x:v>
      </x:c>
      <x:c r="C295" s="10" t="s">
        <x:v>393</x:v>
      </x:c>
      <x:c r="D295" s="10" t="s">
        <x:v>62</x:v>
      </x:c>
      <x:c r="E295" s="10" t="s">
        <x:v>396</x:v>
      </x:c>
      <x:c r="F295" s="10" t="s">
        <x:v>3</x:v>
      </x:c>
      <x:c r="G295" s="10" t="s">
        <x:v>53</x:v>
      </x:c>
      <x:c r="H295" s="10" t="s">
        <x:v>64</x:v>
      </x:c>
      <x:c r="I295" s="10"/>
      <x:c r="J295" s="10"/>
      <x:c r="K295" s="10"/>
      <x:c r="L295" s="10"/>
      <x:c r="M295" s="10">
        <x:f t="shared" si="4"/>
        <x:v>0</x:v>
      </x:c>
    </x:row>
    <x:row r="296" ht="27.600000381469727">
      <x:c r="A296" s="10">
        <x:v>295</x:v>
      </x:c>
      <x:c r="B296" s="10" t="s">
        <x:v>31</x:v>
      </x:c>
      <x:c r="C296" s="10" t="s">
        <x:v>393</x:v>
      </x:c>
      <x:c r="D296" s="10" t="s">
        <x:v>62</x:v>
      </x:c>
      <x:c r="E296" s="10" t="s">
        <x:v>397</x:v>
      </x:c>
      <x:c r="F296" s="10" t="s">
        <x:v>3</x:v>
      </x:c>
      <x:c r="G296" s="10" t="s">
        <x:v>53</x:v>
      </x:c>
      <x:c r="H296" s="10" t="s">
        <x:v>64</x:v>
      </x:c>
      <x:c r="I296" s="10"/>
      <x:c r="J296" s="10"/>
      <x:c r="K296" s="10"/>
      <x:c r="L296" s="10"/>
      <x:c r="M296" s="10">
        <x:f t="shared" si="4"/>
        <x:v>0</x:v>
      </x:c>
    </x:row>
    <x:row r="297" ht="27.600000381469727">
      <x:c r="A297" s="10">
        <x:v>296</x:v>
      </x:c>
      <x:c r="B297" s="10" t="s">
        <x:v>31</x:v>
      </x:c>
      <x:c r="C297" s="10" t="s">
        <x:v>393</x:v>
      </x:c>
      <x:c r="D297" s="10" t="s">
        <x:v>78</x:v>
      </x:c>
      <x:c r="E297" s="10" t="s">
        <x:v>398</x:v>
      </x:c>
      <x:c r="F297" s="10" t="s">
        <x:v>3</x:v>
      </x:c>
      <x:c r="G297" s="10" t="s">
        <x:v>53</x:v>
      </x:c>
      <x:c r="H297" s="10" t="s">
        <x:v>64</x:v>
      </x:c>
      <x:c r="I297" s="10"/>
      <x:c r="J297" s="10"/>
      <x:c r="K297" s="10"/>
      <x:c r="L297" s="10"/>
      <x:c r="M297" s="10">
        <x:f t="shared" si="4"/>
        <x:v>0</x:v>
      </x:c>
    </x:row>
    <x:row r="298" ht="27.600000381469727">
      <x:c r="A298" s="10">
        <x:v>297</x:v>
      </x:c>
      <x:c r="B298" s="10" t="s">
        <x:v>31</x:v>
      </x:c>
      <x:c r="C298" s="10" t="s">
        <x:v>393</x:v>
      </x:c>
      <x:c r="D298" s="10" t="s">
        <x:v>78</x:v>
      </x:c>
      <x:c r="E298" s="10" t="s">
        <x:v>399</x:v>
      </x:c>
      <x:c r="F298" s="10" t="s">
        <x:v>3</x:v>
      </x:c>
      <x:c r="G298" s="10" t="s">
        <x:v>53</x:v>
      </x:c>
      <x:c r="H298" s="10" t="s">
        <x:v>64</x:v>
      </x:c>
      <x:c r="I298" s="10"/>
      <x:c r="J298" s="10"/>
      <x:c r="K298" s="10"/>
      <x:c r="L298" s="10"/>
      <x:c r="M298" s="10">
        <x:f t="shared" si="4"/>
        <x:v>0</x:v>
      </x:c>
    </x:row>
    <x:row r="299" ht="27.600000381469727">
      <x:c r="A299" s="10">
        <x:v>298</x:v>
      </x:c>
      <x:c r="B299" s="10" t="s">
        <x:v>31</x:v>
      </x:c>
      <x:c r="C299" s="10" t="s">
        <x:v>393</x:v>
      </x:c>
      <x:c r="D299" s="10" t="s">
        <x:v>84</x:v>
      </x:c>
      <x:c r="E299" s="10" t="s">
        <x:v>400</x:v>
      </x:c>
      <x:c r="F299" s="10" t="s">
        <x:v>3</x:v>
      </x:c>
      <x:c r="G299" s="10" t="s">
        <x:v>53</x:v>
      </x:c>
      <x:c r="H299" s="10" t="s">
        <x:v>64</x:v>
      </x:c>
      <x:c r="I299" s="10"/>
      <x:c r="J299" s="10"/>
      <x:c r="K299" s="10"/>
      <x:c r="L299" s="10"/>
      <x:c r="M299" s="10">
        <x:f t="shared" si="4"/>
        <x:v>0</x:v>
      </x:c>
    </x:row>
    <x:row r="300" ht="27.600000381469727">
      <x:c r="A300" s="10">
        <x:v>299</x:v>
      </x:c>
      <x:c r="B300" s="10" t="s">
        <x:v>31</x:v>
      </x:c>
      <x:c r="C300" s="10" t="s">
        <x:v>393</x:v>
      </x:c>
      <x:c r="D300" s="10" t="s">
        <x:v>84</x:v>
      </x:c>
      <x:c r="E300" s="10" t="s">
        <x:v>401</x:v>
      </x:c>
      <x:c r="F300" s="10" t="s">
        <x:v>3</x:v>
      </x:c>
      <x:c r="G300" s="10" t="s">
        <x:v>53</x:v>
      </x:c>
      <x:c r="H300" s="10" t="s">
        <x:v>64</x:v>
      </x:c>
      <x:c r="I300" s="10"/>
      <x:c r="J300" s="10"/>
      <x:c r="K300" s="10"/>
      <x:c r="L300" s="10"/>
      <x:c r="M300" s="10">
        <x:f t="shared" si="4"/>
        <x:v>0</x:v>
      </x:c>
    </x:row>
    <x:row r="301">
      <x:c r="A301" s="10">
        <x:v>300</x:v>
      </x:c>
      <x:c r="B301" s="10" t="s">
        <x:v>32</x:v>
      </x:c>
      <x:c r="C301" s="10" t="s">
        <x:v>402</x:v>
      </x:c>
      <x:c r="D301" s="10" t="s">
        <x:v>62</x:v>
      </x:c>
      <x:c r="E301" s="10" t="s">
        <x:v>403</x:v>
      </x:c>
      <x:c r="F301" s="10" t="s">
        <x:v>3</x:v>
      </x:c>
      <x:c r="G301" s="10" t="s">
        <x:v>64</x:v>
      </x:c>
      <x:c r="H301" s="10" t="s">
        <x:v>64</x:v>
      </x:c>
      <x:c r="I301" s="10"/>
      <x:c r="J301" s="10"/>
      <x:c r="K301" s="10"/>
      <x:c r="L301" s="10"/>
      <x:c r="M301" s="10">
        <x:f t="shared" si="4"/>
        <x:v>0</x:v>
      </x:c>
    </x:row>
    <x:row r="302">
      <x:c r="A302" s="10">
        <x:v>301</x:v>
      </x:c>
      <x:c r="B302" s="10" t="s">
        <x:v>32</x:v>
      </x:c>
      <x:c r="C302" s="10" t="s">
        <x:v>402</x:v>
      </x:c>
      <x:c r="D302" s="10" t="s">
        <x:v>62</x:v>
      </x:c>
      <x:c r="E302" s="10" t="s">
        <x:v>404</x:v>
      </x:c>
      <x:c r="F302" s="10" t="s">
        <x:v>3</x:v>
      </x:c>
      <x:c r="G302" s="10" t="s">
        <x:v>64</x:v>
      </x:c>
      <x:c r="H302" s="10" t="s">
        <x:v>64</x:v>
      </x:c>
      <x:c r="I302" s="10"/>
      <x:c r="J302" s="10"/>
      <x:c r="K302" s="10"/>
      <x:c r="L302" s="10"/>
      <x:c r="M302" s="10">
        <x:f t="shared" si="4"/>
        <x:v>0</x:v>
      </x:c>
    </x:row>
    <x:row r="303">
      <x:c r="A303" s="10">
        <x:v>302</x:v>
      </x:c>
      <x:c r="B303" s="10" t="s">
        <x:v>32</x:v>
      </x:c>
      <x:c r="C303" s="10" t="s">
        <x:v>402</x:v>
      </x:c>
      <x:c r="D303" s="10" t="s">
        <x:v>62</x:v>
      </x:c>
      <x:c r="E303" s="10" t="s">
        <x:v>405</x:v>
      </x:c>
      <x:c r="F303" s="10" t="s">
        <x:v>3</x:v>
      </x:c>
      <x:c r="G303" s="10" t="s">
        <x:v>64</x:v>
      </x:c>
      <x:c r="H303" s="10" t="s">
        <x:v>64</x:v>
      </x:c>
      <x:c r="I303" s="10"/>
      <x:c r="J303" s="10"/>
      <x:c r="K303" s="10"/>
      <x:c r="L303" s="10"/>
      <x:c r="M303" s="10">
        <x:f t="shared" si="4"/>
        <x:v>0</x:v>
      </x:c>
    </x:row>
    <x:row r="304">
      <x:c r="A304" s="10">
        <x:v>303</x:v>
      </x:c>
      <x:c r="B304" s="10" t="s">
        <x:v>32</x:v>
      </x:c>
      <x:c r="C304" s="10" t="s">
        <x:v>402</x:v>
      </x:c>
      <x:c r="D304" s="10" t="s">
        <x:v>62</x:v>
      </x:c>
      <x:c r="E304" s="10" t="s">
        <x:v>406</x:v>
      </x:c>
      <x:c r="F304" s="10" t="s">
        <x:v>3</x:v>
      </x:c>
      <x:c r="G304" s="10" t="s">
        <x:v>64</x:v>
      </x:c>
      <x:c r="H304" s="10" t="s">
        <x:v>64</x:v>
      </x:c>
      <x:c r="I304" s="10"/>
      <x:c r="J304" s="10"/>
      <x:c r="K304" s="10"/>
      <x:c r="L304" s="10"/>
      <x:c r="M304" s="10">
        <x:f t="shared" si="4"/>
        <x:v>0</x:v>
      </x:c>
    </x:row>
    <x:row r="305">
      <x:c r="A305" s="10">
        <x:v>304</x:v>
      </x:c>
      <x:c r="B305" s="10" t="s">
        <x:v>32</x:v>
      </x:c>
      <x:c r="C305" s="10" t="s">
        <x:v>402</x:v>
      </x:c>
      <x:c r="D305" s="10" t="s">
        <x:v>62</x:v>
      </x:c>
      <x:c r="E305" s="10" t="s">
        <x:v>407</x:v>
      </x:c>
      <x:c r="F305" s="10" t="s">
        <x:v>3</x:v>
      </x:c>
      <x:c r="G305" s="10" t="s">
        <x:v>52</x:v>
      </x:c>
      <x:c r="H305" s="10" t="s">
        <x:v>64</x:v>
      </x:c>
      <x:c r="I305" s="10"/>
      <x:c r="J305" s="10"/>
      <x:c r="K305" s="10"/>
      <x:c r="L305" s="10"/>
      <x:c r="M305" s="10">
        <x:f t="shared" si="4"/>
        <x:v>0</x:v>
      </x:c>
    </x:row>
    <x:row r="306">
      <x:c r="A306" s="10">
        <x:v>305</x:v>
      </x:c>
      <x:c r="B306" s="10" t="s">
        <x:v>32</x:v>
      </x:c>
      <x:c r="C306" s="10" t="s">
        <x:v>402</x:v>
      </x:c>
      <x:c r="D306" s="10" t="s">
        <x:v>62</x:v>
      </x:c>
      <x:c r="E306" s="10" t="s">
        <x:v>408</x:v>
      </x:c>
      <x:c r="F306" s="10" t="s">
        <x:v>3</x:v>
      </x:c>
      <x:c r="G306" s="10" t="s">
        <x:v>52</x:v>
      </x:c>
      <x:c r="H306" s="10" t="s">
        <x:v>64</x:v>
      </x:c>
      <x:c r="I306" s="10"/>
      <x:c r="J306" s="10"/>
      <x:c r="K306" s="10"/>
      <x:c r="L306" s="10"/>
      <x:c r="M306" s="10">
        <x:f t="shared" si="4"/>
        <x:v>0</x:v>
      </x:c>
    </x:row>
    <x:row r="307">
      <x:c r="A307" s="10">
        <x:v>306</x:v>
      </x:c>
      <x:c r="B307" s="10" t="s">
        <x:v>32</x:v>
      </x:c>
      <x:c r="C307" s="10" t="s">
        <x:v>402</x:v>
      </x:c>
      <x:c r="D307" s="10" t="s">
        <x:v>62</x:v>
      </x:c>
      <x:c r="E307" s="10" t="s">
        <x:v>409</x:v>
      </x:c>
      <x:c r="F307" s="10" t="s">
        <x:v>3</x:v>
      </x:c>
      <x:c r="G307" s="10" t="s">
        <x:v>64</x:v>
      </x:c>
      <x:c r="H307" s="10" t="s">
        <x:v>64</x:v>
      </x:c>
      <x:c r="I307" s="10"/>
      <x:c r="J307" s="10"/>
      <x:c r="K307" s="10"/>
      <x:c r="L307" s="10"/>
      <x:c r="M307" s="10">
        <x:f t="shared" si="4"/>
        <x:v>0</x:v>
      </x:c>
    </x:row>
    <x:row r="308">
      <x:c r="A308" s="10">
        <x:v>307</x:v>
      </x:c>
      <x:c r="B308" s="10" t="s">
        <x:v>32</x:v>
      </x:c>
      <x:c r="C308" s="10" t="s">
        <x:v>402</x:v>
      </x:c>
      <x:c r="D308" s="10" t="s">
        <x:v>62</x:v>
      </x:c>
      <x:c r="E308" s="10" t="s">
        <x:v>410</x:v>
      </x:c>
      <x:c r="F308" s="10" t="s">
        <x:v>3</x:v>
      </x:c>
      <x:c r="G308" s="10" t="s">
        <x:v>52</x:v>
      </x:c>
      <x:c r="H308" s="10" t="s">
        <x:v>64</x:v>
      </x:c>
      <x:c r="I308" s="10"/>
      <x:c r="J308" s="10"/>
      <x:c r="K308" s="10"/>
      <x:c r="L308" s="10"/>
      <x:c r="M308" s="10">
        <x:f t="shared" si="4"/>
        <x:v>0</x:v>
      </x:c>
    </x:row>
    <x:row r="309">
      <x:c r="A309" s="10">
        <x:v>308</x:v>
      </x:c>
      <x:c r="B309" s="10" t="s">
        <x:v>32</x:v>
      </x:c>
      <x:c r="C309" s="10" t="s">
        <x:v>402</x:v>
      </x:c>
      <x:c r="D309" s="10" t="s">
        <x:v>62</x:v>
      </x:c>
      <x:c r="E309" s="10" t="s">
        <x:v>385</x:v>
      </x:c>
      <x:c r="F309" s="10" t="s">
        <x:v>3</x:v>
      </x:c>
      <x:c r="G309" s="10" t="s">
        <x:v>64</x:v>
      </x:c>
      <x:c r="H309" s="10" t="s">
        <x:v>64</x:v>
      </x:c>
      <x:c r="I309" s="10"/>
      <x:c r="J309" s="10"/>
      <x:c r="K309" s="10"/>
      <x:c r="L309" s="10"/>
      <x:c r="M309" s="10">
        <x:f t="shared" si="4"/>
        <x:v>0</x:v>
      </x:c>
    </x:row>
    <x:row r="310">
      <x:c r="A310" s="10">
        <x:v>309</x:v>
      </x:c>
      <x:c r="B310" s="10" t="s">
        <x:v>32</x:v>
      </x:c>
      <x:c r="C310" s="10" t="s">
        <x:v>402</x:v>
      </x:c>
      <x:c r="D310" s="10" t="s">
        <x:v>78</x:v>
      </x:c>
      <x:c r="E310" s="10" t="s">
        <x:v>411</x:v>
      </x:c>
      <x:c r="F310" s="10" t="s">
        <x:v>3</x:v>
      </x:c>
      <x:c r="G310" s="10" t="s">
        <x:v>64</x:v>
      </x:c>
      <x:c r="H310" s="10" t="s">
        <x:v>64</x:v>
      </x:c>
      <x:c r="I310" s="10"/>
      <x:c r="J310" s="10"/>
      <x:c r="K310" s="10"/>
      <x:c r="L310" s="10"/>
      <x:c r="M310" s="10">
        <x:f t="shared" si="4"/>
        <x:v>0</x:v>
      </x:c>
    </x:row>
    <x:row r="311">
      <x:c r="A311" s="10">
        <x:v>310</x:v>
      </x:c>
      <x:c r="B311" s="10" t="s">
        <x:v>32</x:v>
      </x:c>
      <x:c r="C311" s="10" t="s">
        <x:v>402</x:v>
      </x:c>
      <x:c r="D311" s="10" t="s">
        <x:v>78</x:v>
      </x:c>
      <x:c r="E311" s="10" t="s">
        <x:v>412</x:v>
      </x:c>
      <x:c r="F311" s="10" t="s">
        <x:v>3</x:v>
      </x:c>
      <x:c r="G311" s="10" t="s">
        <x:v>64</x:v>
      </x:c>
      <x:c r="H311" s="10" t="s">
        <x:v>64</x:v>
      </x:c>
      <x:c r="I311" s="10"/>
      <x:c r="J311" s="10"/>
      <x:c r="K311" s="10"/>
      <x:c r="L311" s="10"/>
      <x:c r="M311" s="10">
        <x:f t="shared" si="4"/>
        <x:v>0</x:v>
      </x:c>
    </x:row>
    <x:row r="312">
      <x:c r="A312" s="10">
        <x:v>311</x:v>
      </x:c>
      <x:c r="B312" s="10" t="s">
        <x:v>32</x:v>
      </x:c>
      <x:c r="C312" s="10" t="s">
        <x:v>402</x:v>
      </x:c>
      <x:c r="D312" s="10" t="s">
        <x:v>78</x:v>
      </x:c>
      <x:c r="E312" s="10" t="s">
        <x:v>413</x:v>
      </x:c>
      <x:c r="F312" s="10" t="s">
        <x:v>3</x:v>
      </x:c>
      <x:c r="G312" s="10" t="s">
        <x:v>64</x:v>
      </x:c>
      <x:c r="H312" s="10" t="s">
        <x:v>64</x:v>
      </x:c>
      <x:c r="I312" s="10"/>
      <x:c r="J312" s="10"/>
      <x:c r="K312" s="10"/>
      <x:c r="L312" s="10"/>
      <x:c r="M312" s="10">
        <x:f t="shared" si="4"/>
        <x:v>0</x:v>
      </x:c>
    </x:row>
    <x:row r="313">
      <x:c r="A313" s="10">
        <x:v>312</x:v>
      </x:c>
      <x:c r="B313" s="10" t="s">
        <x:v>32</x:v>
      </x:c>
      <x:c r="C313" s="10" t="s">
        <x:v>402</x:v>
      </x:c>
      <x:c r="D313" s="10" t="s">
        <x:v>84</x:v>
      </x:c>
      <x:c r="E313" s="10" t="s">
        <x:v>414</x:v>
      </x:c>
      <x:c r="F313" s="10" t="s">
        <x:v>3</x:v>
      </x:c>
      <x:c r="G313" s="10" t="s">
        <x:v>52</x:v>
      </x:c>
      <x:c r="H313" s="10" t="s">
        <x:v>64</x:v>
      </x:c>
      <x:c r="I313" s="10"/>
      <x:c r="J313" s="10"/>
      <x:c r="K313" s="10"/>
      <x:c r="L313" s="10"/>
      <x:c r="M313" s="10">
        <x:f t="shared" si="4"/>
        <x:v>0</x:v>
      </x:c>
    </x:row>
    <x:row r="314">
      <x:c r="A314" s="10">
        <x:v>313</x:v>
      </x:c>
      <x:c r="B314" s="10" t="s">
        <x:v>32</x:v>
      </x:c>
      <x:c r="C314" s="10" t="s">
        <x:v>402</x:v>
      </x:c>
      <x:c r="D314" s="10" t="s">
        <x:v>84</x:v>
      </x:c>
      <x:c r="E314" s="10" t="s">
        <x:v>415</x:v>
      </x:c>
      <x:c r="F314" s="10" t="s">
        <x:v>3</x:v>
      </x:c>
      <x:c r="G314" s="10" t="s">
        <x:v>52</x:v>
      </x:c>
      <x:c r="H314" s="10" t="s">
        <x:v>64</x:v>
      </x:c>
      <x:c r="I314" s="10"/>
      <x:c r="J314" s="10"/>
      <x:c r="K314" s="10"/>
      <x:c r="L314" s="10"/>
      <x:c r="M314" s="10">
        <x:f t="shared" si="4"/>
        <x:v>0</x:v>
      </x:c>
    </x:row>
    <x:row r="315">
      <x:c r="A315" s="10">
        <x:v>314</x:v>
      </x:c>
      <x:c r="B315" s="10" t="s">
        <x:v>32</x:v>
      </x:c>
      <x:c r="C315" s="10" t="s">
        <x:v>402</x:v>
      </x:c>
      <x:c r="D315" s="10" t="s">
        <x:v>84</x:v>
      </x:c>
      <x:c r="E315" s="10" t="s">
        <x:v>416</x:v>
      </x:c>
      <x:c r="F315" s="10" t="s">
        <x:v>3</x:v>
      </x:c>
      <x:c r="G315" s="10" t="s">
        <x:v>52</x:v>
      </x:c>
      <x:c r="H315" s="10" t="s">
        <x:v>64</x:v>
      </x:c>
      <x:c r="I315" s="10"/>
      <x:c r="J315" s="10"/>
      <x:c r="K315" s="10"/>
      <x:c r="L315" s="10"/>
      <x:c r="M315" s="10">
        <x:f t="shared" si="4"/>
        <x:v>0</x:v>
      </x:c>
    </x:row>
    <x:row r="316">
      <x:c r="A316" s="10">
        <x:v>315</x:v>
      </x:c>
      <x:c r="B316" s="10" t="s">
        <x:v>32</x:v>
      </x:c>
      <x:c r="C316" s="10" t="s">
        <x:v>402</x:v>
      </x:c>
      <x:c r="D316" s="10" t="s">
        <x:v>84</x:v>
      </x:c>
      <x:c r="E316" s="10" t="s">
        <x:v>417</x:v>
      </x:c>
      <x:c r="F316" s="10" t="s">
        <x:v>3</x:v>
      </x:c>
      <x:c r="G316" s="10" t="s">
        <x:v>52</x:v>
      </x:c>
      <x:c r="H316" s="10" t="s">
        <x:v>64</x:v>
      </x:c>
      <x:c r="I316" s="10"/>
      <x:c r="J316" s="10"/>
      <x:c r="K316" s="10"/>
      <x:c r="L316" s="10"/>
      <x:c r="M316" s="10">
        <x:f t="shared" si="4"/>
        <x:v>0</x:v>
      </x:c>
    </x:row>
    <x:row r="317" ht="27.600000381469727">
      <x:c r="A317" s="10">
        <x:v>316</x:v>
      </x:c>
      <x:c r="B317" s="10" t="s">
        <x:v>32</x:v>
      </x:c>
      <x:c r="C317" s="10" t="s">
        <x:v>418</x:v>
      </x:c>
      <x:c r="D317" s="10" t="s">
        <x:v>62</x:v>
      </x:c>
      <x:c r="E317" s="10" t="s">
        <x:v>419</x:v>
      </x:c>
      <x:c r="F317" s="10" t="s">
        <x:v>3</x:v>
      </x:c>
      <x:c r="G317" s="10" t="s">
        <x:v>52</x:v>
      </x:c>
      <x:c r="H317" s="10" t="s">
        <x:v>64</x:v>
      </x:c>
      <x:c r="I317" s="10"/>
      <x:c r="J317" s="10"/>
      <x:c r="K317" s="10"/>
      <x:c r="L317" s="10"/>
      <x:c r="M317" s="10">
        <x:f t="shared" si="4"/>
        <x:v>0</x:v>
      </x:c>
    </x:row>
    <x:row r="318" ht="27.600000381469727">
      <x:c r="A318" s="10">
        <x:v>317</x:v>
      </x:c>
      <x:c r="B318" s="10" t="s">
        <x:v>32</x:v>
      </x:c>
      <x:c r="C318" s="10" t="s">
        <x:v>418</x:v>
      </x:c>
      <x:c r="D318" s="10" t="s">
        <x:v>62</x:v>
      </x:c>
      <x:c r="E318" s="10" t="s">
        <x:v>420</x:v>
      </x:c>
      <x:c r="F318" s="10" t="s">
        <x:v>3</x:v>
      </x:c>
      <x:c r="G318" s="10" t="s">
        <x:v>52</x:v>
      </x:c>
      <x:c r="H318" s="10" t="s">
        <x:v>64</x:v>
      </x:c>
      <x:c r="I318" s="10"/>
      <x:c r="J318" s="10"/>
      <x:c r="K318" s="10"/>
      <x:c r="L318" s="10"/>
      <x:c r="M318" s="10">
        <x:f t="shared" si="4"/>
        <x:v>0</x:v>
      </x:c>
    </x:row>
    <x:row r="319" ht="27.600000381469727">
      <x:c r="A319" s="10">
        <x:v>318</x:v>
      </x:c>
      <x:c r="B319" s="10" t="s">
        <x:v>32</x:v>
      </x:c>
      <x:c r="C319" s="10" t="s">
        <x:v>418</x:v>
      </x:c>
      <x:c r="D319" s="10" t="s">
        <x:v>62</x:v>
      </x:c>
      <x:c r="E319" s="10" t="s">
        <x:v>421</x:v>
      </x:c>
      <x:c r="F319" s="10" t="s">
        <x:v>3</x:v>
      </x:c>
      <x:c r="G319" s="10" t="s">
        <x:v>52</x:v>
      </x:c>
      <x:c r="H319" s="10" t="s">
        <x:v>64</x:v>
      </x:c>
      <x:c r="I319" s="10"/>
      <x:c r="J319" s="10"/>
      <x:c r="K319" s="10"/>
      <x:c r="L319" s="10"/>
      <x:c r="M319" s="10">
        <x:f t="shared" si="4"/>
        <x:v>0</x:v>
      </x:c>
    </x:row>
    <x:row r="320" ht="27.600000381469727">
      <x:c r="A320" s="10">
        <x:v>319</x:v>
      </x:c>
      <x:c r="B320" s="10" t="s">
        <x:v>32</x:v>
      </x:c>
      <x:c r="C320" s="10" t="s">
        <x:v>418</x:v>
      </x:c>
      <x:c r="D320" s="10" t="s">
        <x:v>62</x:v>
      </x:c>
      <x:c r="E320" s="10" t="s">
        <x:v>422</x:v>
      </x:c>
      <x:c r="F320" s="10" t="s">
        <x:v>3</x:v>
      </x:c>
      <x:c r="G320" s="10" t="s">
        <x:v>52</x:v>
      </x:c>
      <x:c r="H320" s="10" t="s">
        <x:v>64</x:v>
      </x:c>
      <x:c r="I320" s="10"/>
      <x:c r="J320" s="10"/>
      <x:c r="K320" s="10"/>
      <x:c r="L320" s="10"/>
      <x:c r="M320" s="10">
        <x:f t="shared" si="4"/>
        <x:v>0</x:v>
      </x:c>
    </x:row>
    <x:row r="321" ht="27.600000381469727">
      <x:c r="A321" s="10">
        <x:v>320</x:v>
      </x:c>
      <x:c r="B321" s="10" t="s">
        <x:v>32</x:v>
      </x:c>
      <x:c r="C321" s="10" t="s">
        <x:v>418</x:v>
      </x:c>
      <x:c r="D321" s="10" t="s">
        <x:v>62</x:v>
      </x:c>
      <x:c r="E321" s="10" t="s">
        <x:v>423</x:v>
      </x:c>
      <x:c r="F321" s="10" t="s">
        <x:v>3</x:v>
      </x:c>
      <x:c r="G321" s="10" t="s">
        <x:v>52</x:v>
      </x:c>
      <x:c r="H321" s="10" t="s">
        <x:v>64</x:v>
      </x:c>
      <x:c r="I321" s="10"/>
      <x:c r="J321" s="10"/>
      <x:c r="K321" s="10"/>
      <x:c r="L321" s="10"/>
      <x:c r="M321" s="10">
        <x:f t="shared" si="4"/>
        <x:v>0</x:v>
      </x:c>
    </x:row>
    <x:row r="322" ht="27.600000381469727">
      <x:c r="A322" s="10">
        <x:v>321</x:v>
      </x:c>
      <x:c r="B322" s="10" t="s">
        <x:v>32</x:v>
      </x:c>
      <x:c r="C322" s="10" t="s">
        <x:v>418</x:v>
      </x:c>
      <x:c r="D322" s="10" t="s">
        <x:v>62</x:v>
      </x:c>
      <x:c r="E322" s="10" t="s">
        <x:v>424</x:v>
      </x:c>
      <x:c r="F322" s="10" t="s">
        <x:v>3</x:v>
      </x:c>
      <x:c r="G322" s="10" t="s">
        <x:v>52</x:v>
      </x:c>
      <x:c r="H322" s="10" t="s">
        <x:v>64</x:v>
      </x:c>
      <x:c r="I322" s="10"/>
      <x:c r="J322" s="10"/>
      <x:c r="K322" s="10"/>
      <x:c r="L322" s="10"/>
      <x:c r="M322" s="10" t="n">
        <x:f t="shared" ref="M322:M385" si="5">IF(F322="Hoàn thành",1,0)</x:f>
        <x:v>0</x:v>
      </x:c>
    </x:row>
    <x:row r="323" ht="27.600000381469727">
      <x:c r="A323" s="10">
        <x:v>322</x:v>
      </x:c>
      <x:c r="B323" s="10" t="s">
        <x:v>32</x:v>
      </x:c>
      <x:c r="C323" s="10" t="s">
        <x:v>418</x:v>
      </x:c>
      <x:c r="D323" s="10" t="s">
        <x:v>62</x:v>
      </x:c>
      <x:c r="E323" s="10" t="s">
        <x:v>425</x:v>
      </x:c>
      <x:c r="F323" s="10" t="s">
        <x:v>3</x:v>
      </x:c>
      <x:c r="G323" s="10" t="s">
        <x:v>52</x:v>
      </x:c>
      <x:c r="H323" s="10" t="s">
        <x:v>64</x:v>
      </x:c>
      <x:c r="I323" s="10"/>
      <x:c r="J323" s="10"/>
      <x:c r="K323" s="10"/>
      <x:c r="L323" s="10"/>
      <x:c r="M323" s="10">
        <x:f t="shared" si="5"/>
        <x:v>0</x:v>
      </x:c>
    </x:row>
    <x:row r="324" ht="27.600000381469727">
      <x:c r="A324" s="10">
        <x:v>323</x:v>
      </x:c>
      <x:c r="B324" s="10" t="s">
        <x:v>32</x:v>
      </x:c>
      <x:c r="C324" s="10" t="s">
        <x:v>418</x:v>
      </x:c>
      <x:c r="D324" s="10" t="s">
        <x:v>62</x:v>
      </x:c>
      <x:c r="E324" s="10" t="s">
        <x:v>426</x:v>
      </x:c>
      <x:c r="F324" s="10" t="s">
        <x:v>3</x:v>
      </x:c>
      <x:c r="G324" s="10" t="s">
        <x:v>52</x:v>
      </x:c>
      <x:c r="H324" s="10" t="s">
        <x:v>64</x:v>
      </x:c>
      <x:c r="I324" s="10"/>
      <x:c r="J324" s="10"/>
      <x:c r="K324" s="10"/>
      <x:c r="L324" s="10"/>
      <x:c r="M324" s="10">
        <x:f t="shared" si="5"/>
        <x:v>0</x:v>
      </x:c>
    </x:row>
    <x:row r="325" ht="27.600000381469727">
      <x:c r="A325" s="10">
        <x:v>324</x:v>
      </x:c>
      <x:c r="B325" s="10" t="s">
        <x:v>32</x:v>
      </x:c>
      <x:c r="C325" s="10" t="s">
        <x:v>418</x:v>
      </x:c>
      <x:c r="D325" s="10" t="s">
        <x:v>62</x:v>
      </x:c>
      <x:c r="E325" s="10" t="s">
        <x:v>427</x:v>
      </x:c>
      <x:c r="F325" s="10" t="s">
        <x:v>3</x:v>
      </x:c>
      <x:c r="G325" s="10" t="s">
        <x:v>52</x:v>
      </x:c>
      <x:c r="H325" s="10" t="s">
        <x:v>64</x:v>
      </x:c>
      <x:c r="I325" s="10"/>
      <x:c r="J325" s="10"/>
      <x:c r="K325" s="10"/>
      <x:c r="L325" s="10"/>
      <x:c r="M325" s="10">
        <x:f t="shared" si="5"/>
        <x:v>0</x:v>
      </x:c>
    </x:row>
    <x:row r="326" ht="27.600000381469727">
      <x:c r="A326" s="10">
        <x:v>325</x:v>
      </x:c>
      <x:c r="B326" s="10" t="s">
        <x:v>32</x:v>
      </x:c>
      <x:c r="C326" s="10" t="s">
        <x:v>418</x:v>
      </x:c>
      <x:c r="D326" s="10" t="s">
        <x:v>78</x:v>
      </x:c>
      <x:c r="E326" s="10" t="s">
        <x:v>428</x:v>
      </x:c>
      <x:c r="F326" s="10" t="s">
        <x:v>3</x:v>
      </x:c>
      <x:c r="G326" s="10" t="s">
        <x:v>64</x:v>
      </x:c>
      <x:c r="H326" s="10" t="s">
        <x:v>64</x:v>
      </x:c>
      <x:c r="I326" s="10"/>
      <x:c r="J326" s="10"/>
      <x:c r="K326" s="10"/>
      <x:c r="L326" s="10"/>
      <x:c r="M326" s="10">
        <x:f t="shared" si="5"/>
        <x:v>0</x:v>
      </x:c>
    </x:row>
    <x:row r="327" ht="27.600000381469727">
      <x:c r="A327" s="10">
        <x:v>326</x:v>
      </x:c>
      <x:c r="B327" s="10" t="s">
        <x:v>32</x:v>
      </x:c>
      <x:c r="C327" s="10" t="s">
        <x:v>418</x:v>
      </x:c>
      <x:c r="D327" s="10" t="s">
        <x:v>78</x:v>
      </x:c>
      <x:c r="E327" s="10" t="s">
        <x:v>429</x:v>
      </x:c>
      <x:c r="F327" s="10" t="s">
        <x:v>3</x:v>
      </x:c>
      <x:c r="G327" s="10" t="s">
        <x:v>64</x:v>
      </x:c>
      <x:c r="H327" s="10" t="s">
        <x:v>64</x:v>
      </x:c>
      <x:c r="I327" s="10"/>
      <x:c r="J327" s="10"/>
      <x:c r="K327" s="10"/>
      <x:c r="L327" s="10"/>
      <x:c r="M327" s="10">
        <x:f t="shared" si="5"/>
        <x:v>0</x:v>
      </x:c>
    </x:row>
    <x:row r="328" ht="27.600000381469727">
      <x:c r="A328" s="10">
        <x:v>327</x:v>
      </x:c>
      <x:c r="B328" s="10" t="s">
        <x:v>32</x:v>
      </x:c>
      <x:c r="C328" s="10" t="s">
        <x:v>418</x:v>
      </x:c>
      <x:c r="D328" s="10" t="s">
        <x:v>78</x:v>
      </x:c>
      <x:c r="E328" s="10" t="s">
        <x:v>430</x:v>
      </x:c>
      <x:c r="F328" s="10" t="s">
        <x:v>3</x:v>
      </x:c>
      <x:c r="G328" s="10" t="s">
        <x:v>64</x:v>
      </x:c>
      <x:c r="H328" s="10" t="s">
        <x:v>64</x:v>
      </x:c>
      <x:c r="I328" s="10"/>
      <x:c r="J328" s="10"/>
      <x:c r="K328" s="10"/>
      <x:c r="L328" s="10"/>
      <x:c r="M328" s="10">
        <x:f t="shared" si="5"/>
        <x:v>0</x:v>
      </x:c>
    </x:row>
    <x:row r="329" ht="27.600000381469727">
      <x:c r="A329" s="10">
        <x:v>328</x:v>
      </x:c>
      <x:c r="B329" s="10" t="s">
        <x:v>32</x:v>
      </x:c>
      <x:c r="C329" s="10" t="s">
        <x:v>418</x:v>
      </x:c>
      <x:c r="D329" s="10" t="s">
        <x:v>84</x:v>
      </x:c>
      <x:c r="E329" s="10" t="s">
        <x:v>431</x:v>
      </x:c>
      <x:c r="F329" s="10" t="s">
        <x:v>3</x:v>
      </x:c>
      <x:c r="G329" s="10" t="s">
        <x:v>52</x:v>
      </x:c>
      <x:c r="H329" s="10" t="s">
        <x:v>64</x:v>
      </x:c>
      <x:c r="I329" s="10"/>
      <x:c r="J329" s="10"/>
      <x:c r="K329" s="10"/>
      <x:c r="L329" s="10"/>
      <x:c r="M329" s="10">
        <x:f t="shared" si="5"/>
        <x:v>0</x:v>
      </x:c>
    </x:row>
    <x:row r="330" ht="27.600000381469727">
      <x:c r="A330" s="10">
        <x:v>329</x:v>
      </x:c>
      <x:c r="B330" s="10" t="s">
        <x:v>32</x:v>
      </x:c>
      <x:c r="C330" s="10" t="s">
        <x:v>418</x:v>
      </x:c>
      <x:c r="D330" s="10" t="s">
        <x:v>84</x:v>
      </x:c>
      <x:c r="E330" s="10" t="s">
        <x:v>432</x:v>
      </x:c>
      <x:c r="F330" s="10" t="s">
        <x:v>3</x:v>
      </x:c>
      <x:c r="G330" s="10" t="s">
        <x:v>52</x:v>
      </x:c>
      <x:c r="H330" s="10" t="s">
        <x:v>64</x:v>
      </x:c>
      <x:c r="I330" s="10"/>
      <x:c r="J330" s="10"/>
      <x:c r="K330" s="10"/>
      <x:c r="L330" s="10"/>
      <x:c r="M330" s="10">
        <x:f t="shared" si="5"/>
        <x:v>0</x:v>
      </x:c>
    </x:row>
    <x:row r="331" ht="27.600000381469727">
      <x:c r="A331" s="10">
        <x:v>330</x:v>
      </x:c>
      <x:c r="B331" s="10" t="s">
        <x:v>32</x:v>
      </x:c>
      <x:c r="C331" s="10" t="s">
        <x:v>418</x:v>
      </x:c>
      <x:c r="D331" s="10" t="s">
        <x:v>84</x:v>
      </x:c>
      <x:c r="E331" s="10" t="s">
        <x:v>433</x:v>
      </x:c>
      <x:c r="F331" s="10" t="s">
        <x:v>3</x:v>
      </x:c>
      <x:c r="G331" s="10" t="s">
        <x:v>52</x:v>
      </x:c>
      <x:c r="H331" s="10" t="s">
        <x:v>64</x:v>
      </x:c>
      <x:c r="I331" s="10"/>
      <x:c r="J331" s="10"/>
      <x:c r="K331" s="10"/>
      <x:c r="L331" s="10"/>
      <x:c r="M331" s="10">
        <x:f t="shared" si="5"/>
        <x:v>0</x:v>
      </x:c>
    </x:row>
    <x:row r="332" ht="27.600000381469727">
      <x:c r="A332" s="10">
        <x:v>331</x:v>
      </x:c>
      <x:c r="B332" s="10" t="s">
        <x:v>32</x:v>
      </x:c>
      <x:c r="C332" s="10" t="s">
        <x:v>434</x:v>
      </x:c>
      <x:c r="D332" s="10" t="s">
        <x:v>62</x:v>
      </x:c>
      <x:c r="E332" s="10" t="s">
        <x:v>435</x:v>
      </x:c>
      <x:c r="F332" s="10" t="s">
        <x:v>3</x:v>
      </x:c>
      <x:c r="G332" s="10" t="s">
        <x:v>52</x:v>
      </x:c>
      <x:c r="H332" s="10" t="s">
        <x:v>52</x:v>
      </x:c>
      <x:c r="I332" s="10"/>
      <x:c r="J332" s="10"/>
      <x:c r="K332" s="10"/>
      <x:c r="L332" s="10"/>
      <x:c r="M332" s="10">
        <x:f t="shared" si="5"/>
        <x:v>0</x:v>
      </x:c>
    </x:row>
    <x:row r="333" ht="27.600000381469727">
      <x:c r="A333" s="10">
        <x:v>332</x:v>
      </x:c>
      <x:c r="B333" s="10" t="s">
        <x:v>32</x:v>
      </x:c>
      <x:c r="C333" s="10" t="s">
        <x:v>434</x:v>
      </x:c>
      <x:c r="D333" s="10" t="s">
        <x:v>62</x:v>
      </x:c>
      <x:c r="E333" s="10" t="s">
        <x:v>436</x:v>
      </x:c>
      <x:c r="F333" s="10" t="s">
        <x:v>3</x:v>
      </x:c>
      <x:c r="G333" s="10" t="s">
        <x:v>52</x:v>
      </x:c>
      <x:c r="H333" s="10" t="s">
        <x:v>52</x:v>
      </x:c>
      <x:c r="I333" s="10"/>
      <x:c r="J333" s="10"/>
      <x:c r="K333" s="10"/>
      <x:c r="L333" s="10"/>
      <x:c r="M333" s="10">
        <x:f t="shared" si="5"/>
        <x:v>0</x:v>
      </x:c>
    </x:row>
    <x:row r="334" ht="27.600000381469727">
      <x:c r="A334" s="10">
        <x:v>333</x:v>
      </x:c>
      <x:c r="B334" s="10" t="s">
        <x:v>32</x:v>
      </x:c>
      <x:c r="C334" s="10" t="s">
        <x:v>434</x:v>
      </x:c>
      <x:c r="D334" s="10" t="s">
        <x:v>62</x:v>
      </x:c>
      <x:c r="E334" s="10" t="s">
        <x:v>437</x:v>
      </x:c>
      <x:c r="F334" s="10" t="s">
        <x:v>3</x:v>
      </x:c>
      <x:c r="G334" s="10" t="s">
        <x:v>52</x:v>
      </x:c>
      <x:c r="H334" s="10" t="s">
        <x:v>52</x:v>
      </x:c>
      <x:c r="I334" s="10"/>
      <x:c r="J334" s="10"/>
      <x:c r="K334" s="10"/>
      <x:c r="L334" s="10"/>
      <x:c r="M334" s="10">
        <x:f t="shared" si="5"/>
        <x:v>0</x:v>
      </x:c>
    </x:row>
    <x:row r="335" ht="27.600000381469727">
      <x:c r="A335" s="10">
        <x:v>334</x:v>
      </x:c>
      <x:c r="B335" s="10" t="s">
        <x:v>32</x:v>
      </x:c>
      <x:c r="C335" s="10" t="s">
        <x:v>434</x:v>
      </x:c>
      <x:c r="D335" s="10" t="s">
        <x:v>62</x:v>
      </x:c>
      <x:c r="E335" s="10" t="s">
        <x:v>438</x:v>
      </x:c>
      <x:c r="F335" s="10" t="s">
        <x:v>3</x:v>
      </x:c>
      <x:c r="G335" s="10" t="s">
        <x:v>52</x:v>
      </x:c>
      <x:c r="H335" s="10" t="s">
        <x:v>52</x:v>
      </x:c>
      <x:c r="I335" s="10"/>
      <x:c r="J335" s="10"/>
      <x:c r="K335" s="10"/>
      <x:c r="L335" s="10"/>
      <x:c r="M335" s="10">
        <x:f t="shared" si="5"/>
        <x:v>0</x:v>
      </x:c>
    </x:row>
    <x:row r="336" ht="27.600000381469727">
      <x:c r="A336" s="10">
        <x:v>335</x:v>
      </x:c>
      <x:c r="B336" s="10" t="s">
        <x:v>32</x:v>
      </x:c>
      <x:c r="C336" s="10" t="s">
        <x:v>434</x:v>
      </x:c>
      <x:c r="D336" s="10" t="s">
        <x:v>62</x:v>
      </x:c>
      <x:c r="E336" s="10" t="s">
        <x:v>439</x:v>
      </x:c>
      <x:c r="F336" s="10" t="s">
        <x:v>3</x:v>
      </x:c>
      <x:c r="G336" s="10" t="s">
        <x:v>52</x:v>
      </x:c>
      <x:c r="H336" s="10" t="s">
        <x:v>52</x:v>
      </x:c>
      <x:c r="I336" s="10"/>
      <x:c r="J336" s="10"/>
      <x:c r="K336" s="10"/>
      <x:c r="L336" s="10"/>
      <x:c r="M336" s="10">
        <x:f t="shared" si="5"/>
        <x:v>0</x:v>
      </x:c>
    </x:row>
    <x:row r="337" ht="27.600000381469727">
      <x:c r="A337" s="10">
        <x:v>336</x:v>
      </x:c>
      <x:c r="B337" s="10" t="s">
        <x:v>32</x:v>
      </x:c>
      <x:c r="C337" s="10" t="s">
        <x:v>434</x:v>
      </x:c>
      <x:c r="D337" s="10" t="s">
        <x:v>62</x:v>
      </x:c>
      <x:c r="E337" s="10" t="s">
        <x:v>440</x:v>
      </x:c>
      <x:c r="F337" s="10" t="s">
        <x:v>3</x:v>
      </x:c>
      <x:c r="G337" s="10" t="s">
        <x:v>52</x:v>
      </x:c>
      <x:c r="H337" s="10" t="s">
        <x:v>52</x:v>
      </x:c>
      <x:c r="I337" s="10"/>
      <x:c r="J337" s="10"/>
      <x:c r="K337" s="10"/>
      <x:c r="L337" s="10"/>
      <x:c r="M337" s="10">
        <x:f t="shared" si="5"/>
        <x:v>0</x:v>
      </x:c>
    </x:row>
    <x:row r="338" ht="27.600000381469727">
      <x:c r="A338" s="10">
        <x:v>337</x:v>
      </x:c>
      <x:c r="B338" s="10" t="s">
        <x:v>32</x:v>
      </x:c>
      <x:c r="C338" s="10" t="s">
        <x:v>434</x:v>
      </x:c>
      <x:c r="D338" s="10" t="s">
        <x:v>62</x:v>
      </x:c>
      <x:c r="E338" s="10" t="s">
        <x:v>441</x:v>
      </x:c>
      <x:c r="F338" s="10" t="s">
        <x:v>3</x:v>
      </x:c>
      <x:c r="G338" s="10" t="s">
        <x:v>52</x:v>
      </x:c>
      <x:c r="H338" s="10" t="s">
        <x:v>52</x:v>
      </x:c>
      <x:c r="I338" s="10"/>
      <x:c r="J338" s="10"/>
      <x:c r="K338" s="10"/>
      <x:c r="L338" s="10"/>
      <x:c r="M338" s="10">
        <x:f t="shared" si="5"/>
        <x:v>0</x:v>
      </x:c>
    </x:row>
    <x:row r="339" ht="27.600000381469727">
      <x:c r="A339" s="10">
        <x:v>338</x:v>
      </x:c>
      <x:c r="B339" s="10" t="s">
        <x:v>32</x:v>
      </x:c>
      <x:c r="C339" s="10" t="s">
        <x:v>434</x:v>
      </x:c>
      <x:c r="D339" s="10" t="s">
        <x:v>62</x:v>
      </x:c>
      <x:c r="E339" s="10" t="s">
        <x:v>442</x:v>
      </x:c>
      <x:c r="F339" s="10" t="s">
        <x:v>3</x:v>
      </x:c>
      <x:c r="G339" s="10" t="s">
        <x:v>52</x:v>
      </x:c>
      <x:c r="H339" s="10" t="s">
        <x:v>52</x:v>
      </x:c>
      <x:c r="I339" s="10"/>
      <x:c r="J339" s="10"/>
      <x:c r="K339" s="10"/>
      <x:c r="L339" s="10"/>
      <x:c r="M339" s="10">
        <x:f t="shared" si="5"/>
        <x:v>0</x:v>
      </x:c>
    </x:row>
    <x:row r="340" ht="27.600000381469727">
      <x:c r="A340" s="10">
        <x:v>339</x:v>
      </x:c>
      <x:c r="B340" s="10" t="s">
        <x:v>32</x:v>
      </x:c>
      <x:c r="C340" s="10" t="s">
        <x:v>434</x:v>
      </x:c>
      <x:c r="D340" s="10" t="s">
        <x:v>78</x:v>
      </x:c>
      <x:c r="E340" s="10" t="s">
        <x:v>443</x:v>
      </x:c>
      <x:c r="F340" s="10" t="s">
        <x:v>3</x:v>
      </x:c>
      <x:c r="G340" s="10" t="s">
        <x:v>64</x:v>
      </x:c>
      <x:c r="H340" s="10" t="s">
        <x:v>64</x:v>
      </x:c>
      <x:c r="I340" s="10"/>
      <x:c r="J340" s="10"/>
      <x:c r="K340" s="10"/>
      <x:c r="L340" s="10"/>
      <x:c r="M340" s="10">
        <x:f t="shared" si="5"/>
        <x:v>0</x:v>
      </x:c>
    </x:row>
    <x:row r="341" ht="27.600000381469727">
      <x:c r="A341" s="10">
        <x:v>340</x:v>
      </x:c>
      <x:c r="B341" s="10" t="s">
        <x:v>32</x:v>
      </x:c>
      <x:c r="C341" s="10" t="s">
        <x:v>434</x:v>
      </x:c>
      <x:c r="D341" s="10" t="s">
        <x:v>78</x:v>
      </x:c>
      <x:c r="E341" s="10" t="s">
        <x:v>444</x:v>
      </x:c>
      <x:c r="F341" s="10" t="s">
        <x:v>3</x:v>
      </x:c>
      <x:c r="G341" s="10" t="s">
        <x:v>64</x:v>
      </x:c>
      <x:c r="H341" s="10" t="s">
        <x:v>64</x:v>
      </x:c>
      <x:c r="I341" s="10"/>
      <x:c r="J341" s="10"/>
      <x:c r="K341" s="10"/>
      <x:c r="L341" s="10"/>
      <x:c r="M341" s="10">
        <x:f t="shared" si="5"/>
        <x:v>0</x:v>
      </x:c>
    </x:row>
    <x:row r="342" ht="27.600000381469727">
      <x:c r="A342" s="10">
        <x:v>341</x:v>
      </x:c>
      <x:c r="B342" s="10" t="s">
        <x:v>32</x:v>
      </x:c>
      <x:c r="C342" s="10" t="s">
        <x:v>434</x:v>
      </x:c>
      <x:c r="D342" s="10" t="s">
        <x:v>78</x:v>
      </x:c>
      <x:c r="E342" s="10" t="s">
        <x:v>445</x:v>
      </x:c>
      <x:c r="F342" s="10" t="s">
        <x:v>3</x:v>
      </x:c>
      <x:c r="G342" s="10" t="s">
        <x:v>64</x:v>
      </x:c>
      <x:c r="H342" s="10" t="s">
        <x:v>64</x:v>
      </x:c>
      <x:c r="I342" s="10"/>
      <x:c r="J342" s="10"/>
      <x:c r="K342" s="10"/>
      <x:c r="L342" s="10"/>
      <x:c r="M342" s="10">
        <x:f t="shared" si="5"/>
        <x:v>0</x:v>
      </x:c>
    </x:row>
    <x:row r="343" ht="27.600000381469727">
      <x:c r="A343" s="10">
        <x:v>342</x:v>
      </x:c>
      <x:c r="B343" s="10" t="s">
        <x:v>32</x:v>
      </x:c>
      <x:c r="C343" s="10" t="s">
        <x:v>434</x:v>
      </x:c>
      <x:c r="D343" s="10" t="s">
        <x:v>84</x:v>
      </x:c>
      <x:c r="E343" s="10" t="s">
        <x:v>446</x:v>
      </x:c>
      <x:c r="F343" s="10" t="s">
        <x:v>3</x:v>
      </x:c>
      <x:c r="G343" s="10" t="s">
        <x:v>52</x:v>
      </x:c>
      <x:c r="H343" s="10" t="s">
        <x:v>64</x:v>
      </x:c>
      <x:c r="I343" s="10"/>
      <x:c r="J343" s="10"/>
      <x:c r="K343" s="10"/>
      <x:c r="L343" s="10"/>
      <x:c r="M343" s="10">
        <x:f t="shared" si="5"/>
        <x:v>0</x:v>
      </x:c>
    </x:row>
    <x:row r="344" ht="27.600000381469727">
      <x:c r="A344" s="10">
        <x:v>343</x:v>
      </x:c>
      <x:c r="B344" s="10" t="s">
        <x:v>32</x:v>
      </x:c>
      <x:c r="C344" s="10" t="s">
        <x:v>434</x:v>
      </x:c>
      <x:c r="D344" s="10" t="s">
        <x:v>84</x:v>
      </x:c>
      <x:c r="E344" s="10" t="s">
        <x:v>447</x:v>
      </x:c>
      <x:c r="F344" s="10" t="s">
        <x:v>3</x:v>
      </x:c>
      <x:c r="G344" s="10" t="s">
        <x:v>52</x:v>
      </x:c>
      <x:c r="H344" s="10" t="s">
        <x:v>64</x:v>
      </x:c>
      <x:c r="I344" s="10"/>
      <x:c r="J344" s="10"/>
      <x:c r="K344" s="10"/>
      <x:c r="L344" s="10"/>
      <x:c r="M344" s="10">
        <x:f t="shared" si="5"/>
        <x:v>0</x:v>
      </x:c>
    </x:row>
    <x:row r="345" ht="27.600000381469727">
      <x:c r="A345" s="10">
        <x:v>344</x:v>
      </x:c>
      <x:c r="B345" s="10" t="s">
        <x:v>32</x:v>
      </x:c>
      <x:c r="C345" s="10" t="s">
        <x:v>434</x:v>
      </x:c>
      <x:c r="D345" s="10" t="s">
        <x:v>84</x:v>
      </x:c>
      <x:c r="E345" s="10" t="s">
        <x:v>448</x:v>
      </x:c>
      <x:c r="F345" s="10" t="s">
        <x:v>3</x:v>
      </x:c>
      <x:c r="G345" s="10" t="s">
        <x:v>52</x:v>
      </x:c>
      <x:c r="H345" s="10" t="s">
        <x:v>64</x:v>
      </x:c>
      <x:c r="I345" s="10"/>
      <x:c r="J345" s="10"/>
      <x:c r="K345" s="10"/>
      <x:c r="L345" s="10"/>
      <x:c r="M345" s="10">
        <x:f t="shared" si="5"/>
        <x:v>0</x:v>
      </x:c>
    </x:row>
    <x:row r="346" ht="27.600000381469727">
      <x:c r="A346" s="10">
        <x:v>345</x:v>
      </x:c>
      <x:c r="B346" s="10" t="s">
        <x:v>32</x:v>
      </x:c>
      <x:c r="C346" s="10" t="s">
        <x:v>449</x:v>
      </x:c>
      <x:c r="D346" s="10" t="s">
        <x:v>62</x:v>
      </x:c>
      <x:c r="E346" s="10" t="s">
        <x:v>450</x:v>
      </x:c>
      <x:c r="F346" s="10" t="s">
        <x:v>3</x:v>
      </x:c>
      <x:c r="G346" s="10" t="s">
        <x:v>52</x:v>
      </x:c>
      <x:c r="H346" s="10" t="s">
        <x:v>64</x:v>
      </x:c>
      <x:c r="I346" s="10"/>
      <x:c r="J346" s="10"/>
      <x:c r="K346" s="10"/>
      <x:c r="L346" s="10"/>
      <x:c r="M346" s="10">
        <x:f t="shared" si="5"/>
        <x:v>0</x:v>
      </x:c>
    </x:row>
    <x:row r="347" ht="27.600000381469727">
      <x:c r="A347" s="10">
        <x:v>346</x:v>
      </x:c>
      <x:c r="B347" s="10" t="s">
        <x:v>32</x:v>
      </x:c>
      <x:c r="C347" s="10" t="s">
        <x:v>449</x:v>
      </x:c>
      <x:c r="D347" s="10" t="s">
        <x:v>62</x:v>
      </x:c>
      <x:c r="E347" s="10" t="s">
        <x:v>451</x:v>
      </x:c>
      <x:c r="F347" s="10" t="s">
        <x:v>3</x:v>
      </x:c>
      <x:c r="G347" s="10" t="s">
        <x:v>52</x:v>
      </x:c>
      <x:c r="H347" s="10" t="s">
        <x:v>64</x:v>
      </x:c>
      <x:c r="I347" s="10"/>
      <x:c r="J347" s="10"/>
      <x:c r="K347" s="10"/>
      <x:c r="L347" s="10"/>
      <x:c r="M347" s="10">
        <x:f t="shared" si="5"/>
        <x:v>0</x:v>
      </x:c>
    </x:row>
    <x:row r="348" ht="27.600000381469727">
      <x:c r="A348" s="10">
        <x:v>347</x:v>
      </x:c>
      <x:c r="B348" s="10" t="s">
        <x:v>32</x:v>
      </x:c>
      <x:c r="C348" s="10" t="s">
        <x:v>449</x:v>
      </x:c>
      <x:c r="D348" s="10" t="s">
        <x:v>62</x:v>
      </x:c>
      <x:c r="E348" s="10" t="s">
        <x:v>452</x:v>
      </x:c>
      <x:c r="F348" s="10" t="s">
        <x:v>3</x:v>
      </x:c>
      <x:c r="G348" s="10" t="s">
        <x:v>52</x:v>
      </x:c>
      <x:c r="H348" s="10" t="s">
        <x:v>64</x:v>
      </x:c>
      <x:c r="I348" s="10"/>
      <x:c r="J348" s="10"/>
      <x:c r="K348" s="10"/>
      <x:c r="L348" s="10"/>
      <x:c r="M348" s="10">
        <x:f t="shared" si="5"/>
        <x:v>0</x:v>
      </x:c>
    </x:row>
    <x:row r="349" ht="27.600000381469727">
      <x:c r="A349" s="10">
        <x:v>348</x:v>
      </x:c>
      <x:c r="B349" s="10" t="s">
        <x:v>32</x:v>
      </x:c>
      <x:c r="C349" s="10" t="s">
        <x:v>449</x:v>
      </x:c>
      <x:c r="D349" s="10" t="s">
        <x:v>62</x:v>
      </x:c>
      <x:c r="E349" s="10" t="s">
        <x:v>453</x:v>
      </x:c>
      <x:c r="F349" s="10" t="s">
        <x:v>3</x:v>
      </x:c>
      <x:c r="G349" s="10" t="s">
        <x:v>52</x:v>
      </x:c>
      <x:c r="H349" s="10" t="s">
        <x:v>64</x:v>
      </x:c>
      <x:c r="I349" s="10"/>
      <x:c r="J349" s="10"/>
      <x:c r="K349" s="10"/>
      <x:c r="L349" s="10"/>
      <x:c r="M349" s="10">
        <x:f t="shared" si="5"/>
        <x:v>0</x:v>
      </x:c>
    </x:row>
    <x:row r="350" ht="27.600000381469727">
      <x:c r="A350" s="10">
        <x:v>349</x:v>
      </x:c>
      <x:c r="B350" s="10" t="s">
        <x:v>32</x:v>
      </x:c>
      <x:c r="C350" s="10" t="s">
        <x:v>449</x:v>
      </x:c>
      <x:c r="D350" s="10" t="s">
        <x:v>62</x:v>
      </x:c>
      <x:c r="E350" s="10" t="s">
        <x:v>454</x:v>
      </x:c>
      <x:c r="F350" s="10" t="s">
        <x:v>3</x:v>
      </x:c>
      <x:c r="G350" s="10" t="s">
        <x:v>52</x:v>
      </x:c>
      <x:c r="H350" s="10" t="s">
        <x:v>64</x:v>
      </x:c>
      <x:c r="I350" s="10"/>
      <x:c r="J350" s="10"/>
      <x:c r="K350" s="10"/>
      <x:c r="L350" s="10"/>
      <x:c r="M350" s="10">
        <x:f t="shared" si="5"/>
        <x:v>0</x:v>
      </x:c>
    </x:row>
    <x:row r="351" ht="27.600000381469727">
      <x:c r="A351" s="10">
        <x:v>350</x:v>
      </x:c>
      <x:c r="B351" s="10" t="s">
        <x:v>32</x:v>
      </x:c>
      <x:c r="C351" s="10" t="s">
        <x:v>449</x:v>
      </x:c>
      <x:c r="D351" s="10" t="s">
        <x:v>62</x:v>
      </x:c>
      <x:c r="E351" s="10" t="s">
        <x:v>455</x:v>
      </x:c>
      <x:c r="F351" s="10" t="s">
        <x:v>3</x:v>
      </x:c>
      <x:c r="G351" s="10" t="s">
        <x:v>52</x:v>
      </x:c>
      <x:c r="H351" s="10" t="s">
        <x:v>64</x:v>
      </x:c>
      <x:c r="I351" s="10"/>
      <x:c r="J351" s="10"/>
      <x:c r="K351" s="10"/>
      <x:c r="L351" s="10"/>
      <x:c r="M351" s="10">
        <x:f t="shared" si="5"/>
        <x:v>0</x:v>
      </x:c>
    </x:row>
    <x:row r="352" ht="27.600000381469727">
      <x:c r="A352" s="10">
        <x:v>351</x:v>
      </x:c>
      <x:c r="B352" s="10" t="s">
        <x:v>32</x:v>
      </x:c>
      <x:c r="C352" s="10" t="s">
        <x:v>449</x:v>
      </x:c>
      <x:c r="D352" s="10" t="s">
        <x:v>78</x:v>
      </x:c>
      <x:c r="E352" s="10" t="s">
        <x:v>456</x:v>
      </x:c>
      <x:c r="F352" s="10" t="s">
        <x:v>3</x:v>
      </x:c>
      <x:c r="G352" s="10" t="s">
        <x:v>64</x:v>
      </x:c>
      <x:c r="H352" s="10" t="s">
        <x:v>64</x:v>
      </x:c>
      <x:c r="I352" s="10"/>
      <x:c r="J352" s="10"/>
      <x:c r="K352" s="10"/>
      <x:c r="L352" s="10"/>
      <x:c r="M352" s="10">
        <x:f t="shared" si="5"/>
        <x:v>0</x:v>
      </x:c>
    </x:row>
    <x:row r="353" ht="27.600000381469727">
      <x:c r="A353" s="10">
        <x:v>352</x:v>
      </x:c>
      <x:c r="B353" s="10" t="s">
        <x:v>32</x:v>
      </x:c>
      <x:c r="C353" s="10" t="s">
        <x:v>449</x:v>
      </x:c>
      <x:c r="D353" s="10" t="s">
        <x:v>78</x:v>
      </x:c>
      <x:c r="E353" s="10" t="s">
        <x:v>457</x:v>
      </x:c>
      <x:c r="F353" s="10" t="s">
        <x:v>3</x:v>
      </x:c>
      <x:c r="G353" s="10" t="s">
        <x:v>64</x:v>
      </x:c>
      <x:c r="H353" s="10" t="s">
        <x:v>64</x:v>
      </x:c>
      <x:c r="I353" s="10"/>
      <x:c r="J353" s="10"/>
      <x:c r="K353" s="10"/>
      <x:c r="L353" s="10"/>
      <x:c r="M353" s="10">
        <x:f t="shared" si="5"/>
        <x:v>0</x:v>
      </x:c>
    </x:row>
    <x:row r="354" ht="27.600000381469727">
      <x:c r="A354" s="10">
        <x:v>353</x:v>
      </x:c>
      <x:c r="B354" s="10" t="s">
        <x:v>32</x:v>
      </x:c>
      <x:c r="C354" s="10" t="s">
        <x:v>449</x:v>
      </x:c>
      <x:c r="D354" s="10" t="s">
        <x:v>84</x:v>
      </x:c>
      <x:c r="E354" s="10" t="s">
        <x:v>458</x:v>
      </x:c>
      <x:c r="F354" s="10" t="s">
        <x:v>3</x:v>
      </x:c>
      <x:c r="G354" s="10" t="s">
        <x:v>52</x:v>
      </x:c>
      <x:c r="H354" s="10" t="s">
        <x:v>64</x:v>
      </x:c>
      <x:c r="I354" s="10"/>
      <x:c r="J354" s="10"/>
      <x:c r="K354" s="10"/>
      <x:c r="L354" s="10"/>
      <x:c r="M354" s="10">
        <x:f t="shared" si="5"/>
        <x:v>0</x:v>
      </x:c>
    </x:row>
    <x:row r="355" ht="27.600000381469727">
      <x:c r="A355" s="10">
        <x:v>354</x:v>
      </x:c>
      <x:c r="B355" s="10" t="s">
        <x:v>32</x:v>
      </x:c>
      <x:c r="C355" s="10" t="s">
        <x:v>449</x:v>
      </x:c>
      <x:c r="D355" s="10" t="s">
        <x:v>84</x:v>
      </x:c>
      <x:c r="E355" s="10" t="s">
        <x:v>459</x:v>
      </x:c>
      <x:c r="F355" s="10" t="s">
        <x:v>3</x:v>
      </x:c>
      <x:c r="G355" s="10" t="s">
        <x:v>52</x:v>
      </x:c>
      <x:c r="H355" s="10" t="s">
        <x:v>64</x:v>
      </x:c>
      <x:c r="I355" s="10"/>
      <x:c r="J355" s="10"/>
      <x:c r="K355" s="10"/>
      <x:c r="L355" s="10"/>
      <x:c r="M355" s="10">
        <x:f t="shared" si="5"/>
        <x:v>0</x:v>
      </x:c>
    </x:row>
    <x:row r="356" ht="27.600000381469727">
      <x:c r="A356" s="10">
        <x:v>355</x:v>
      </x:c>
      <x:c r="B356" s="10" t="s">
        <x:v>32</x:v>
      </x:c>
      <x:c r="C356" s="10" t="s">
        <x:v>449</x:v>
      </x:c>
      <x:c r="D356" s="10" t="s">
        <x:v>84</x:v>
      </x:c>
      <x:c r="E356" s="10" t="s">
        <x:v>460</x:v>
      </x:c>
      <x:c r="F356" s="10" t="s">
        <x:v>3</x:v>
      </x:c>
      <x:c r="G356" s="10" t="s">
        <x:v>52</x:v>
      </x:c>
      <x:c r="H356" s="10" t="s">
        <x:v>64</x:v>
      </x:c>
      <x:c r="I356" s="10"/>
      <x:c r="J356" s="10"/>
      <x:c r="K356" s="10"/>
      <x:c r="L356" s="10"/>
      <x:c r="M356" s="10">
        <x:f t="shared" si="5"/>
        <x:v>0</x:v>
      </x:c>
    </x:row>
    <x:row r="357" ht="27.600000381469727">
      <x:c r="A357" s="10">
        <x:v>356</x:v>
      </x:c>
      <x:c r="B357" s="10" t="s">
        <x:v>32</x:v>
      </x:c>
      <x:c r="C357" s="10" t="s">
        <x:v>461</x:v>
      </x:c>
      <x:c r="D357" s="10" t="s">
        <x:v>62</x:v>
      </x:c>
      <x:c r="E357" s="10" t="s">
        <x:v>462</x:v>
      </x:c>
      <x:c r="F357" s="10" t="s">
        <x:v>3</x:v>
      </x:c>
      <x:c r="G357" s="10" t="s">
        <x:v>64</x:v>
      </x:c>
      <x:c r="H357" s="10" t="s">
        <x:v>64</x:v>
      </x:c>
      <x:c r="I357" s="10"/>
      <x:c r="J357" s="10"/>
      <x:c r="K357" s="10"/>
      <x:c r="L357" s="10"/>
      <x:c r="M357" s="10">
        <x:f t="shared" si="5"/>
        <x:v>0</x:v>
      </x:c>
    </x:row>
    <x:row r="358" ht="27.600000381469727">
      <x:c r="A358" s="10">
        <x:v>357</x:v>
      </x:c>
      <x:c r="B358" s="10" t="s">
        <x:v>32</x:v>
      </x:c>
      <x:c r="C358" s="10" t="s">
        <x:v>461</x:v>
      </x:c>
      <x:c r="D358" s="10" t="s">
        <x:v>62</x:v>
      </x:c>
      <x:c r="E358" s="10" t="s">
        <x:v>463</x:v>
      </x:c>
      <x:c r="F358" s="10" t="s">
        <x:v>3</x:v>
      </x:c>
      <x:c r="G358" s="10" t="s">
        <x:v>64</x:v>
      </x:c>
      <x:c r="H358" s="10" t="s">
        <x:v>64</x:v>
      </x:c>
      <x:c r="I358" s="10"/>
      <x:c r="J358" s="10"/>
      <x:c r="K358" s="10"/>
      <x:c r="L358" s="10"/>
      <x:c r="M358" s="10">
        <x:f t="shared" si="5"/>
        <x:v>0</x:v>
      </x:c>
    </x:row>
    <x:row r="359" ht="27.600000381469727">
      <x:c r="A359" s="10">
        <x:v>358</x:v>
      </x:c>
      <x:c r="B359" s="10" t="s">
        <x:v>32</x:v>
      </x:c>
      <x:c r="C359" s="10" t="s">
        <x:v>461</x:v>
      </x:c>
      <x:c r="D359" s="10" t="s">
        <x:v>62</x:v>
      </x:c>
      <x:c r="E359" s="10" t="s">
        <x:v>464</x:v>
      </x:c>
      <x:c r="F359" s="10" t="s">
        <x:v>3</x:v>
      </x:c>
      <x:c r="G359" s="10" t="s">
        <x:v>64</x:v>
      </x:c>
      <x:c r="H359" s="10" t="s">
        <x:v>64</x:v>
      </x:c>
      <x:c r="I359" s="10"/>
      <x:c r="J359" s="10"/>
      <x:c r="K359" s="10"/>
      <x:c r="L359" s="10"/>
      <x:c r="M359" s="10">
        <x:f t="shared" si="5"/>
        <x:v>0</x:v>
      </x:c>
    </x:row>
    <x:row r="360" ht="27.600000381469727">
      <x:c r="A360" s="10">
        <x:v>359</x:v>
      </x:c>
      <x:c r="B360" s="10" t="s">
        <x:v>32</x:v>
      </x:c>
      <x:c r="C360" s="10" t="s">
        <x:v>461</x:v>
      </x:c>
      <x:c r="D360" s="10" t="s">
        <x:v>62</x:v>
      </x:c>
      <x:c r="E360" s="10" t="s">
        <x:v>465</x:v>
      </x:c>
      <x:c r="F360" s="10" t="s">
        <x:v>3</x:v>
      </x:c>
      <x:c r="G360" s="10" t="s">
        <x:v>64</x:v>
      </x:c>
      <x:c r="H360" s="10" t="s">
        <x:v>64</x:v>
      </x:c>
      <x:c r="I360" s="10"/>
      <x:c r="J360" s="10"/>
      <x:c r="K360" s="10"/>
      <x:c r="L360" s="10"/>
      <x:c r="M360" s="10">
        <x:f t="shared" si="5"/>
        <x:v>0</x:v>
      </x:c>
    </x:row>
    <x:row r="361" ht="27.600000381469727">
      <x:c r="A361" s="10">
        <x:v>360</x:v>
      </x:c>
      <x:c r="B361" s="10" t="s">
        <x:v>32</x:v>
      </x:c>
      <x:c r="C361" s="10" t="s">
        <x:v>461</x:v>
      </x:c>
      <x:c r="D361" s="10" t="s">
        <x:v>62</x:v>
      </x:c>
      <x:c r="E361" s="10" t="s">
        <x:v>466</x:v>
      </x:c>
      <x:c r="F361" s="10" t="s">
        <x:v>3</x:v>
      </x:c>
      <x:c r="G361" s="10" t="s">
        <x:v>64</x:v>
      </x:c>
      <x:c r="H361" s="10" t="s">
        <x:v>64</x:v>
      </x:c>
      <x:c r="I361" s="10"/>
      <x:c r="J361" s="10"/>
      <x:c r="K361" s="10"/>
      <x:c r="L361" s="10"/>
      <x:c r="M361" s="10">
        <x:f t="shared" si="5"/>
        <x:v>0</x:v>
      </x:c>
    </x:row>
    <x:row r="362" ht="27.600000381469727">
      <x:c r="A362" s="10">
        <x:v>361</x:v>
      </x:c>
      <x:c r="B362" s="10" t="s">
        <x:v>32</x:v>
      </x:c>
      <x:c r="C362" s="10" t="s">
        <x:v>461</x:v>
      </x:c>
      <x:c r="D362" s="10" t="s">
        <x:v>78</x:v>
      </x:c>
      <x:c r="E362" s="10" t="s">
        <x:v>467</x:v>
      </x:c>
      <x:c r="F362" s="10" t="s">
        <x:v>3</x:v>
      </x:c>
      <x:c r="G362" s="10" t="s">
        <x:v>64</x:v>
      </x:c>
      <x:c r="H362" s="10" t="s">
        <x:v>64</x:v>
      </x:c>
      <x:c r="I362" s="10"/>
      <x:c r="J362" s="10"/>
      <x:c r="K362" s="10"/>
      <x:c r="L362" s="10"/>
      <x:c r="M362" s="10">
        <x:f t="shared" si="5"/>
        <x:v>0</x:v>
      </x:c>
    </x:row>
    <x:row r="363" ht="27.600000381469727">
      <x:c r="A363" s="10">
        <x:v>362</x:v>
      </x:c>
      <x:c r="B363" s="10" t="s">
        <x:v>32</x:v>
      </x:c>
      <x:c r="C363" s="10" t="s">
        <x:v>461</x:v>
      </x:c>
      <x:c r="D363" s="10" t="s">
        <x:v>78</x:v>
      </x:c>
      <x:c r="E363" s="10" t="s">
        <x:v>468</x:v>
      </x:c>
      <x:c r="F363" s="10" t="s">
        <x:v>3</x:v>
      </x:c>
      <x:c r="G363" s="10" t="s">
        <x:v>64</x:v>
      </x:c>
      <x:c r="H363" s="10" t="s">
        <x:v>64</x:v>
      </x:c>
      <x:c r="I363" s="10"/>
      <x:c r="J363" s="10"/>
      <x:c r="K363" s="10"/>
      <x:c r="L363" s="10"/>
      <x:c r="M363" s="10">
        <x:f t="shared" si="5"/>
        <x:v>0</x:v>
      </x:c>
    </x:row>
    <x:row r="364" ht="27.600000381469727">
      <x:c r="A364" s="10">
        <x:v>363</x:v>
      </x:c>
      <x:c r="B364" s="10" t="s">
        <x:v>32</x:v>
      </x:c>
      <x:c r="C364" s="10" t="s">
        <x:v>461</x:v>
      </x:c>
      <x:c r="D364" s="10" t="s">
        <x:v>84</x:v>
      </x:c>
      <x:c r="E364" s="10" t="s">
        <x:v>469</x:v>
      </x:c>
      <x:c r="F364" s="10" t="s">
        <x:v>3</x:v>
      </x:c>
      <x:c r="G364" s="10" t="s">
        <x:v>64</x:v>
      </x:c>
      <x:c r="H364" s="10" t="s">
        <x:v>64</x:v>
      </x:c>
      <x:c r="I364" s="10"/>
      <x:c r="J364" s="10"/>
      <x:c r="K364" s="10"/>
      <x:c r="L364" s="10"/>
      <x:c r="M364" s="10">
        <x:f t="shared" si="5"/>
        <x:v>0</x:v>
      </x:c>
    </x:row>
    <x:row r="365" ht="27.600000381469727">
      <x:c r="A365" s="10">
        <x:v>364</x:v>
      </x:c>
      <x:c r="B365" s="10" t="s">
        <x:v>32</x:v>
      </x:c>
      <x:c r="C365" s="10" t="s">
        <x:v>461</x:v>
      </x:c>
      <x:c r="D365" s="10" t="s">
        <x:v>84</x:v>
      </x:c>
      <x:c r="E365" s="10" t="s">
        <x:v>470</x:v>
      </x:c>
      <x:c r="F365" s="10" t="s">
        <x:v>3</x:v>
      </x:c>
      <x:c r="G365" s="10" t="s">
        <x:v>64</x:v>
      </x:c>
      <x:c r="H365" s="10" t="s">
        <x:v>64</x:v>
      </x:c>
      <x:c r="I365" s="10"/>
      <x:c r="J365" s="10"/>
      <x:c r="K365" s="10"/>
      <x:c r="L365" s="10"/>
      <x:c r="M365" s="10">
        <x:f t="shared" si="5"/>
        <x:v>0</x:v>
      </x:c>
    </x:row>
    <x:row r="366" ht="27.600000381469727">
      <x:c r="A366" s="10">
        <x:v>365</x:v>
      </x:c>
      <x:c r="B366" s="10" t="s">
        <x:v>32</x:v>
      </x:c>
      <x:c r="C366" s="10" t="s">
        <x:v>471</x:v>
      </x:c>
      <x:c r="D366" s="10" t="s">
        <x:v>62</x:v>
      </x:c>
      <x:c r="E366" s="10" t="s">
        <x:v>472</x:v>
      </x:c>
      <x:c r="F366" s="10" t="s">
        <x:v>3</x:v>
      </x:c>
      <x:c r="G366" s="10" t="s">
        <x:v>64</x:v>
      </x:c>
      <x:c r="H366" s="10" t="s">
        <x:v>52</x:v>
      </x:c>
      <x:c r="I366" s="10"/>
      <x:c r="J366" s="10"/>
      <x:c r="K366" s="10"/>
      <x:c r="L366" s="10"/>
      <x:c r="M366" s="10">
        <x:f t="shared" si="5"/>
        <x:v>0</x:v>
      </x:c>
    </x:row>
    <x:row r="367" ht="27.600000381469727">
      <x:c r="A367" s="10">
        <x:v>366</x:v>
      </x:c>
      <x:c r="B367" s="10" t="s">
        <x:v>32</x:v>
      </x:c>
      <x:c r="C367" s="10" t="s">
        <x:v>471</x:v>
      </x:c>
      <x:c r="D367" s="10" t="s">
        <x:v>62</x:v>
      </x:c>
      <x:c r="E367" s="10" t="s">
        <x:v>473</x:v>
      </x:c>
      <x:c r="F367" s="10" t="s">
        <x:v>3</x:v>
      </x:c>
      <x:c r="G367" s="10" t="s">
        <x:v>64</x:v>
      </x:c>
      <x:c r="H367" s="10" t="s">
        <x:v>52</x:v>
      </x:c>
      <x:c r="I367" s="10"/>
      <x:c r="J367" s="10"/>
      <x:c r="K367" s="10"/>
      <x:c r="L367" s="10"/>
      <x:c r="M367" s="10">
        <x:f t="shared" si="5"/>
        <x:v>0</x:v>
      </x:c>
    </x:row>
    <x:row r="368" ht="27.600000381469727">
      <x:c r="A368" s="10">
        <x:v>367</x:v>
      </x:c>
      <x:c r="B368" s="10" t="s">
        <x:v>32</x:v>
      </x:c>
      <x:c r="C368" s="10" t="s">
        <x:v>471</x:v>
      </x:c>
      <x:c r="D368" s="10" t="s">
        <x:v>62</x:v>
      </x:c>
      <x:c r="E368" s="10" t="s">
        <x:v>474</x:v>
      </x:c>
      <x:c r="F368" s="10" t="s">
        <x:v>3</x:v>
      </x:c>
      <x:c r="G368" s="10" t="s">
        <x:v>64</x:v>
      </x:c>
      <x:c r="H368" s="10" t="s">
        <x:v>52</x:v>
      </x:c>
      <x:c r="I368" s="10"/>
      <x:c r="J368" s="10"/>
      <x:c r="K368" s="10"/>
      <x:c r="L368" s="10"/>
      <x:c r="M368" s="10">
        <x:f t="shared" si="5"/>
        <x:v>0</x:v>
      </x:c>
    </x:row>
    <x:row r="369" ht="27.600000381469727">
      <x:c r="A369" s="10">
        <x:v>368</x:v>
      </x:c>
      <x:c r="B369" s="10" t="s">
        <x:v>32</x:v>
      </x:c>
      <x:c r="C369" s="10" t="s">
        <x:v>471</x:v>
      </x:c>
      <x:c r="D369" s="10" t="s">
        <x:v>62</x:v>
      </x:c>
      <x:c r="E369" s="10" t="s">
        <x:v>475</x:v>
      </x:c>
      <x:c r="F369" s="10" t="s">
        <x:v>3</x:v>
      </x:c>
      <x:c r="G369" s="10" t="s">
        <x:v>52</x:v>
      </x:c>
      <x:c r="H369" s="10" t="s">
        <x:v>52</x:v>
      </x:c>
      <x:c r="I369" s="10"/>
      <x:c r="J369" s="10"/>
      <x:c r="K369" s="10"/>
      <x:c r="L369" s="10"/>
      <x:c r="M369" s="10">
        <x:f t="shared" si="5"/>
        <x:v>0</x:v>
      </x:c>
    </x:row>
    <x:row r="370" ht="27.600000381469727">
      <x:c r="A370" s="10">
        <x:v>369</x:v>
      </x:c>
      <x:c r="B370" s="10" t="s">
        <x:v>32</x:v>
      </x:c>
      <x:c r="C370" s="10" t="s">
        <x:v>471</x:v>
      </x:c>
      <x:c r="D370" s="10" t="s">
        <x:v>62</x:v>
      </x:c>
      <x:c r="E370" s="10" t="s">
        <x:v>476</x:v>
      </x:c>
      <x:c r="F370" s="10" t="s">
        <x:v>3</x:v>
      </x:c>
      <x:c r="G370" s="10" t="s">
        <x:v>64</x:v>
      </x:c>
      <x:c r="H370" s="10" t="s">
        <x:v>52</x:v>
      </x:c>
      <x:c r="I370" s="10"/>
      <x:c r="J370" s="10"/>
      <x:c r="K370" s="10"/>
      <x:c r="L370" s="10"/>
      <x:c r="M370" s="10">
        <x:f t="shared" si="5"/>
        <x:v>0</x:v>
      </x:c>
    </x:row>
    <x:row r="371" ht="27.600000381469727">
      <x:c r="A371" s="10">
        <x:v>370</x:v>
      </x:c>
      <x:c r="B371" s="10" t="s">
        <x:v>32</x:v>
      </x:c>
      <x:c r="C371" s="10" t="s">
        <x:v>471</x:v>
      </x:c>
      <x:c r="D371" s="10" t="s">
        <x:v>62</x:v>
      </x:c>
      <x:c r="E371" s="10" t="s">
        <x:v>477</x:v>
      </x:c>
      <x:c r="F371" s="10" t="s">
        <x:v>3</x:v>
      </x:c>
      <x:c r="G371" s="10" t="s">
        <x:v>52</x:v>
      </x:c>
      <x:c r="H371" s="10" t="s">
        <x:v>52</x:v>
      </x:c>
      <x:c r="I371" s="10"/>
      <x:c r="J371" s="10"/>
      <x:c r="K371" s="10"/>
      <x:c r="L371" s="10"/>
      <x:c r="M371" s="10">
        <x:f t="shared" si="5"/>
        <x:v>0</x:v>
      </x:c>
    </x:row>
    <x:row r="372" ht="27.600000381469727">
      <x:c r="A372" s="10">
        <x:v>371</x:v>
      </x:c>
      <x:c r="B372" s="10" t="s">
        <x:v>32</x:v>
      </x:c>
      <x:c r="C372" s="10" t="s">
        <x:v>471</x:v>
      </x:c>
      <x:c r="D372" s="10" t="s">
        <x:v>62</x:v>
      </x:c>
      <x:c r="E372" s="10" t="s">
        <x:v>478</x:v>
      </x:c>
      <x:c r="F372" s="10" t="s">
        <x:v>3</x:v>
      </x:c>
      <x:c r="G372" s="10" t="s">
        <x:v>52</x:v>
      </x:c>
      <x:c r="H372" s="10" t="s">
        <x:v>52</x:v>
      </x:c>
      <x:c r="I372" s="10"/>
      <x:c r="J372" s="10"/>
      <x:c r="K372" s="10"/>
      <x:c r="L372" s="10"/>
      <x:c r="M372" s="10">
        <x:f t="shared" si="5"/>
        <x:v>0</x:v>
      </x:c>
    </x:row>
    <x:row r="373" ht="27.600000381469727">
      <x:c r="A373" s="10">
        <x:v>372</x:v>
      </x:c>
      <x:c r="B373" s="10" t="s">
        <x:v>32</x:v>
      </x:c>
      <x:c r="C373" s="10" t="s">
        <x:v>471</x:v>
      </x:c>
      <x:c r="D373" s="10" t="s">
        <x:v>62</x:v>
      </x:c>
      <x:c r="E373" s="10" t="s">
        <x:v>479</x:v>
      </x:c>
      <x:c r="F373" s="10" t="s">
        <x:v>3</x:v>
      </x:c>
      <x:c r="G373" s="10" t="s">
        <x:v>64</x:v>
      </x:c>
      <x:c r="H373" s="10" t="s">
        <x:v>52</x:v>
      </x:c>
      <x:c r="I373" s="10"/>
      <x:c r="J373" s="10"/>
      <x:c r="K373" s="10"/>
      <x:c r="L373" s="10"/>
      <x:c r="M373" s="10">
        <x:f t="shared" si="5"/>
        <x:v>0</x:v>
      </x:c>
    </x:row>
    <x:row r="374" ht="27.600000381469727">
      <x:c r="A374" s="10">
        <x:v>373</x:v>
      </x:c>
      <x:c r="B374" s="10" t="s">
        <x:v>32</x:v>
      </x:c>
      <x:c r="C374" s="10" t="s">
        <x:v>471</x:v>
      </x:c>
      <x:c r="D374" s="10" t="s">
        <x:v>78</x:v>
      </x:c>
      <x:c r="E374" s="10" t="s">
        <x:v>480</x:v>
      </x:c>
      <x:c r="F374" s="10" t="s">
        <x:v>3</x:v>
      </x:c>
      <x:c r="G374" s="10" t="s">
        <x:v>64</x:v>
      </x:c>
      <x:c r="H374" s="10" t="s">
        <x:v>64</x:v>
      </x:c>
      <x:c r="I374" s="10"/>
      <x:c r="J374" s="10"/>
      <x:c r="K374" s="10"/>
      <x:c r="L374" s="10"/>
      <x:c r="M374" s="10">
        <x:f t="shared" si="5"/>
        <x:v>0</x:v>
      </x:c>
    </x:row>
    <x:row r="375" ht="27.600000381469727">
      <x:c r="A375" s="10">
        <x:v>374</x:v>
      </x:c>
      <x:c r="B375" s="10" t="s">
        <x:v>32</x:v>
      </x:c>
      <x:c r="C375" s="10" t="s">
        <x:v>471</x:v>
      </x:c>
      <x:c r="D375" s="10" t="s">
        <x:v>78</x:v>
      </x:c>
      <x:c r="E375" s="10" t="s">
        <x:v>481</x:v>
      </x:c>
      <x:c r="F375" s="10" t="s">
        <x:v>3</x:v>
      </x:c>
      <x:c r="G375" s="10" t="s">
        <x:v>64</x:v>
      </x:c>
      <x:c r="H375" s="10" t="s">
        <x:v>64</x:v>
      </x:c>
      <x:c r="I375" s="10"/>
      <x:c r="J375" s="10"/>
      <x:c r="K375" s="10"/>
      <x:c r="L375" s="10"/>
      <x:c r="M375" s="10">
        <x:f t="shared" si="5"/>
        <x:v>0</x:v>
      </x:c>
    </x:row>
    <x:row r="376" ht="27.600000381469727">
      <x:c r="A376" s="10">
        <x:v>375</x:v>
      </x:c>
      <x:c r="B376" s="10" t="s">
        <x:v>32</x:v>
      </x:c>
      <x:c r="C376" s="10" t="s">
        <x:v>471</x:v>
      </x:c>
      <x:c r="D376" s="10" t="s">
        <x:v>84</x:v>
      </x:c>
      <x:c r="E376" s="10" t="s">
        <x:v>482</x:v>
      </x:c>
      <x:c r="F376" s="10" t="s">
        <x:v>3</x:v>
      </x:c>
      <x:c r="G376" s="10" t="s">
        <x:v>52</x:v>
      </x:c>
      <x:c r="H376" s="10" t="s">
        <x:v>64</x:v>
      </x:c>
      <x:c r="I376" s="10"/>
      <x:c r="J376" s="10"/>
      <x:c r="K376" s="10"/>
      <x:c r="L376" s="10"/>
      <x:c r="M376" s="10">
        <x:f t="shared" si="5"/>
        <x:v>0</x:v>
      </x:c>
    </x:row>
    <x:row r="377" ht="27.600000381469727">
      <x:c r="A377" s="10">
        <x:v>376</x:v>
      </x:c>
      <x:c r="B377" s="10" t="s">
        <x:v>32</x:v>
      </x:c>
      <x:c r="C377" s="10" t="s">
        <x:v>471</x:v>
      </x:c>
      <x:c r="D377" s="10" t="s">
        <x:v>84</x:v>
      </x:c>
      <x:c r="E377" s="10" t="s">
        <x:v>483</x:v>
      </x:c>
      <x:c r="F377" s="10" t="s">
        <x:v>3</x:v>
      </x:c>
      <x:c r="G377" s="10" t="s">
        <x:v>52</x:v>
      </x:c>
      <x:c r="H377" s="10" t="s">
        <x:v>64</x:v>
      </x:c>
      <x:c r="I377" s="10"/>
      <x:c r="J377" s="10"/>
      <x:c r="K377" s="10"/>
      <x:c r="L377" s="10"/>
      <x:c r="M377" s="10">
        <x:f t="shared" si="5"/>
        <x:v>0</x:v>
      </x:c>
    </x:row>
    <x:row r="378">
      <x:c r="A378" s="10">
        <x:v>377</x:v>
      </x:c>
      <x:c r="B378" s="10" t="s">
        <x:v>32</x:v>
      </x:c>
      <x:c r="C378" s="10" t="s">
        <x:v>484</x:v>
      </x:c>
      <x:c r="D378" s="10" t="s">
        <x:v>62</x:v>
      </x:c>
      <x:c r="E378" s="10" t="s">
        <x:v>485</x:v>
      </x:c>
      <x:c r="F378" s="10" t="s">
        <x:v>3</x:v>
      </x:c>
      <x:c r="G378" s="10" t="s">
        <x:v>52</x:v>
      </x:c>
      <x:c r="H378" s="10" t="s">
        <x:v>64</x:v>
      </x:c>
      <x:c r="I378" s="10"/>
      <x:c r="J378" s="10"/>
      <x:c r="K378" s="10"/>
      <x:c r="L378" s="10"/>
      <x:c r="M378" s="10">
        <x:f t="shared" si="5"/>
        <x:v>0</x:v>
      </x:c>
    </x:row>
    <x:row r="379">
      <x:c r="A379" s="10">
        <x:v>378</x:v>
      </x:c>
      <x:c r="B379" s="10" t="s">
        <x:v>32</x:v>
      </x:c>
      <x:c r="C379" s="10" t="s">
        <x:v>484</x:v>
      </x:c>
      <x:c r="D379" s="10" t="s">
        <x:v>62</x:v>
      </x:c>
      <x:c r="E379" s="10" t="s">
        <x:v>486</x:v>
      </x:c>
      <x:c r="F379" s="10" t="s">
        <x:v>3</x:v>
      </x:c>
      <x:c r="G379" s="10" t="s">
        <x:v>52</x:v>
      </x:c>
      <x:c r="H379" s="10" t="s">
        <x:v>64</x:v>
      </x:c>
      <x:c r="I379" s="10"/>
      <x:c r="J379" s="10"/>
      <x:c r="K379" s="10"/>
      <x:c r="L379" s="10"/>
      <x:c r="M379" s="10">
        <x:f t="shared" si="5"/>
        <x:v>0</x:v>
      </x:c>
    </x:row>
    <x:row r="380">
      <x:c r="A380" s="10">
        <x:v>379</x:v>
      </x:c>
      <x:c r="B380" s="10" t="s">
        <x:v>32</x:v>
      </x:c>
      <x:c r="C380" s="10" t="s">
        <x:v>484</x:v>
      </x:c>
      <x:c r="D380" s="10" t="s">
        <x:v>62</x:v>
      </x:c>
      <x:c r="E380" s="10" t="s">
        <x:v>487</x:v>
      </x:c>
      <x:c r="F380" s="10" t="s">
        <x:v>3</x:v>
      </x:c>
      <x:c r="G380" s="10" t="s">
        <x:v>52</x:v>
      </x:c>
      <x:c r="H380" s="10" t="s">
        <x:v>64</x:v>
      </x:c>
      <x:c r="I380" s="10"/>
      <x:c r="J380" s="10"/>
      <x:c r="K380" s="10"/>
      <x:c r="L380" s="10"/>
      <x:c r="M380" s="10">
        <x:f t="shared" si="5"/>
        <x:v>0</x:v>
      </x:c>
    </x:row>
    <x:row r="381">
      <x:c r="A381" s="10">
        <x:v>380</x:v>
      </x:c>
      <x:c r="B381" s="10" t="s">
        <x:v>32</x:v>
      </x:c>
      <x:c r="C381" s="10" t="s">
        <x:v>484</x:v>
      </x:c>
      <x:c r="D381" s="10" t="s">
        <x:v>62</x:v>
      </x:c>
      <x:c r="E381" s="10" t="s">
        <x:v>488</x:v>
      </x:c>
      <x:c r="F381" s="10" t="s">
        <x:v>3</x:v>
      </x:c>
      <x:c r="G381" s="10" t="s">
        <x:v>52</x:v>
      </x:c>
      <x:c r="H381" s="10" t="s">
        <x:v>64</x:v>
      </x:c>
      <x:c r="I381" s="10"/>
      <x:c r="J381" s="10"/>
      <x:c r="K381" s="10"/>
      <x:c r="L381" s="10"/>
      <x:c r="M381" s="10">
        <x:f t="shared" si="5"/>
        <x:v>0</x:v>
      </x:c>
    </x:row>
    <x:row r="382">
      <x:c r="A382" s="10">
        <x:v>381</x:v>
      </x:c>
      <x:c r="B382" s="10" t="s">
        <x:v>32</x:v>
      </x:c>
      <x:c r="C382" s="10" t="s">
        <x:v>484</x:v>
      </x:c>
      <x:c r="D382" s="10" t="s">
        <x:v>62</x:v>
      </x:c>
      <x:c r="E382" s="10" t="s">
        <x:v>489</x:v>
      </x:c>
      <x:c r="F382" s="10" t="s">
        <x:v>3</x:v>
      </x:c>
      <x:c r="G382" s="10" t="s">
        <x:v>52</x:v>
      </x:c>
      <x:c r="H382" s="10" t="s">
        <x:v>64</x:v>
      </x:c>
      <x:c r="I382" s="10"/>
      <x:c r="J382" s="10"/>
      <x:c r="K382" s="10"/>
      <x:c r="L382" s="10"/>
      <x:c r="M382" s="10">
        <x:f t="shared" si="5"/>
        <x:v>0</x:v>
      </x:c>
    </x:row>
    <x:row r="383" ht="27.600000381469727">
      <x:c r="A383" s="10">
        <x:v>382</x:v>
      </x:c>
      <x:c r="B383" s="10" t="s">
        <x:v>32</x:v>
      </x:c>
      <x:c r="C383" s="10" t="s">
        <x:v>484</x:v>
      </x:c>
      <x:c r="D383" s="10" t="s">
        <x:v>62</x:v>
      </x:c>
      <x:c r="E383" s="10" t="s">
        <x:v>490</x:v>
      </x:c>
      <x:c r="F383" s="10" t="s">
        <x:v>3</x:v>
      </x:c>
      <x:c r="G383" s="10" t="s">
        <x:v>52</x:v>
      </x:c>
      <x:c r="H383" s="10" t="s">
        <x:v>64</x:v>
      </x:c>
      <x:c r="I383" s="10"/>
      <x:c r="J383" s="10"/>
      <x:c r="K383" s="10"/>
      <x:c r="L383" s="10"/>
      <x:c r="M383" s="10">
        <x:f t="shared" si="5"/>
        <x:v>0</x:v>
      </x:c>
    </x:row>
    <x:row r="384" ht="27.600000381469727">
      <x:c r="A384" s="10">
        <x:v>383</x:v>
      </x:c>
      <x:c r="B384" s="10" t="s">
        <x:v>32</x:v>
      </x:c>
      <x:c r="C384" s="10" t="s">
        <x:v>484</x:v>
      </x:c>
      <x:c r="D384" s="10" t="s">
        <x:v>62</x:v>
      </x:c>
      <x:c r="E384" s="10" t="s">
        <x:v>491</x:v>
      </x:c>
      <x:c r="F384" s="10" t="s">
        <x:v>3</x:v>
      </x:c>
      <x:c r="G384" s="10" t="s">
        <x:v>52</x:v>
      </x:c>
      <x:c r="H384" s="10" t="s">
        <x:v>64</x:v>
      </x:c>
      <x:c r="I384" s="10"/>
      <x:c r="J384" s="10"/>
      <x:c r="K384" s="10"/>
      <x:c r="L384" s="10"/>
      <x:c r="M384" s="10">
        <x:f t="shared" si="5"/>
        <x:v>0</x:v>
      </x:c>
    </x:row>
    <x:row r="385">
      <x:c r="A385" s="10">
        <x:v>384</x:v>
      </x:c>
      <x:c r="B385" s="10" t="s">
        <x:v>32</x:v>
      </x:c>
      <x:c r="C385" s="10" t="s">
        <x:v>484</x:v>
      </x:c>
      <x:c r="D385" s="10" t="s">
        <x:v>62</x:v>
      </x:c>
      <x:c r="E385" s="10" t="s">
        <x:v>492</x:v>
      </x:c>
      <x:c r="F385" s="10" t="s">
        <x:v>3</x:v>
      </x:c>
      <x:c r="G385" s="10" t="s">
        <x:v>52</x:v>
      </x:c>
      <x:c r="H385" s="10" t="s">
        <x:v>64</x:v>
      </x:c>
      <x:c r="I385" s="10"/>
      <x:c r="J385" s="10"/>
      <x:c r="K385" s="10"/>
      <x:c r="L385" s="10"/>
      <x:c r="M385" s="10">
        <x:f t="shared" si="5"/>
        <x:v>0</x:v>
      </x:c>
    </x:row>
    <x:row r="386">
      <x:c r="A386" s="10">
        <x:v>385</x:v>
      </x:c>
      <x:c r="B386" s="10" t="s">
        <x:v>32</x:v>
      </x:c>
      <x:c r="C386" s="10" t="s">
        <x:v>484</x:v>
      </x:c>
      <x:c r="D386" s="10" t="s">
        <x:v>62</x:v>
      </x:c>
      <x:c r="E386" s="10" t="s">
        <x:v>493</x:v>
      </x:c>
      <x:c r="F386" s="10" t="s">
        <x:v>3</x:v>
      </x:c>
      <x:c r="G386" s="10" t="s">
        <x:v>52</x:v>
      </x:c>
      <x:c r="H386" s="10" t="s">
        <x:v>64</x:v>
      </x:c>
      <x:c r="I386" s="10"/>
      <x:c r="J386" s="10"/>
      <x:c r="K386" s="10"/>
      <x:c r="L386" s="10"/>
      <x:c r="M386" s="10" t="n">
        <x:f t="shared" ref="M386:M449" si="6">IF(F386="Hoàn thành",1,0)</x:f>
        <x:v>0</x:v>
      </x:c>
    </x:row>
    <x:row r="387">
      <x:c r="A387" s="10">
        <x:v>386</x:v>
      </x:c>
      <x:c r="B387" s="10" t="s">
        <x:v>32</x:v>
      </x:c>
      <x:c r="C387" s="10" t="s">
        <x:v>484</x:v>
      </x:c>
      <x:c r="D387" s="10" t="s">
        <x:v>78</x:v>
      </x:c>
      <x:c r="E387" s="10" t="s">
        <x:v>411</x:v>
      </x:c>
      <x:c r="F387" s="10" t="s">
        <x:v>3</x:v>
      </x:c>
      <x:c r="G387" s="10" t="s">
        <x:v>64</x:v>
      </x:c>
      <x:c r="H387" s="10" t="s">
        <x:v>64</x:v>
      </x:c>
      <x:c r="I387" s="10"/>
      <x:c r="J387" s="10"/>
      <x:c r="K387" s="10"/>
      <x:c r="L387" s="10"/>
      <x:c r="M387" s="10">
        <x:f t="shared" si="6"/>
        <x:v>0</x:v>
      </x:c>
    </x:row>
    <x:row r="388">
      <x:c r="A388" s="10">
        <x:v>387</x:v>
      </x:c>
      <x:c r="B388" s="10" t="s">
        <x:v>32</x:v>
      </x:c>
      <x:c r="C388" s="10" t="s">
        <x:v>484</x:v>
      </x:c>
      <x:c r="D388" s="10" t="s">
        <x:v>78</x:v>
      </x:c>
      <x:c r="E388" s="10" t="s">
        <x:v>494</x:v>
      </x:c>
      <x:c r="F388" s="10" t="s">
        <x:v>3</x:v>
      </x:c>
      <x:c r="G388" s="10" t="s">
        <x:v>64</x:v>
      </x:c>
      <x:c r="H388" s="10" t="s">
        <x:v>64</x:v>
      </x:c>
      <x:c r="I388" s="10"/>
      <x:c r="J388" s="10"/>
      <x:c r="K388" s="10"/>
      <x:c r="L388" s="10"/>
      <x:c r="M388" s="10">
        <x:f t="shared" si="6"/>
        <x:v>0</x:v>
      </x:c>
    </x:row>
    <x:row r="389">
      <x:c r="A389" s="10">
        <x:v>388</x:v>
      </x:c>
      <x:c r="B389" s="10" t="s">
        <x:v>32</x:v>
      </x:c>
      <x:c r="C389" s="10" t="s">
        <x:v>484</x:v>
      </x:c>
      <x:c r="D389" s="10" t="s">
        <x:v>78</x:v>
      </x:c>
      <x:c r="E389" s="10" t="s">
        <x:v>495</x:v>
      </x:c>
      <x:c r="F389" s="10" t="s">
        <x:v>3</x:v>
      </x:c>
      <x:c r="G389" s="10" t="s">
        <x:v>64</x:v>
      </x:c>
      <x:c r="H389" s="10" t="s">
        <x:v>64</x:v>
      </x:c>
      <x:c r="I389" s="10"/>
      <x:c r="J389" s="10"/>
      <x:c r="K389" s="10"/>
      <x:c r="L389" s="10"/>
      <x:c r="M389" s="10">
        <x:f t="shared" si="6"/>
        <x:v>0</x:v>
      </x:c>
    </x:row>
    <x:row r="390">
      <x:c r="A390" s="10">
        <x:v>389</x:v>
      </x:c>
      <x:c r="B390" s="10" t="s">
        <x:v>32</x:v>
      </x:c>
      <x:c r="C390" s="10" t="s">
        <x:v>484</x:v>
      </x:c>
      <x:c r="D390" s="10" t="s">
        <x:v>84</x:v>
      </x:c>
      <x:c r="E390" s="10" t="s">
        <x:v>496</x:v>
      </x:c>
      <x:c r="F390" s="10" t="s">
        <x:v>3</x:v>
      </x:c>
      <x:c r="G390" s="10" t="s">
        <x:v>52</x:v>
      </x:c>
      <x:c r="H390" s="10" t="s">
        <x:v>64</x:v>
      </x:c>
      <x:c r="I390" s="10"/>
      <x:c r="J390" s="10"/>
      <x:c r="K390" s="10"/>
      <x:c r="L390" s="10"/>
      <x:c r="M390" s="10">
        <x:f t="shared" si="6"/>
        <x:v>0</x:v>
      </x:c>
    </x:row>
    <x:row r="391">
      <x:c r="A391" s="10">
        <x:v>390</x:v>
      </x:c>
      <x:c r="B391" s="10" t="s">
        <x:v>32</x:v>
      </x:c>
      <x:c r="C391" s="10" t="s">
        <x:v>484</x:v>
      </x:c>
      <x:c r="D391" s="10" t="s">
        <x:v>84</x:v>
      </x:c>
      <x:c r="E391" s="10" t="s">
        <x:v>497</x:v>
      </x:c>
      <x:c r="F391" s="10" t="s">
        <x:v>3</x:v>
      </x:c>
      <x:c r="G391" s="10" t="s">
        <x:v>52</x:v>
      </x:c>
      <x:c r="H391" s="10" t="s">
        <x:v>64</x:v>
      </x:c>
      <x:c r="I391" s="10"/>
      <x:c r="J391" s="10"/>
      <x:c r="K391" s="10"/>
      <x:c r="L391" s="10"/>
      <x:c r="M391" s="10">
        <x:f t="shared" si="6"/>
        <x:v>0</x:v>
      </x:c>
    </x:row>
    <x:row r="392">
      <x:c r="A392" s="10">
        <x:v>391</x:v>
      </x:c>
      <x:c r="B392" s="10" t="s">
        <x:v>32</x:v>
      </x:c>
      <x:c r="C392" s="10" t="s">
        <x:v>484</x:v>
      </x:c>
      <x:c r="D392" s="10" t="s">
        <x:v>84</x:v>
      </x:c>
      <x:c r="E392" s="10" t="s">
        <x:v>498</x:v>
      </x:c>
      <x:c r="F392" s="10" t="s">
        <x:v>3</x:v>
      </x:c>
      <x:c r="G392" s="10" t="s">
        <x:v>52</x:v>
      </x:c>
      <x:c r="H392" s="10" t="s">
        <x:v>64</x:v>
      </x:c>
      <x:c r="I392" s="10"/>
      <x:c r="J392" s="10"/>
      <x:c r="K392" s="10"/>
      <x:c r="L392" s="10"/>
      <x:c r="M392" s="10">
        <x:f t="shared" si="6"/>
        <x:v>0</x:v>
      </x:c>
    </x:row>
    <x:row r="393">
      <x:c r="A393" s="10">
        <x:v>392</x:v>
      </x:c>
      <x:c r="B393" s="10" t="s">
        <x:v>32</x:v>
      </x:c>
      <x:c r="C393" s="10" t="s">
        <x:v>484</x:v>
      </x:c>
      <x:c r="D393" s="10" t="s">
        <x:v>84</x:v>
      </x:c>
      <x:c r="E393" s="10" t="s">
        <x:v>499</x:v>
      </x:c>
      <x:c r="F393" s="10" t="s">
        <x:v>3</x:v>
      </x:c>
      <x:c r="G393" s="10" t="s">
        <x:v>52</x:v>
      </x:c>
      <x:c r="H393" s="10" t="s">
        <x:v>64</x:v>
      </x:c>
      <x:c r="I393" s="10"/>
      <x:c r="J393" s="10"/>
      <x:c r="K393" s="10"/>
      <x:c r="L393" s="10"/>
      <x:c r="M393" s="10">
        <x:f t="shared" si="6"/>
        <x:v>0</x:v>
      </x:c>
    </x:row>
    <x:row r="394" ht="27.600000381469727">
      <x:c r="A394" s="10">
        <x:v>393</x:v>
      </x:c>
      <x:c r="B394" s="10" t="s">
        <x:v>32</x:v>
      </x:c>
      <x:c r="C394" s="10" t="s">
        <x:v>500</x:v>
      </x:c>
      <x:c r="D394" s="10" t="s">
        <x:v>62</x:v>
      </x:c>
      <x:c r="E394" s="10" t="s">
        <x:v>501</x:v>
      </x:c>
      <x:c r="F394" s="10" t="s">
        <x:v>3</x:v>
      </x:c>
      <x:c r="G394" s="10" t="s">
        <x:v>53</x:v>
      </x:c>
      <x:c r="H394" s="10" t="s">
        <x:v>64</x:v>
      </x:c>
      <x:c r="I394" s="10"/>
      <x:c r="J394" s="10"/>
      <x:c r="K394" s="10"/>
      <x:c r="L394" s="10"/>
      <x:c r="M394" s="10">
        <x:f t="shared" si="6"/>
        <x:v>0</x:v>
      </x:c>
    </x:row>
    <x:row r="395" ht="27.600000381469727">
      <x:c r="A395" s="10">
        <x:v>394</x:v>
      </x:c>
      <x:c r="B395" s="10" t="s">
        <x:v>32</x:v>
      </x:c>
      <x:c r="C395" s="10" t="s">
        <x:v>500</x:v>
      </x:c>
      <x:c r="D395" s="10" t="s">
        <x:v>62</x:v>
      </x:c>
      <x:c r="E395" s="10" t="s">
        <x:v>502</x:v>
      </x:c>
      <x:c r="F395" s="10" t="s">
        <x:v>3</x:v>
      </x:c>
      <x:c r="G395" s="10" t="s">
        <x:v>53</x:v>
      </x:c>
      <x:c r="H395" s="10" t="s">
        <x:v>64</x:v>
      </x:c>
      <x:c r="I395" s="10"/>
      <x:c r="J395" s="10"/>
      <x:c r="K395" s="10"/>
      <x:c r="L395" s="10"/>
      <x:c r="M395" s="10">
        <x:f t="shared" si="6"/>
        <x:v>0</x:v>
      </x:c>
    </x:row>
    <x:row r="396" ht="27.600000381469727">
      <x:c r="A396" s="10">
        <x:v>395</x:v>
      </x:c>
      <x:c r="B396" s="10" t="s">
        <x:v>32</x:v>
      </x:c>
      <x:c r="C396" s="10" t="s">
        <x:v>500</x:v>
      </x:c>
      <x:c r="D396" s="10" t="s">
        <x:v>62</x:v>
      </x:c>
      <x:c r="E396" s="10" t="s">
        <x:v>503</x:v>
      </x:c>
      <x:c r="F396" s="10" t="s">
        <x:v>3</x:v>
      </x:c>
      <x:c r="G396" s="10" t="s">
        <x:v>53</x:v>
      </x:c>
      <x:c r="H396" s="10" t="s">
        <x:v>64</x:v>
      </x:c>
      <x:c r="I396" s="10"/>
      <x:c r="J396" s="10"/>
      <x:c r="K396" s="10"/>
      <x:c r="L396" s="10"/>
      <x:c r="M396" s="10">
        <x:f t="shared" si="6"/>
        <x:v>0</x:v>
      </x:c>
    </x:row>
    <x:row r="397" ht="27.600000381469727">
      <x:c r="A397" s="10">
        <x:v>396</x:v>
      </x:c>
      <x:c r="B397" s="10" t="s">
        <x:v>32</x:v>
      </x:c>
      <x:c r="C397" s="10" t="s">
        <x:v>500</x:v>
      </x:c>
      <x:c r="D397" s="10" t="s">
        <x:v>62</x:v>
      </x:c>
      <x:c r="E397" s="10" t="s">
        <x:v>504</x:v>
      </x:c>
      <x:c r="F397" s="10" t="s">
        <x:v>3</x:v>
      </x:c>
      <x:c r="G397" s="10" t="s">
        <x:v>53</x:v>
      </x:c>
      <x:c r="H397" s="10" t="s">
        <x:v>64</x:v>
      </x:c>
      <x:c r="I397" s="10"/>
      <x:c r="J397" s="10"/>
      <x:c r="K397" s="10"/>
      <x:c r="L397" s="10"/>
      <x:c r="M397" s="10">
        <x:f t="shared" si="6"/>
        <x:v>0</x:v>
      </x:c>
    </x:row>
    <x:row r="398" ht="27.600000381469727">
      <x:c r="A398" s="10">
        <x:v>397</x:v>
      </x:c>
      <x:c r="B398" s="10" t="s">
        <x:v>32</x:v>
      </x:c>
      <x:c r="C398" s="10" t="s">
        <x:v>500</x:v>
      </x:c>
      <x:c r="D398" s="10" t="s">
        <x:v>78</x:v>
      </x:c>
      <x:c r="E398" s="10" t="s">
        <x:v>505</x:v>
      </x:c>
      <x:c r="F398" s="10" t="s">
        <x:v>3</x:v>
      </x:c>
      <x:c r="G398" s="10" t="s">
        <x:v>53</x:v>
      </x:c>
      <x:c r="H398" s="10" t="s">
        <x:v>64</x:v>
      </x:c>
      <x:c r="I398" s="10"/>
      <x:c r="J398" s="10"/>
      <x:c r="K398" s="10"/>
      <x:c r="L398" s="10"/>
      <x:c r="M398" s="10">
        <x:f t="shared" si="6"/>
        <x:v>0</x:v>
      </x:c>
    </x:row>
    <x:row r="399" ht="27.600000381469727">
      <x:c r="A399" s="10">
        <x:v>398</x:v>
      </x:c>
      <x:c r="B399" s="10" t="s">
        <x:v>32</x:v>
      </x:c>
      <x:c r="C399" s="10" t="s">
        <x:v>500</x:v>
      </x:c>
      <x:c r="D399" s="10" t="s">
        <x:v>78</x:v>
      </x:c>
      <x:c r="E399" s="10" t="s">
        <x:v>506</x:v>
      </x:c>
      <x:c r="F399" s="10" t="s">
        <x:v>3</x:v>
      </x:c>
      <x:c r="G399" s="10" t="s">
        <x:v>53</x:v>
      </x:c>
      <x:c r="H399" s="10" t="s">
        <x:v>64</x:v>
      </x:c>
      <x:c r="I399" s="10"/>
      <x:c r="J399" s="10"/>
      <x:c r="K399" s="10"/>
      <x:c r="L399" s="10"/>
      <x:c r="M399" s="10">
        <x:f t="shared" si="6"/>
        <x:v>0</x:v>
      </x:c>
    </x:row>
    <x:row r="400" ht="27.600000381469727">
      <x:c r="A400" s="10">
        <x:v>399</x:v>
      </x:c>
      <x:c r="B400" s="10" t="s">
        <x:v>32</x:v>
      </x:c>
      <x:c r="C400" s="10" t="s">
        <x:v>500</x:v>
      </x:c>
      <x:c r="D400" s="10" t="s">
        <x:v>84</x:v>
      </x:c>
      <x:c r="E400" s="10" t="s">
        <x:v>507</x:v>
      </x:c>
      <x:c r="F400" s="10" t="s">
        <x:v>3</x:v>
      </x:c>
      <x:c r="G400" s="10" t="s">
        <x:v>53</x:v>
      </x:c>
      <x:c r="H400" s="10" t="s">
        <x:v>64</x:v>
      </x:c>
      <x:c r="I400" s="10"/>
      <x:c r="J400" s="10"/>
      <x:c r="K400" s="10"/>
      <x:c r="L400" s="10"/>
      <x:c r="M400" s="10">
        <x:f t="shared" si="6"/>
        <x:v>0</x:v>
      </x:c>
    </x:row>
    <x:row r="401" ht="27.600000381469727">
      <x:c r="A401" s="10">
        <x:v>400</x:v>
      </x:c>
      <x:c r="B401" s="10" t="s">
        <x:v>32</x:v>
      </x:c>
      <x:c r="C401" s="10" t="s">
        <x:v>500</x:v>
      </x:c>
      <x:c r="D401" s="10" t="s">
        <x:v>84</x:v>
      </x:c>
      <x:c r="E401" s="10" t="s">
        <x:v>508</x:v>
      </x:c>
      <x:c r="F401" s="10" t="s">
        <x:v>3</x:v>
      </x:c>
      <x:c r="G401" s="10" t="s">
        <x:v>53</x:v>
      </x:c>
      <x:c r="H401" s="10" t="s">
        <x:v>64</x:v>
      </x:c>
      <x:c r="I401" s="10"/>
      <x:c r="J401" s="10"/>
      <x:c r="K401" s="10"/>
      <x:c r="L401" s="10"/>
      <x:c r="M401" s="10">
        <x:f t="shared" si="6"/>
        <x:v>0</x:v>
      </x:c>
    </x:row>
    <x:row r="402" ht="27.600000381469727">
      <x:c r="A402" s="10">
        <x:v>401</x:v>
      </x:c>
      <x:c r="B402" s="10" t="s">
        <x:v>33</x:v>
      </x:c>
      <x:c r="C402" s="10" t="s">
        <x:v>509</x:v>
      </x:c>
      <x:c r="D402" s="10" t="s">
        <x:v>62</x:v>
      </x:c>
      <x:c r="E402" s="10" t="s">
        <x:v>510</x:v>
      </x:c>
      <x:c r="F402" s="10" t="s">
        <x:v>3</x:v>
      </x:c>
      <x:c r="G402" s="10" t="s">
        <x:v>64</x:v>
      </x:c>
      <x:c r="H402" s="10" t="s">
        <x:v>64</x:v>
      </x:c>
      <x:c r="I402" s="10"/>
      <x:c r="J402" s="10"/>
      <x:c r="K402" s="10"/>
      <x:c r="L402" s="10"/>
      <x:c r="M402" s="10">
        <x:f t="shared" si="6"/>
        <x:v>0</x:v>
      </x:c>
    </x:row>
    <x:row r="403" ht="27.600000381469727">
      <x:c r="A403" s="10">
        <x:v>402</x:v>
      </x:c>
      <x:c r="B403" s="10" t="s">
        <x:v>33</x:v>
      </x:c>
      <x:c r="C403" s="10" t="s">
        <x:v>509</x:v>
      </x:c>
      <x:c r="D403" s="10" t="s">
        <x:v>62</x:v>
      </x:c>
      <x:c r="E403" s="10" t="s">
        <x:v>511</x:v>
      </x:c>
      <x:c r="F403" s="10" t="s">
        <x:v>3</x:v>
      </x:c>
      <x:c r="G403" s="10" t="s">
        <x:v>64</x:v>
      </x:c>
      <x:c r="H403" s="10" t="s">
        <x:v>64</x:v>
      </x:c>
      <x:c r="I403" s="10"/>
      <x:c r="J403" s="10"/>
      <x:c r="K403" s="10"/>
      <x:c r="L403" s="10"/>
      <x:c r="M403" s="10">
        <x:f t="shared" si="6"/>
        <x:v>0</x:v>
      </x:c>
    </x:row>
    <x:row r="404" ht="27.600000381469727">
      <x:c r="A404" s="10">
        <x:v>403</x:v>
      </x:c>
      <x:c r="B404" s="10" t="s">
        <x:v>33</x:v>
      </x:c>
      <x:c r="C404" s="10" t="s">
        <x:v>509</x:v>
      </x:c>
      <x:c r="D404" s="10" t="s">
        <x:v>62</x:v>
      </x:c>
      <x:c r="E404" s="10" t="s">
        <x:v>512</x:v>
      </x:c>
      <x:c r="F404" s="10" t="s">
        <x:v>3</x:v>
      </x:c>
      <x:c r="G404" s="10" t="s">
        <x:v>64</x:v>
      </x:c>
      <x:c r="H404" s="10" t="s">
        <x:v>64</x:v>
      </x:c>
      <x:c r="I404" s="10"/>
      <x:c r="J404" s="10"/>
      <x:c r="K404" s="10"/>
      <x:c r="L404" s="10"/>
      <x:c r="M404" s="10">
        <x:f t="shared" si="6"/>
        <x:v>0</x:v>
      </x:c>
    </x:row>
    <x:row r="405" ht="27.600000381469727">
      <x:c r="A405" s="10">
        <x:v>404</x:v>
      </x:c>
      <x:c r="B405" s="10" t="s">
        <x:v>33</x:v>
      </x:c>
      <x:c r="C405" s="10" t="s">
        <x:v>509</x:v>
      </x:c>
      <x:c r="D405" s="10" t="s">
        <x:v>62</x:v>
      </x:c>
      <x:c r="E405" s="10" t="s">
        <x:v>513</x:v>
      </x:c>
      <x:c r="F405" s="10" t="s">
        <x:v>3</x:v>
      </x:c>
      <x:c r="G405" s="10" t="s">
        <x:v>52</x:v>
      </x:c>
      <x:c r="H405" s="10" t="s">
        <x:v>64</x:v>
      </x:c>
      <x:c r="I405" s="10"/>
      <x:c r="J405" s="10"/>
      <x:c r="K405" s="10"/>
      <x:c r="L405" s="10"/>
      <x:c r="M405" s="10">
        <x:f t="shared" si="6"/>
        <x:v>0</x:v>
      </x:c>
    </x:row>
    <x:row r="406" ht="27.600000381469727">
      <x:c r="A406" s="10">
        <x:v>405</x:v>
      </x:c>
      <x:c r="B406" s="10" t="s">
        <x:v>33</x:v>
      </x:c>
      <x:c r="C406" s="10" t="s">
        <x:v>509</x:v>
      </x:c>
      <x:c r="D406" s="10" t="s">
        <x:v>62</x:v>
      </x:c>
      <x:c r="E406" s="10" t="s">
        <x:v>514</x:v>
      </x:c>
      <x:c r="F406" s="10" t="s">
        <x:v>3</x:v>
      </x:c>
      <x:c r="G406" s="10" t="s">
        <x:v>64</x:v>
      </x:c>
      <x:c r="H406" s="10" t="s">
        <x:v>64</x:v>
      </x:c>
      <x:c r="I406" s="10"/>
      <x:c r="J406" s="10"/>
      <x:c r="K406" s="10"/>
      <x:c r="L406" s="10"/>
      <x:c r="M406" s="10">
        <x:f t="shared" si="6"/>
        <x:v>0</x:v>
      </x:c>
    </x:row>
    <x:row r="407" ht="27.600000381469727">
      <x:c r="A407" s="10">
        <x:v>406</x:v>
      </x:c>
      <x:c r="B407" s="10" t="s">
        <x:v>33</x:v>
      </x:c>
      <x:c r="C407" s="10" t="s">
        <x:v>509</x:v>
      </x:c>
      <x:c r="D407" s="10" t="s">
        <x:v>62</x:v>
      </x:c>
      <x:c r="E407" s="10" t="s">
        <x:v>515</x:v>
      </x:c>
      <x:c r="F407" s="10" t="s">
        <x:v>3</x:v>
      </x:c>
      <x:c r="G407" s="10" t="s">
        <x:v>64</x:v>
      </x:c>
      <x:c r="H407" s="10" t="s">
        <x:v>64</x:v>
      </x:c>
      <x:c r="I407" s="10"/>
      <x:c r="J407" s="10"/>
      <x:c r="K407" s="10"/>
      <x:c r="L407" s="10"/>
      <x:c r="M407" s="10">
        <x:f t="shared" si="6"/>
        <x:v>0</x:v>
      </x:c>
    </x:row>
    <x:row r="408" ht="27.600000381469727">
      <x:c r="A408" s="10">
        <x:v>407</x:v>
      </x:c>
      <x:c r="B408" s="10" t="s">
        <x:v>33</x:v>
      </x:c>
      <x:c r="C408" s="10" t="s">
        <x:v>509</x:v>
      </x:c>
      <x:c r="D408" s="10" t="s">
        <x:v>62</x:v>
      </x:c>
      <x:c r="E408" s="10" t="s">
        <x:v>516</x:v>
      </x:c>
      <x:c r="F408" s="10" t="s">
        <x:v>3</x:v>
      </x:c>
      <x:c r="G408" s="10" t="s">
        <x:v>52</x:v>
      </x:c>
      <x:c r="H408" s="10" t="s">
        <x:v>64</x:v>
      </x:c>
      <x:c r="I408" s="10"/>
      <x:c r="J408" s="10"/>
      <x:c r="K408" s="10"/>
      <x:c r="L408" s="10"/>
      <x:c r="M408" s="10">
        <x:f t="shared" si="6"/>
        <x:v>0</x:v>
      </x:c>
    </x:row>
    <x:row r="409" ht="27.600000381469727">
      <x:c r="A409" s="10">
        <x:v>408</x:v>
      </x:c>
      <x:c r="B409" s="10" t="s">
        <x:v>33</x:v>
      </x:c>
      <x:c r="C409" s="10" t="s">
        <x:v>509</x:v>
      </x:c>
      <x:c r="D409" s="10" t="s">
        <x:v>62</x:v>
      </x:c>
      <x:c r="E409" s="10" t="s">
        <x:v>517</x:v>
      </x:c>
      <x:c r="F409" s="10" t="s">
        <x:v>3</x:v>
      </x:c>
      <x:c r="G409" s="10" t="s">
        <x:v>64</x:v>
      </x:c>
      <x:c r="H409" s="10" t="s">
        <x:v>64</x:v>
      </x:c>
      <x:c r="I409" s="10"/>
      <x:c r="J409" s="10"/>
      <x:c r="K409" s="10"/>
      <x:c r="L409" s="10"/>
      <x:c r="M409" s="10">
        <x:f t="shared" si="6"/>
        <x:v>0</x:v>
      </x:c>
    </x:row>
    <x:row r="410" ht="27.600000381469727">
      <x:c r="A410" s="10">
        <x:v>409</x:v>
      </x:c>
      <x:c r="B410" s="10" t="s">
        <x:v>33</x:v>
      </x:c>
      <x:c r="C410" s="10" t="s">
        <x:v>509</x:v>
      </x:c>
      <x:c r="D410" s="10" t="s">
        <x:v>78</x:v>
      </x:c>
      <x:c r="E410" s="10" t="s">
        <x:v>457</x:v>
      </x:c>
      <x:c r="F410" s="10" t="s">
        <x:v>3</x:v>
      </x:c>
      <x:c r="G410" s="10" t="s">
        <x:v>64</x:v>
      </x:c>
      <x:c r="H410" s="10" t="s">
        <x:v>64</x:v>
      </x:c>
      <x:c r="I410" s="10"/>
      <x:c r="J410" s="10"/>
      <x:c r="K410" s="10"/>
      <x:c r="L410" s="10"/>
      <x:c r="M410" s="10">
        <x:f t="shared" si="6"/>
        <x:v>0</x:v>
      </x:c>
    </x:row>
    <x:row r="411" ht="27.600000381469727">
      <x:c r="A411" s="10">
        <x:v>410</x:v>
      </x:c>
      <x:c r="B411" s="10" t="s">
        <x:v>33</x:v>
      </x:c>
      <x:c r="C411" s="10" t="s">
        <x:v>509</x:v>
      </x:c>
      <x:c r="D411" s="10" t="s">
        <x:v>78</x:v>
      </x:c>
      <x:c r="E411" s="10" t="s">
        <x:v>518</x:v>
      </x:c>
      <x:c r="F411" s="10" t="s">
        <x:v>3</x:v>
      </x:c>
      <x:c r="G411" s="10" t="s">
        <x:v>64</x:v>
      </x:c>
      <x:c r="H411" s="10" t="s">
        <x:v>64</x:v>
      </x:c>
      <x:c r="I411" s="10"/>
      <x:c r="J411" s="10"/>
      <x:c r="K411" s="10"/>
      <x:c r="L411" s="10"/>
      <x:c r="M411" s="10">
        <x:f t="shared" si="6"/>
        <x:v>0</x:v>
      </x:c>
    </x:row>
    <x:row r="412" ht="27.600000381469727">
      <x:c r="A412" s="10">
        <x:v>411</x:v>
      </x:c>
      <x:c r="B412" s="10" t="s">
        <x:v>33</x:v>
      </x:c>
      <x:c r="C412" s="10" t="s">
        <x:v>509</x:v>
      </x:c>
      <x:c r="D412" s="10" t="s">
        <x:v>84</x:v>
      </x:c>
      <x:c r="E412" s="10" t="s">
        <x:v>519</x:v>
      </x:c>
      <x:c r="F412" s="10" t="s">
        <x:v>3</x:v>
      </x:c>
      <x:c r="G412" s="10" t="s">
        <x:v>52</x:v>
      </x:c>
      <x:c r="H412" s="10" t="s">
        <x:v>64</x:v>
      </x:c>
      <x:c r="I412" s="10"/>
      <x:c r="J412" s="10"/>
      <x:c r="K412" s="10"/>
      <x:c r="L412" s="10"/>
      <x:c r="M412" s="10">
        <x:f t="shared" si="6"/>
        <x:v>0</x:v>
      </x:c>
    </x:row>
    <x:row r="413" ht="27.600000381469727">
      <x:c r="A413" s="10">
        <x:v>412</x:v>
      </x:c>
      <x:c r="B413" s="10" t="s">
        <x:v>33</x:v>
      </x:c>
      <x:c r="C413" s="10" t="s">
        <x:v>509</x:v>
      </x:c>
      <x:c r="D413" s="10" t="s">
        <x:v>84</x:v>
      </x:c>
      <x:c r="E413" s="10" t="s">
        <x:v>520</x:v>
      </x:c>
      <x:c r="F413" s="10" t="s">
        <x:v>3</x:v>
      </x:c>
      <x:c r="G413" s="10" t="s">
        <x:v>52</x:v>
      </x:c>
      <x:c r="H413" s="10" t="s">
        <x:v>64</x:v>
      </x:c>
      <x:c r="I413" s="10"/>
      <x:c r="J413" s="10"/>
      <x:c r="K413" s="10"/>
      <x:c r="L413" s="10"/>
      <x:c r="M413" s="10">
        <x:f t="shared" si="6"/>
        <x:v>0</x:v>
      </x:c>
    </x:row>
    <x:row r="414" ht="27.600000381469727">
      <x:c r="A414" s="10">
        <x:v>413</x:v>
      </x:c>
      <x:c r="B414" s="10" t="s">
        <x:v>33</x:v>
      </x:c>
      <x:c r="C414" s="10" t="s">
        <x:v>509</x:v>
      </x:c>
      <x:c r="D414" s="10" t="s">
        <x:v>84</x:v>
      </x:c>
      <x:c r="E414" s="10" t="s">
        <x:v>521</x:v>
      </x:c>
      <x:c r="F414" s="10" t="s">
        <x:v>3</x:v>
      </x:c>
      <x:c r="G414" s="10" t="s">
        <x:v>52</x:v>
      </x:c>
      <x:c r="H414" s="10" t="s">
        <x:v>64</x:v>
      </x:c>
      <x:c r="I414" s="10"/>
      <x:c r="J414" s="10"/>
      <x:c r="K414" s="10"/>
      <x:c r="L414" s="10"/>
      <x:c r="M414" s="10">
        <x:f t="shared" si="6"/>
        <x:v>0</x:v>
      </x:c>
    </x:row>
    <x:row r="415" ht="27.600000381469727">
      <x:c r="A415" s="10">
        <x:v>414</x:v>
      </x:c>
      <x:c r="B415" s="10" t="s">
        <x:v>33</x:v>
      </x:c>
      <x:c r="C415" s="10" t="s">
        <x:v>509</x:v>
      </x:c>
      <x:c r="D415" s="10" t="s">
        <x:v>84</x:v>
      </x:c>
      <x:c r="E415" s="10" t="s">
        <x:v>522</x:v>
      </x:c>
      <x:c r="F415" s="10" t="s">
        <x:v>3</x:v>
      </x:c>
      <x:c r="G415" s="10" t="s">
        <x:v>52</x:v>
      </x:c>
      <x:c r="H415" s="10" t="s">
        <x:v>64</x:v>
      </x:c>
      <x:c r="I415" s="10"/>
      <x:c r="J415" s="10"/>
      <x:c r="K415" s="10"/>
      <x:c r="L415" s="10"/>
      <x:c r="M415" s="10">
        <x:f t="shared" si="6"/>
        <x:v>0</x:v>
      </x:c>
    </x:row>
    <x:row r="416" ht="27.600000381469727">
      <x:c r="A416" s="10">
        <x:v>415</x:v>
      </x:c>
      <x:c r="B416" s="10" t="s">
        <x:v>33</x:v>
      </x:c>
      <x:c r="C416" s="10" t="s">
        <x:v>523</x:v>
      </x:c>
      <x:c r="D416" s="10" t="s">
        <x:v>62</x:v>
      </x:c>
      <x:c r="E416" s="10" t="s">
        <x:v>524</x:v>
      </x:c>
      <x:c r="F416" s="10" t="s">
        <x:v>3</x:v>
      </x:c>
      <x:c r="G416" s="10" t="s">
        <x:v>64</x:v>
      </x:c>
      <x:c r="H416" s="10" t="s">
        <x:v>64</x:v>
      </x:c>
      <x:c r="I416" s="10"/>
      <x:c r="J416" s="10"/>
      <x:c r="K416" s="10"/>
      <x:c r="L416" s="10"/>
      <x:c r="M416" s="10">
        <x:f t="shared" si="6"/>
        <x:v>0</x:v>
      </x:c>
    </x:row>
    <x:row r="417" ht="27.600000381469727">
      <x:c r="A417" s="10">
        <x:v>416</x:v>
      </x:c>
      <x:c r="B417" s="10" t="s">
        <x:v>33</x:v>
      </x:c>
      <x:c r="C417" s="10" t="s">
        <x:v>523</x:v>
      </x:c>
      <x:c r="D417" s="10" t="s">
        <x:v>62</x:v>
      </x:c>
      <x:c r="E417" s="10" t="s">
        <x:v>525</x:v>
      </x:c>
      <x:c r="F417" s="10" t="s">
        <x:v>3</x:v>
      </x:c>
      <x:c r="G417" s="10" t="s">
        <x:v>52</x:v>
      </x:c>
      <x:c r="H417" s="10" t="s">
        <x:v>64</x:v>
      </x:c>
      <x:c r="I417" s="10"/>
      <x:c r="J417" s="10"/>
      <x:c r="K417" s="10"/>
      <x:c r="L417" s="10"/>
      <x:c r="M417" s="10">
        <x:f t="shared" si="6"/>
        <x:v>0</x:v>
      </x:c>
    </x:row>
    <x:row r="418" ht="27.600000381469727">
      <x:c r="A418" s="10">
        <x:v>417</x:v>
      </x:c>
      <x:c r="B418" s="10" t="s">
        <x:v>33</x:v>
      </x:c>
      <x:c r="C418" s="10" t="s">
        <x:v>523</x:v>
      </x:c>
      <x:c r="D418" s="10" t="s">
        <x:v>62</x:v>
      </x:c>
      <x:c r="E418" s="10" t="s">
        <x:v>526</x:v>
      </x:c>
      <x:c r="F418" s="10" t="s">
        <x:v>3</x:v>
      </x:c>
      <x:c r="G418" s="10" t="s">
        <x:v>64</x:v>
      </x:c>
      <x:c r="H418" s="10" t="s">
        <x:v>64</x:v>
      </x:c>
      <x:c r="I418" s="10"/>
      <x:c r="J418" s="10"/>
      <x:c r="K418" s="10"/>
      <x:c r="L418" s="10"/>
      <x:c r="M418" s="10">
        <x:f t="shared" si="6"/>
        <x:v>0</x:v>
      </x:c>
    </x:row>
    <x:row r="419" ht="27.600000381469727">
      <x:c r="A419" s="10">
        <x:v>418</x:v>
      </x:c>
      <x:c r="B419" s="10" t="s">
        <x:v>33</x:v>
      </x:c>
      <x:c r="C419" s="10" t="s">
        <x:v>523</x:v>
      </x:c>
      <x:c r="D419" s="10" t="s">
        <x:v>62</x:v>
      </x:c>
      <x:c r="E419" s="10" t="s">
        <x:v>527</x:v>
      </x:c>
      <x:c r="F419" s="10" t="s">
        <x:v>3</x:v>
      </x:c>
      <x:c r="G419" s="10" t="s">
        <x:v>64</x:v>
      </x:c>
      <x:c r="H419" s="10" t="s">
        <x:v>64</x:v>
      </x:c>
      <x:c r="I419" s="10"/>
      <x:c r="J419" s="10"/>
      <x:c r="K419" s="10"/>
      <x:c r="L419" s="10"/>
      <x:c r="M419" s="10">
        <x:f t="shared" si="6"/>
        <x:v>0</x:v>
      </x:c>
    </x:row>
    <x:row r="420" ht="27.600000381469727">
      <x:c r="A420" s="10">
        <x:v>419</x:v>
      </x:c>
      <x:c r="B420" s="10" t="s">
        <x:v>33</x:v>
      </x:c>
      <x:c r="C420" s="10" t="s">
        <x:v>523</x:v>
      </x:c>
      <x:c r="D420" s="10" t="s">
        <x:v>62</x:v>
      </x:c>
      <x:c r="E420" s="10" t="s">
        <x:v>528</x:v>
      </x:c>
      <x:c r="F420" s="10" t="s">
        <x:v>3</x:v>
      </x:c>
      <x:c r="G420" s="10" t="s">
        <x:v>64</x:v>
      </x:c>
      <x:c r="H420" s="10" t="s">
        <x:v>64</x:v>
      </x:c>
      <x:c r="I420" s="10"/>
      <x:c r="J420" s="10"/>
      <x:c r="K420" s="10"/>
      <x:c r="L420" s="10"/>
      <x:c r="M420" s="10">
        <x:f t="shared" si="6"/>
        <x:v>0</x:v>
      </x:c>
    </x:row>
    <x:row r="421" ht="27.600000381469727">
      <x:c r="A421" s="10">
        <x:v>420</x:v>
      </x:c>
      <x:c r="B421" s="10" t="s">
        <x:v>33</x:v>
      </x:c>
      <x:c r="C421" s="10" t="s">
        <x:v>523</x:v>
      </x:c>
      <x:c r="D421" s="10" t="s">
        <x:v>62</x:v>
      </x:c>
      <x:c r="E421" s="10" t="s">
        <x:v>529</x:v>
      </x:c>
      <x:c r="F421" s="10" t="s">
        <x:v>3</x:v>
      </x:c>
      <x:c r="G421" s="10" t="s">
        <x:v>64</x:v>
      </x:c>
      <x:c r="H421" s="10" t="s">
        <x:v>64</x:v>
      </x:c>
      <x:c r="I421" s="10"/>
      <x:c r="J421" s="10"/>
      <x:c r="K421" s="10"/>
      <x:c r="L421" s="10"/>
      <x:c r="M421" s="10">
        <x:f t="shared" si="6"/>
        <x:v>0</x:v>
      </x:c>
    </x:row>
    <x:row r="422" ht="27.600000381469727">
      <x:c r="A422" s="10">
        <x:v>421</x:v>
      </x:c>
      <x:c r="B422" s="10" t="s">
        <x:v>33</x:v>
      </x:c>
      <x:c r="C422" s="10" t="s">
        <x:v>523</x:v>
      </x:c>
      <x:c r="D422" s="10" t="s">
        <x:v>62</x:v>
      </x:c>
      <x:c r="E422" s="10" t="s">
        <x:v>530</x:v>
      </x:c>
      <x:c r="F422" s="10" t="s">
        <x:v>3</x:v>
      </x:c>
      <x:c r="G422" s="10" t="s">
        <x:v>52</x:v>
      </x:c>
      <x:c r="H422" s="10" t="s">
        <x:v>64</x:v>
      </x:c>
      <x:c r="I422" s="10"/>
      <x:c r="J422" s="10"/>
      <x:c r="K422" s="10"/>
      <x:c r="L422" s="10"/>
      <x:c r="M422" s="10">
        <x:f t="shared" si="6"/>
        <x:v>0</x:v>
      </x:c>
    </x:row>
    <x:row r="423" ht="27.600000381469727">
      <x:c r="A423" s="10">
        <x:v>422</x:v>
      </x:c>
      <x:c r="B423" s="10" t="s">
        <x:v>33</x:v>
      </x:c>
      <x:c r="C423" s="10" t="s">
        <x:v>523</x:v>
      </x:c>
      <x:c r="D423" s="10" t="s">
        <x:v>62</x:v>
      </x:c>
      <x:c r="E423" s="10" t="s">
        <x:v>531</x:v>
      </x:c>
      <x:c r="F423" s="10" t="s">
        <x:v>3</x:v>
      </x:c>
      <x:c r="G423" s="10" t="s">
        <x:v>64</x:v>
      </x:c>
      <x:c r="H423" s="10" t="s">
        <x:v>64</x:v>
      </x:c>
      <x:c r="I423" s="10"/>
      <x:c r="J423" s="10"/>
      <x:c r="K423" s="10"/>
      <x:c r="L423" s="10"/>
      <x:c r="M423" s="10">
        <x:f t="shared" si="6"/>
        <x:v>0</x:v>
      </x:c>
    </x:row>
    <x:row r="424" ht="27.600000381469727">
      <x:c r="A424" s="10">
        <x:v>423</x:v>
      </x:c>
      <x:c r="B424" s="10" t="s">
        <x:v>33</x:v>
      </x:c>
      <x:c r="C424" s="10" t="s">
        <x:v>523</x:v>
      </x:c>
      <x:c r="D424" s="10" t="s">
        <x:v>78</x:v>
      </x:c>
      <x:c r="E424" s="10" t="s">
        <x:v>532</x:v>
      </x:c>
      <x:c r="F424" s="10" t="s">
        <x:v>3</x:v>
      </x:c>
      <x:c r="G424" s="10" t="s">
        <x:v>64</x:v>
      </x:c>
      <x:c r="H424" s="10" t="s">
        <x:v>64</x:v>
      </x:c>
      <x:c r="I424" s="10"/>
      <x:c r="J424" s="10"/>
      <x:c r="K424" s="10"/>
      <x:c r="L424" s="10"/>
      <x:c r="M424" s="10">
        <x:f t="shared" si="6"/>
        <x:v>0</x:v>
      </x:c>
    </x:row>
    <x:row r="425" ht="27.600000381469727">
      <x:c r="A425" s="10">
        <x:v>424</x:v>
      </x:c>
      <x:c r="B425" s="10" t="s">
        <x:v>33</x:v>
      </x:c>
      <x:c r="C425" s="10" t="s">
        <x:v>523</x:v>
      </x:c>
      <x:c r="D425" s="10" t="s">
        <x:v>78</x:v>
      </x:c>
      <x:c r="E425" s="10" t="s">
        <x:v>533</x:v>
      </x:c>
      <x:c r="F425" s="10" t="s">
        <x:v>3</x:v>
      </x:c>
      <x:c r="G425" s="10" t="s">
        <x:v>64</x:v>
      </x:c>
      <x:c r="H425" s="10" t="s">
        <x:v>64</x:v>
      </x:c>
      <x:c r="I425" s="10"/>
      <x:c r="J425" s="10"/>
      <x:c r="K425" s="10"/>
      <x:c r="L425" s="10"/>
      <x:c r="M425" s="10">
        <x:f t="shared" si="6"/>
        <x:v>0</x:v>
      </x:c>
    </x:row>
    <x:row r="426" ht="27.600000381469727">
      <x:c r="A426" s="10">
        <x:v>425</x:v>
      </x:c>
      <x:c r="B426" s="10" t="s">
        <x:v>33</x:v>
      </x:c>
      <x:c r="C426" s="10" t="s">
        <x:v>523</x:v>
      </x:c>
      <x:c r="D426" s="10" t="s">
        <x:v>78</x:v>
      </x:c>
      <x:c r="E426" s="10" t="s">
        <x:v>534</x:v>
      </x:c>
      <x:c r="F426" s="10" t="s">
        <x:v>3</x:v>
      </x:c>
      <x:c r="G426" s="10" t="s">
        <x:v>64</x:v>
      </x:c>
      <x:c r="H426" s="10" t="s">
        <x:v>64</x:v>
      </x:c>
      <x:c r="I426" s="10"/>
      <x:c r="J426" s="10"/>
      <x:c r="K426" s="10"/>
      <x:c r="L426" s="10"/>
      <x:c r="M426" s="10">
        <x:f t="shared" si="6"/>
        <x:v>0</x:v>
      </x:c>
    </x:row>
    <x:row r="427" ht="27.600000381469727">
      <x:c r="A427" s="10">
        <x:v>426</x:v>
      </x:c>
      <x:c r="B427" s="10" t="s">
        <x:v>33</x:v>
      </x:c>
      <x:c r="C427" s="10" t="s">
        <x:v>523</x:v>
      </x:c>
      <x:c r="D427" s="10" t="s">
        <x:v>84</x:v>
      </x:c>
      <x:c r="E427" s="10" t="s">
        <x:v>535</x:v>
      </x:c>
      <x:c r="F427" s="10" t="s">
        <x:v>3</x:v>
      </x:c>
      <x:c r="G427" s="10" t="s">
        <x:v>52</x:v>
      </x:c>
      <x:c r="H427" s="10" t="s">
        <x:v>64</x:v>
      </x:c>
      <x:c r="I427" s="10"/>
      <x:c r="J427" s="10"/>
      <x:c r="K427" s="10"/>
      <x:c r="L427" s="10"/>
      <x:c r="M427" s="10">
        <x:f t="shared" si="6"/>
        <x:v>0</x:v>
      </x:c>
    </x:row>
    <x:row r="428" ht="27.600000381469727">
      <x:c r="A428" s="10">
        <x:v>427</x:v>
      </x:c>
      <x:c r="B428" s="10" t="s">
        <x:v>33</x:v>
      </x:c>
      <x:c r="C428" s="10" t="s">
        <x:v>523</x:v>
      </x:c>
      <x:c r="D428" s="10" t="s">
        <x:v>84</x:v>
      </x:c>
      <x:c r="E428" s="10" t="s">
        <x:v>536</x:v>
      </x:c>
      <x:c r="F428" s="10" t="s">
        <x:v>3</x:v>
      </x:c>
      <x:c r="G428" s="10" t="s">
        <x:v>52</x:v>
      </x:c>
      <x:c r="H428" s="10" t="s">
        <x:v>64</x:v>
      </x:c>
      <x:c r="I428" s="10"/>
      <x:c r="J428" s="10"/>
      <x:c r="K428" s="10"/>
      <x:c r="L428" s="10"/>
      <x:c r="M428" s="10">
        <x:f t="shared" si="6"/>
        <x:v>0</x:v>
      </x:c>
    </x:row>
    <x:row r="429" ht="27.600000381469727">
      <x:c r="A429" s="10">
        <x:v>428</x:v>
      </x:c>
      <x:c r="B429" s="10" t="s">
        <x:v>33</x:v>
      </x:c>
      <x:c r="C429" s="10" t="s">
        <x:v>523</x:v>
      </x:c>
      <x:c r="D429" s="10" t="s">
        <x:v>84</x:v>
      </x:c>
      <x:c r="E429" s="10" t="s">
        <x:v>537</x:v>
      </x:c>
      <x:c r="F429" s="10" t="s">
        <x:v>3</x:v>
      </x:c>
      <x:c r="G429" s="10" t="s">
        <x:v>52</x:v>
      </x:c>
      <x:c r="H429" s="10" t="s">
        <x:v>64</x:v>
      </x:c>
      <x:c r="I429" s="10"/>
      <x:c r="J429" s="10"/>
      <x:c r="K429" s="10"/>
      <x:c r="L429" s="10"/>
      <x:c r="M429" s="10">
        <x:f t="shared" si="6"/>
        <x:v>0</x:v>
      </x:c>
    </x:row>
    <x:row r="430" ht="27.600000381469727">
      <x:c r="A430" s="10">
        <x:v>429</x:v>
      </x:c>
      <x:c r="B430" s="10" t="s">
        <x:v>33</x:v>
      </x:c>
      <x:c r="C430" s="10" t="s">
        <x:v>523</x:v>
      </x:c>
      <x:c r="D430" s="10" t="s">
        <x:v>84</x:v>
      </x:c>
      <x:c r="E430" s="10" t="s">
        <x:v>538</x:v>
      </x:c>
      <x:c r="F430" s="10" t="s">
        <x:v>3</x:v>
      </x:c>
      <x:c r="G430" s="10" t="s">
        <x:v>52</x:v>
      </x:c>
      <x:c r="H430" s="10" t="s">
        <x:v>64</x:v>
      </x:c>
      <x:c r="I430" s="10"/>
      <x:c r="J430" s="10"/>
      <x:c r="K430" s="10"/>
      <x:c r="L430" s="10"/>
      <x:c r="M430" s="10">
        <x:f t="shared" si="6"/>
        <x:v>0</x:v>
      </x:c>
    </x:row>
    <x:row r="431" ht="27.600000381469727">
      <x:c r="A431" s="10">
        <x:v>430</x:v>
      </x:c>
      <x:c r="B431" s="10" t="s">
        <x:v>33</x:v>
      </x:c>
      <x:c r="C431" s="10" t="s">
        <x:v>539</x:v>
      </x:c>
      <x:c r="D431" s="10" t="s">
        <x:v>62</x:v>
      </x:c>
      <x:c r="E431" s="10" t="s">
        <x:v>540</x:v>
      </x:c>
      <x:c r="F431" s="10" t="s">
        <x:v>3</x:v>
      </x:c>
      <x:c r="G431" s="10" t="s">
        <x:v>64</x:v>
      </x:c>
      <x:c r="H431" s="10" t="s">
        <x:v>64</x:v>
      </x:c>
      <x:c r="I431" s="10"/>
      <x:c r="J431" s="10"/>
      <x:c r="K431" s="10"/>
      <x:c r="L431" s="10"/>
      <x:c r="M431" s="10">
        <x:f t="shared" si="6"/>
        <x:v>0</x:v>
      </x:c>
    </x:row>
    <x:row r="432" ht="27.600000381469727">
      <x:c r="A432" s="10">
        <x:v>431</x:v>
      </x:c>
      <x:c r="B432" s="10" t="s">
        <x:v>33</x:v>
      </x:c>
      <x:c r="C432" s="10" t="s">
        <x:v>539</x:v>
      </x:c>
      <x:c r="D432" s="10" t="s">
        <x:v>62</x:v>
      </x:c>
      <x:c r="E432" s="10" t="s">
        <x:v>541</x:v>
      </x:c>
      <x:c r="F432" s="10" t="s">
        <x:v>3</x:v>
      </x:c>
      <x:c r="G432" s="10" t="s">
        <x:v>64</x:v>
      </x:c>
      <x:c r="H432" s="10" t="s">
        <x:v>64</x:v>
      </x:c>
      <x:c r="I432" s="10"/>
      <x:c r="J432" s="10"/>
      <x:c r="K432" s="10"/>
      <x:c r="L432" s="10"/>
      <x:c r="M432" s="10">
        <x:f t="shared" si="6"/>
        <x:v>0</x:v>
      </x:c>
    </x:row>
    <x:row r="433" ht="27.600000381469727">
      <x:c r="A433" s="10">
        <x:v>432</x:v>
      </x:c>
      <x:c r="B433" s="10" t="s">
        <x:v>33</x:v>
      </x:c>
      <x:c r="C433" s="10" t="s">
        <x:v>539</x:v>
      </x:c>
      <x:c r="D433" s="10" t="s">
        <x:v>62</x:v>
      </x:c>
      <x:c r="E433" s="10" t="s">
        <x:v>542</x:v>
      </x:c>
      <x:c r="F433" s="10" t="s">
        <x:v>3</x:v>
      </x:c>
      <x:c r="G433" s="10" t="s">
        <x:v>64</x:v>
      </x:c>
      <x:c r="H433" s="10" t="s">
        <x:v>64</x:v>
      </x:c>
      <x:c r="I433" s="10"/>
      <x:c r="J433" s="10"/>
      <x:c r="K433" s="10"/>
      <x:c r="L433" s="10"/>
      <x:c r="M433" s="10">
        <x:f t="shared" si="6"/>
        <x:v>0</x:v>
      </x:c>
    </x:row>
    <x:row r="434" ht="27.600000381469727">
      <x:c r="A434" s="10">
        <x:v>433</x:v>
      </x:c>
      <x:c r="B434" s="10" t="s">
        <x:v>33</x:v>
      </x:c>
      <x:c r="C434" s="10" t="s">
        <x:v>539</x:v>
      </x:c>
      <x:c r="D434" s="10" t="s">
        <x:v>62</x:v>
      </x:c>
      <x:c r="E434" s="10" t="s">
        <x:v>543</x:v>
      </x:c>
      <x:c r="F434" s="10" t="s">
        <x:v>3</x:v>
      </x:c>
      <x:c r="G434" s="10" t="s">
        <x:v>64</x:v>
      </x:c>
      <x:c r="H434" s="10" t="s">
        <x:v>64</x:v>
      </x:c>
      <x:c r="I434" s="10"/>
      <x:c r="J434" s="10"/>
      <x:c r="K434" s="10"/>
      <x:c r="L434" s="10"/>
      <x:c r="M434" s="10">
        <x:f t="shared" si="6"/>
        <x:v>0</x:v>
      </x:c>
    </x:row>
    <x:row r="435" ht="27.600000381469727">
      <x:c r="A435" s="10">
        <x:v>434</x:v>
      </x:c>
      <x:c r="B435" s="10" t="s">
        <x:v>33</x:v>
      </x:c>
      <x:c r="C435" s="10" t="s">
        <x:v>539</x:v>
      </x:c>
      <x:c r="D435" s="10" t="s">
        <x:v>62</x:v>
      </x:c>
      <x:c r="E435" s="10" t="s">
        <x:v>544</x:v>
      </x:c>
      <x:c r="F435" s="10" t="s">
        <x:v>3</x:v>
      </x:c>
      <x:c r="G435" s="10" t="s">
        <x:v>64</x:v>
      </x:c>
      <x:c r="H435" s="10" t="s">
        <x:v>64</x:v>
      </x:c>
      <x:c r="I435" s="10"/>
      <x:c r="J435" s="10"/>
      <x:c r="K435" s="10"/>
      <x:c r="L435" s="10"/>
      <x:c r="M435" s="10">
        <x:f t="shared" si="6"/>
        <x:v>0</x:v>
      </x:c>
    </x:row>
    <x:row r="436" ht="27.600000381469727">
      <x:c r="A436" s="10">
        <x:v>435</x:v>
      </x:c>
      <x:c r="B436" s="10" t="s">
        <x:v>33</x:v>
      </x:c>
      <x:c r="C436" s="10" t="s">
        <x:v>539</x:v>
      </x:c>
      <x:c r="D436" s="10" t="s">
        <x:v>62</x:v>
      </x:c>
      <x:c r="E436" s="10" t="s">
        <x:v>545</x:v>
      </x:c>
      <x:c r="F436" s="10" t="s">
        <x:v>3</x:v>
      </x:c>
      <x:c r="G436" s="10" t="s">
        <x:v>64</x:v>
      </x:c>
      <x:c r="H436" s="10" t="s">
        <x:v>64</x:v>
      </x:c>
      <x:c r="I436" s="10"/>
      <x:c r="J436" s="10"/>
      <x:c r="K436" s="10"/>
      <x:c r="L436" s="10"/>
      <x:c r="M436" s="10">
        <x:f t="shared" si="6"/>
        <x:v>0</x:v>
      </x:c>
    </x:row>
    <x:row r="437" ht="27.600000381469727">
      <x:c r="A437" s="10">
        <x:v>436</x:v>
      </x:c>
      <x:c r="B437" s="10" t="s">
        <x:v>33</x:v>
      </x:c>
      <x:c r="C437" s="10" t="s">
        <x:v>539</x:v>
      </x:c>
      <x:c r="D437" s="10" t="s">
        <x:v>62</x:v>
      </x:c>
      <x:c r="E437" s="10" t="s">
        <x:v>546</x:v>
      </x:c>
      <x:c r="F437" s="10" t="s">
        <x:v>3</x:v>
      </x:c>
      <x:c r="G437" s="10" t="s">
        <x:v>64</x:v>
      </x:c>
      <x:c r="H437" s="10" t="s">
        <x:v>64</x:v>
      </x:c>
      <x:c r="I437" s="10"/>
      <x:c r="J437" s="10"/>
      <x:c r="K437" s="10"/>
      <x:c r="L437" s="10"/>
      <x:c r="M437" s="10">
        <x:f t="shared" si="6"/>
        <x:v>0</x:v>
      </x:c>
    </x:row>
    <x:row r="438" ht="27.600000381469727">
      <x:c r="A438" s="10">
        <x:v>437</x:v>
      </x:c>
      <x:c r="B438" s="10" t="s">
        <x:v>33</x:v>
      </x:c>
      <x:c r="C438" s="10" t="s">
        <x:v>539</x:v>
      </x:c>
      <x:c r="D438" s="10" t="s">
        <x:v>78</x:v>
      </x:c>
      <x:c r="E438" s="10" t="s">
        <x:v>547</x:v>
      </x:c>
      <x:c r="F438" s="10" t="s">
        <x:v>3</x:v>
      </x:c>
      <x:c r="G438" s="10" t="s">
        <x:v>64</x:v>
      </x:c>
      <x:c r="H438" s="10" t="s">
        <x:v>64</x:v>
      </x:c>
      <x:c r="I438" s="10"/>
      <x:c r="J438" s="10"/>
      <x:c r="K438" s="10"/>
      <x:c r="L438" s="10"/>
      <x:c r="M438" s="10">
        <x:f t="shared" si="6"/>
        <x:v>0</x:v>
      </x:c>
    </x:row>
    <x:row r="439" ht="27.600000381469727">
      <x:c r="A439" s="10">
        <x:v>438</x:v>
      </x:c>
      <x:c r="B439" s="10" t="s">
        <x:v>33</x:v>
      </x:c>
      <x:c r="C439" s="10" t="s">
        <x:v>539</x:v>
      </x:c>
      <x:c r="D439" s="10" t="s">
        <x:v>78</x:v>
      </x:c>
      <x:c r="E439" s="10" t="s">
        <x:v>548</x:v>
      </x:c>
      <x:c r="F439" s="10" t="s">
        <x:v>3</x:v>
      </x:c>
      <x:c r="G439" s="10" t="s">
        <x:v>64</x:v>
      </x:c>
      <x:c r="H439" s="10" t="s">
        <x:v>64</x:v>
      </x:c>
      <x:c r="I439" s="10"/>
      <x:c r="J439" s="10"/>
      <x:c r="K439" s="10"/>
      <x:c r="L439" s="10"/>
      <x:c r="M439" s="10">
        <x:f t="shared" si="6"/>
        <x:v>0</x:v>
      </x:c>
    </x:row>
    <x:row r="440" ht="27.600000381469727">
      <x:c r="A440" s="10">
        <x:v>439</x:v>
      </x:c>
      <x:c r="B440" s="10" t="s">
        <x:v>33</x:v>
      </x:c>
      <x:c r="C440" s="10" t="s">
        <x:v>539</x:v>
      </x:c>
      <x:c r="D440" s="10" t="s">
        <x:v>78</x:v>
      </x:c>
      <x:c r="E440" s="10" t="s">
        <x:v>549</x:v>
      </x:c>
      <x:c r="F440" s="10" t="s">
        <x:v>3</x:v>
      </x:c>
      <x:c r="G440" s="10" t="s">
        <x:v>64</x:v>
      </x:c>
      <x:c r="H440" s="10" t="s">
        <x:v>64</x:v>
      </x:c>
      <x:c r="I440" s="10"/>
      <x:c r="J440" s="10"/>
      <x:c r="K440" s="10"/>
      <x:c r="L440" s="10"/>
      <x:c r="M440" s="10">
        <x:f t="shared" si="6"/>
        <x:v>0</x:v>
      </x:c>
    </x:row>
    <x:row r="441" ht="27.600000381469727">
      <x:c r="A441" s="10">
        <x:v>440</x:v>
      </x:c>
      <x:c r="B441" s="10" t="s">
        <x:v>33</x:v>
      </x:c>
      <x:c r="C441" s="10" t="s">
        <x:v>539</x:v>
      </x:c>
      <x:c r="D441" s="10" t="s">
        <x:v>78</x:v>
      </x:c>
      <x:c r="E441" s="10" t="s">
        <x:v>550</x:v>
      </x:c>
      <x:c r="F441" s="10" t="s">
        <x:v>3</x:v>
      </x:c>
      <x:c r="G441" s="10" t="s">
        <x:v>64</x:v>
      </x:c>
      <x:c r="H441" s="10" t="s">
        <x:v>64</x:v>
      </x:c>
      <x:c r="I441" s="10"/>
      <x:c r="J441" s="10"/>
      <x:c r="K441" s="10"/>
      <x:c r="L441" s="10"/>
      <x:c r="M441" s="10">
        <x:f t="shared" si="6"/>
        <x:v>0</x:v>
      </x:c>
    </x:row>
    <x:row r="442" ht="27.600000381469727">
      <x:c r="A442" s="10">
        <x:v>441</x:v>
      </x:c>
      <x:c r="B442" s="10" t="s">
        <x:v>33</x:v>
      </x:c>
      <x:c r="C442" s="10" t="s">
        <x:v>539</x:v>
      </x:c>
      <x:c r="D442" s="10" t="s">
        <x:v>78</x:v>
      </x:c>
      <x:c r="E442" s="10" t="s">
        <x:v>430</x:v>
      </x:c>
      <x:c r="F442" s="10" t="s">
        <x:v>3</x:v>
      </x:c>
      <x:c r="G442" s="10" t="s">
        <x:v>64</x:v>
      </x:c>
      <x:c r="H442" s="10" t="s">
        <x:v>64</x:v>
      </x:c>
      <x:c r="I442" s="10"/>
      <x:c r="J442" s="10"/>
      <x:c r="K442" s="10"/>
      <x:c r="L442" s="10"/>
      <x:c r="M442" s="10">
        <x:f t="shared" si="6"/>
        <x:v>0</x:v>
      </x:c>
    </x:row>
    <x:row r="443" ht="27.600000381469727">
      <x:c r="A443" s="10">
        <x:v>442</x:v>
      </x:c>
      <x:c r="B443" s="10" t="s">
        <x:v>33</x:v>
      </x:c>
      <x:c r="C443" s="10" t="s">
        <x:v>539</x:v>
      </x:c>
      <x:c r="D443" s="10" t="s">
        <x:v>84</x:v>
      </x:c>
      <x:c r="E443" s="10" t="s">
        <x:v>551</x:v>
      </x:c>
      <x:c r="F443" s="10" t="s">
        <x:v>3</x:v>
      </x:c>
      <x:c r="G443" s="10" t="s">
        <x:v>64</x:v>
      </x:c>
      <x:c r="H443" s="10" t="s">
        <x:v>64</x:v>
      </x:c>
      <x:c r="I443" s="10"/>
      <x:c r="J443" s="10"/>
      <x:c r="K443" s="10"/>
      <x:c r="L443" s="10"/>
      <x:c r="M443" s="10">
        <x:f t="shared" si="6"/>
        <x:v>0</x:v>
      </x:c>
    </x:row>
    <x:row r="444" ht="27.600000381469727">
      <x:c r="A444" s="10">
        <x:v>443</x:v>
      </x:c>
      <x:c r="B444" s="10" t="s">
        <x:v>33</x:v>
      </x:c>
      <x:c r="C444" s="10" t="s">
        <x:v>539</x:v>
      </x:c>
      <x:c r="D444" s="10" t="s">
        <x:v>84</x:v>
      </x:c>
      <x:c r="E444" s="10" t="s">
        <x:v>552</x:v>
      </x:c>
      <x:c r="F444" s="10" t="s">
        <x:v>3</x:v>
      </x:c>
      <x:c r="G444" s="10" t="s">
        <x:v>64</x:v>
      </x:c>
      <x:c r="H444" s="10" t="s">
        <x:v>64</x:v>
      </x:c>
      <x:c r="I444" s="10"/>
      <x:c r="J444" s="10"/>
      <x:c r="K444" s="10"/>
      <x:c r="L444" s="10"/>
      <x:c r="M444" s="10">
        <x:f t="shared" si="6"/>
        <x:v>0</x:v>
      </x:c>
    </x:row>
    <x:row r="445" ht="27.600000381469727">
      <x:c r="A445" s="10">
        <x:v>444</x:v>
      </x:c>
      <x:c r="B445" s="10" t="s">
        <x:v>33</x:v>
      </x:c>
      <x:c r="C445" s="10" t="s">
        <x:v>553</x:v>
      </x:c>
      <x:c r="D445" s="10" t="s">
        <x:v>62</x:v>
      </x:c>
      <x:c r="E445" s="10" t="s">
        <x:v>554</x:v>
      </x:c>
      <x:c r="F445" s="10" t="s">
        <x:v>3</x:v>
      </x:c>
      <x:c r="G445" s="10" t="s">
        <x:v>52</x:v>
      </x:c>
      <x:c r="H445" s="10" t="s">
        <x:v>64</x:v>
      </x:c>
      <x:c r="I445" s="10"/>
      <x:c r="J445" s="10"/>
      <x:c r="K445" s="10"/>
      <x:c r="L445" s="10"/>
      <x:c r="M445" s="10">
        <x:f t="shared" si="6"/>
        <x:v>0</x:v>
      </x:c>
    </x:row>
    <x:row r="446" ht="27.600000381469727">
      <x:c r="A446" s="10">
        <x:v>445</x:v>
      </x:c>
      <x:c r="B446" s="10" t="s">
        <x:v>33</x:v>
      </x:c>
      <x:c r="C446" s="10" t="s">
        <x:v>553</x:v>
      </x:c>
      <x:c r="D446" s="10" t="s">
        <x:v>62</x:v>
      </x:c>
      <x:c r="E446" s="10" t="s">
        <x:v>555</x:v>
      </x:c>
      <x:c r="F446" s="10" t="s">
        <x:v>3</x:v>
      </x:c>
      <x:c r="G446" s="10" t="s">
        <x:v>52</x:v>
      </x:c>
      <x:c r="H446" s="10" t="s">
        <x:v>64</x:v>
      </x:c>
      <x:c r="I446" s="10"/>
      <x:c r="J446" s="10"/>
      <x:c r="K446" s="10"/>
      <x:c r="L446" s="10"/>
      <x:c r="M446" s="10">
        <x:f t="shared" si="6"/>
        <x:v>0</x:v>
      </x:c>
    </x:row>
    <x:row r="447" ht="27.600000381469727">
      <x:c r="A447" s="10">
        <x:v>446</x:v>
      </x:c>
      <x:c r="B447" s="10" t="s">
        <x:v>33</x:v>
      </x:c>
      <x:c r="C447" s="10" t="s">
        <x:v>553</x:v>
      </x:c>
      <x:c r="D447" s="10" t="s">
        <x:v>62</x:v>
      </x:c>
      <x:c r="E447" s="10" t="s">
        <x:v>556</x:v>
      </x:c>
      <x:c r="F447" s="10" t="s">
        <x:v>3</x:v>
      </x:c>
      <x:c r="G447" s="10" t="s">
        <x:v>52</x:v>
      </x:c>
      <x:c r="H447" s="10" t="s">
        <x:v>64</x:v>
      </x:c>
      <x:c r="I447" s="10"/>
      <x:c r="J447" s="10"/>
      <x:c r="K447" s="10"/>
      <x:c r="L447" s="10"/>
      <x:c r="M447" s="10">
        <x:f t="shared" si="6"/>
        <x:v>0</x:v>
      </x:c>
    </x:row>
    <x:row r="448" ht="27.600000381469727">
      <x:c r="A448" s="10">
        <x:v>447</x:v>
      </x:c>
      <x:c r="B448" s="10" t="s">
        <x:v>33</x:v>
      </x:c>
      <x:c r="C448" s="10" t="s">
        <x:v>553</x:v>
      </x:c>
      <x:c r="D448" s="10" t="s">
        <x:v>62</x:v>
      </x:c>
      <x:c r="E448" s="10" t="s">
        <x:v>557</x:v>
      </x:c>
      <x:c r="F448" s="10" t="s">
        <x:v>3</x:v>
      </x:c>
      <x:c r="G448" s="10" t="s">
        <x:v>52</x:v>
      </x:c>
      <x:c r="H448" s="10" t="s">
        <x:v>64</x:v>
      </x:c>
      <x:c r="I448" s="10"/>
      <x:c r="J448" s="10"/>
      <x:c r="K448" s="10"/>
      <x:c r="L448" s="10"/>
      <x:c r="M448" s="10">
        <x:f t="shared" si="6"/>
        <x:v>0</x:v>
      </x:c>
    </x:row>
    <x:row r="449" ht="27.600000381469727">
      <x:c r="A449" s="10">
        <x:v>448</x:v>
      </x:c>
      <x:c r="B449" s="10" t="s">
        <x:v>33</x:v>
      </x:c>
      <x:c r="C449" s="10" t="s">
        <x:v>553</x:v>
      </x:c>
      <x:c r="D449" s="10" t="s">
        <x:v>62</x:v>
      </x:c>
      <x:c r="E449" s="10" t="s">
        <x:v>558</x:v>
      </x:c>
      <x:c r="F449" s="10" t="s">
        <x:v>3</x:v>
      </x:c>
      <x:c r="G449" s="10" t="s">
        <x:v>52</x:v>
      </x:c>
      <x:c r="H449" s="10" t="s">
        <x:v>64</x:v>
      </x:c>
      <x:c r="I449" s="10"/>
      <x:c r="J449" s="10"/>
      <x:c r="K449" s="10"/>
      <x:c r="L449" s="10"/>
      <x:c r="M449" s="10">
        <x:f t="shared" si="6"/>
        <x:v>0</x:v>
      </x:c>
    </x:row>
    <x:row r="450" ht="27.600000381469727">
      <x:c r="A450" s="10">
        <x:v>449</x:v>
      </x:c>
      <x:c r="B450" s="10" t="s">
        <x:v>33</x:v>
      </x:c>
      <x:c r="C450" s="10" t="s">
        <x:v>553</x:v>
      </x:c>
      <x:c r="D450" s="10" t="s">
        <x:v>62</x:v>
      </x:c>
      <x:c r="E450" s="10" t="s">
        <x:v>559</x:v>
      </x:c>
      <x:c r="F450" s="10" t="s">
        <x:v>3</x:v>
      </x:c>
      <x:c r="G450" s="10" t="s">
        <x:v>52</x:v>
      </x:c>
      <x:c r="H450" s="10" t="s">
        <x:v>64</x:v>
      </x:c>
      <x:c r="I450" s="10"/>
      <x:c r="J450" s="10"/>
      <x:c r="K450" s="10"/>
      <x:c r="L450" s="10"/>
      <x:c r="M450" s="10" t="n">
        <x:f t="shared" ref="M450:M496" si="7">IF(F450="Hoàn thành",1,0)</x:f>
        <x:v>0</x:v>
      </x:c>
    </x:row>
    <x:row r="451" ht="27.600000381469727">
      <x:c r="A451" s="10">
        <x:v>450</x:v>
      </x:c>
      <x:c r="B451" s="10" t="s">
        <x:v>33</x:v>
      </x:c>
      <x:c r="C451" s="10" t="s">
        <x:v>553</x:v>
      </x:c>
      <x:c r="D451" s="10" t="s">
        <x:v>62</x:v>
      </x:c>
      <x:c r="E451" s="10" t="s">
        <x:v>560</x:v>
      </x:c>
      <x:c r="F451" s="10" t="s">
        <x:v>3</x:v>
      </x:c>
      <x:c r="G451" s="10" t="s">
        <x:v>52</x:v>
      </x:c>
      <x:c r="H451" s="10" t="s">
        <x:v>64</x:v>
      </x:c>
      <x:c r="I451" s="10"/>
      <x:c r="J451" s="10"/>
      <x:c r="K451" s="10"/>
      <x:c r="L451" s="10"/>
      <x:c r="M451" s="10">
        <x:f t="shared" si="7"/>
        <x:v>0</x:v>
      </x:c>
    </x:row>
    <x:row r="452" ht="27.600000381469727">
      <x:c r="A452" s="10">
        <x:v>451</x:v>
      </x:c>
      <x:c r="B452" s="10" t="s">
        <x:v>33</x:v>
      </x:c>
      <x:c r="C452" s="10" t="s">
        <x:v>553</x:v>
      </x:c>
      <x:c r="D452" s="10" t="s">
        <x:v>78</x:v>
      </x:c>
      <x:c r="E452" s="10" t="s">
        <x:v>561</x:v>
      </x:c>
      <x:c r="F452" s="10" t="s">
        <x:v>3</x:v>
      </x:c>
      <x:c r="G452" s="10" t="s">
        <x:v>64</x:v>
      </x:c>
      <x:c r="H452" s="10" t="s">
        <x:v>64</x:v>
      </x:c>
      <x:c r="I452" s="10"/>
      <x:c r="J452" s="10"/>
      <x:c r="K452" s="10"/>
      <x:c r="L452" s="10"/>
      <x:c r="M452" s="10">
        <x:f t="shared" si="7"/>
        <x:v>0</x:v>
      </x:c>
    </x:row>
    <x:row r="453" ht="27.600000381469727">
      <x:c r="A453" s="10">
        <x:v>452</x:v>
      </x:c>
      <x:c r="B453" s="10" t="s">
        <x:v>33</x:v>
      </x:c>
      <x:c r="C453" s="10" t="s">
        <x:v>553</x:v>
      </x:c>
      <x:c r="D453" s="10" t="s">
        <x:v>78</x:v>
      </x:c>
      <x:c r="E453" s="10" t="s">
        <x:v>562</x:v>
      </x:c>
      <x:c r="F453" s="10" t="s">
        <x:v>3</x:v>
      </x:c>
      <x:c r="G453" s="10" t="s">
        <x:v>64</x:v>
      </x:c>
      <x:c r="H453" s="10" t="s">
        <x:v>64</x:v>
      </x:c>
      <x:c r="I453" s="10"/>
      <x:c r="J453" s="10"/>
      <x:c r="K453" s="10"/>
      <x:c r="L453" s="10"/>
      <x:c r="M453" s="10">
        <x:f t="shared" si="7"/>
        <x:v>0</x:v>
      </x:c>
    </x:row>
    <x:row r="454" ht="27.600000381469727">
      <x:c r="A454" s="10">
        <x:v>453</x:v>
      </x:c>
      <x:c r="B454" s="10" t="s">
        <x:v>33</x:v>
      </x:c>
      <x:c r="C454" s="10" t="s">
        <x:v>553</x:v>
      </x:c>
      <x:c r="D454" s="10" t="s">
        <x:v>84</x:v>
      </x:c>
      <x:c r="E454" s="10" t="s">
        <x:v>563</x:v>
      </x:c>
      <x:c r="F454" s="10" t="s">
        <x:v>3</x:v>
      </x:c>
      <x:c r="G454" s="10" t="s">
        <x:v>52</x:v>
      </x:c>
      <x:c r="H454" s="10" t="s">
        <x:v>64</x:v>
      </x:c>
      <x:c r="I454" s="10"/>
      <x:c r="J454" s="10"/>
      <x:c r="K454" s="10"/>
      <x:c r="L454" s="10"/>
      <x:c r="M454" s="10">
        <x:f t="shared" si="7"/>
        <x:v>0</x:v>
      </x:c>
    </x:row>
    <x:row r="455" ht="27.600000381469727">
      <x:c r="A455" s="10">
        <x:v>454</x:v>
      </x:c>
      <x:c r="B455" s="10" t="s">
        <x:v>33</x:v>
      </x:c>
      <x:c r="C455" s="10" t="s">
        <x:v>553</x:v>
      </x:c>
      <x:c r="D455" s="10" t="s">
        <x:v>84</x:v>
      </x:c>
      <x:c r="E455" s="10" t="s">
        <x:v>564</x:v>
      </x:c>
      <x:c r="F455" s="10" t="s">
        <x:v>3</x:v>
      </x:c>
      <x:c r="G455" s="10" t="s">
        <x:v>52</x:v>
      </x:c>
      <x:c r="H455" s="10" t="s">
        <x:v>64</x:v>
      </x:c>
      <x:c r="I455" s="10"/>
      <x:c r="J455" s="10"/>
      <x:c r="K455" s="10"/>
      <x:c r="L455" s="10"/>
      <x:c r="M455" s="10">
        <x:f t="shared" si="7"/>
        <x:v>0</x:v>
      </x:c>
    </x:row>
    <x:row r="456" ht="27.600000381469727">
      <x:c r="A456" s="10">
        <x:v>455</x:v>
      </x:c>
      <x:c r="B456" s="10" t="s">
        <x:v>33</x:v>
      </x:c>
      <x:c r="C456" s="10" t="s">
        <x:v>553</x:v>
      </x:c>
      <x:c r="D456" s="10" t="s">
        <x:v>84</x:v>
      </x:c>
      <x:c r="E456" s="10" t="s">
        <x:v>565</x:v>
      </x:c>
      <x:c r="F456" s="10" t="s">
        <x:v>3</x:v>
      </x:c>
      <x:c r="G456" s="10" t="s">
        <x:v>52</x:v>
      </x:c>
      <x:c r="H456" s="10" t="s">
        <x:v>64</x:v>
      </x:c>
      <x:c r="I456" s="10"/>
      <x:c r="J456" s="10"/>
      <x:c r="K456" s="10"/>
      <x:c r="L456" s="10"/>
      <x:c r="M456" s="10">
        <x:f t="shared" si="7"/>
        <x:v>0</x:v>
      </x:c>
    </x:row>
    <x:row r="457" ht="27.600000381469727">
      <x:c r="A457" s="10">
        <x:v>456</x:v>
      </x:c>
      <x:c r="B457" s="10" t="s">
        <x:v>33</x:v>
      </x:c>
      <x:c r="C457" s="10" t="s">
        <x:v>553</x:v>
      </x:c>
      <x:c r="D457" s="10" t="s">
        <x:v>84</x:v>
      </x:c>
      <x:c r="E457" s="10" t="s">
        <x:v>566</x:v>
      </x:c>
      <x:c r="F457" s="10" t="s">
        <x:v>3</x:v>
      </x:c>
      <x:c r="G457" s="10" t="s">
        <x:v>52</x:v>
      </x:c>
      <x:c r="H457" s="10" t="s">
        <x:v>64</x:v>
      </x:c>
      <x:c r="I457" s="10"/>
      <x:c r="J457" s="10"/>
      <x:c r="K457" s="10"/>
      <x:c r="L457" s="10"/>
      <x:c r="M457" s="10">
        <x:f t="shared" si="7"/>
        <x:v>0</x:v>
      </x:c>
    </x:row>
    <x:row r="458" ht="27.600000381469727">
      <x:c r="A458" s="10">
        <x:v>457</x:v>
      </x:c>
      <x:c r="B458" s="10" t="s">
        <x:v>34</x:v>
      </x:c>
      <x:c r="C458" s="10" t="s">
        <x:v>567</x:v>
      </x:c>
      <x:c r="D458" s="10" t="s">
        <x:v>62</x:v>
      </x:c>
      <x:c r="E458" s="10" t="s">
        <x:v>568</x:v>
      </x:c>
      <x:c r="F458" s="10" t="s">
        <x:v>3</x:v>
      </x:c>
      <x:c r="G458" s="10" t="s">
        <x:v>64</x:v>
      </x:c>
      <x:c r="H458" s="10" t="s">
        <x:v>64</x:v>
      </x:c>
      <x:c r="I458" s="10"/>
      <x:c r="J458" s="10"/>
      <x:c r="K458" s="10"/>
      <x:c r="L458" s="10"/>
      <x:c r="M458" s="10">
        <x:f t="shared" si="7"/>
        <x:v>0</x:v>
      </x:c>
    </x:row>
    <x:row r="459" ht="27.600000381469727">
      <x:c r="A459" s="10">
        <x:v>458</x:v>
      </x:c>
      <x:c r="B459" s="10" t="s">
        <x:v>34</x:v>
      </x:c>
      <x:c r="C459" s="10" t="s">
        <x:v>567</x:v>
      </x:c>
      <x:c r="D459" s="10" t="s">
        <x:v>62</x:v>
      </x:c>
      <x:c r="E459" s="10" t="s">
        <x:v>569</x:v>
      </x:c>
      <x:c r="F459" s="10" t="s">
        <x:v>3</x:v>
      </x:c>
      <x:c r="G459" s="10" t="s">
        <x:v>64</x:v>
      </x:c>
      <x:c r="H459" s="10" t="s">
        <x:v>64</x:v>
      </x:c>
      <x:c r="I459" s="10"/>
      <x:c r="J459" s="10"/>
      <x:c r="K459" s="10"/>
      <x:c r="L459" s="10"/>
      <x:c r="M459" s="10">
        <x:f t="shared" si="7"/>
        <x:v>0</x:v>
      </x:c>
    </x:row>
    <x:row r="460" ht="27.600000381469727">
      <x:c r="A460" s="10">
        <x:v>459</x:v>
      </x:c>
      <x:c r="B460" s="10" t="s">
        <x:v>34</x:v>
      </x:c>
      <x:c r="C460" s="10" t="s">
        <x:v>567</x:v>
      </x:c>
      <x:c r="D460" s="10" t="s">
        <x:v>62</x:v>
      </x:c>
      <x:c r="E460" s="10" t="s">
        <x:v>570</x:v>
      </x:c>
      <x:c r="F460" s="10" t="s">
        <x:v>3</x:v>
      </x:c>
      <x:c r="G460" s="10" t="s">
        <x:v>64</x:v>
      </x:c>
      <x:c r="H460" s="10" t="s">
        <x:v>64</x:v>
      </x:c>
      <x:c r="I460" s="10"/>
      <x:c r="J460" s="10"/>
      <x:c r="K460" s="10"/>
      <x:c r="L460" s="10"/>
      <x:c r="M460" s="10">
        <x:f t="shared" si="7"/>
        <x:v>0</x:v>
      </x:c>
    </x:row>
    <x:row r="461" ht="27.600000381469727">
      <x:c r="A461" s="10">
        <x:v>460</x:v>
      </x:c>
      <x:c r="B461" s="10" t="s">
        <x:v>34</x:v>
      </x:c>
      <x:c r="C461" s="10" t="s">
        <x:v>567</x:v>
      </x:c>
      <x:c r="D461" s="10" t="s">
        <x:v>62</x:v>
      </x:c>
      <x:c r="E461" s="10" t="s">
        <x:v>571</x:v>
      </x:c>
      <x:c r="F461" s="10" t="s">
        <x:v>3</x:v>
      </x:c>
      <x:c r="G461" s="10" t="s">
        <x:v>64</x:v>
      </x:c>
      <x:c r="H461" s="10" t="s">
        <x:v>64</x:v>
      </x:c>
      <x:c r="I461" s="10"/>
      <x:c r="J461" s="10"/>
      <x:c r="K461" s="10"/>
      <x:c r="L461" s="10"/>
      <x:c r="M461" s="10">
        <x:f t="shared" si="7"/>
        <x:v>0</x:v>
      </x:c>
    </x:row>
    <x:row r="462" ht="27.600000381469727">
      <x:c r="A462" s="10">
        <x:v>461</x:v>
      </x:c>
      <x:c r="B462" s="10" t="s">
        <x:v>34</x:v>
      </x:c>
      <x:c r="C462" s="10" t="s">
        <x:v>567</x:v>
      </x:c>
      <x:c r="D462" s="10" t="s">
        <x:v>62</x:v>
      </x:c>
      <x:c r="E462" s="10" t="s">
        <x:v>572</x:v>
      </x:c>
      <x:c r="F462" s="10" t="s">
        <x:v>3</x:v>
      </x:c>
      <x:c r="G462" s="10" t="s">
        <x:v>64</x:v>
      </x:c>
      <x:c r="H462" s="10" t="s">
        <x:v>64</x:v>
      </x:c>
      <x:c r="I462" s="10"/>
      <x:c r="J462" s="10"/>
      <x:c r="K462" s="10"/>
      <x:c r="L462" s="10"/>
      <x:c r="M462" s="10">
        <x:f t="shared" si="7"/>
        <x:v>0</x:v>
      </x:c>
    </x:row>
    <x:row r="463" ht="27.600000381469727">
      <x:c r="A463" s="10">
        <x:v>462</x:v>
      </x:c>
      <x:c r="B463" s="10" t="s">
        <x:v>34</x:v>
      </x:c>
      <x:c r="C463" s="10" t="s">
        <x:v>567</x:v>
      </x:c>
      <x:c r="D463" s="10" t="s">
        <x:v>62</x:v>
      </x:c>
      <x:c r="E463" s="10" t="s">
        <x:v>573</x:v>
      </x:c>
      <x:c r="F463" s="10" t="s">
        <x:v>3</x:v>
      </x:c>
      <x:c r="G463" s="10" t="s">
        <x:v>64</x:v>
      </x:c>
      <x:c r="H463" s="10" t="s">
        <x:v>64</x:v>
      </x:c>
      <x:c r="I463" s="10"/>
      <x:c r="J463" s="10"/>
      <x:c r="K463" s="10"/>
      <x:c r="L463" s="10"/>
      <x:c r="M463" s="10">
        <x:f t="shared" si="7"/>
        <x:v>0</x:v>
      </x:c>
    </x:row>
    <x:row r="464" ht="27.600000381469727">
      <x:c r="A464" s="10">
        <x:v>463</x:v>
      </x:c>
      <x:c r="B464" s="10" t="s">
        <x:v>34</x:v>
      </x:c>
      <x:c r="C464" s="10" t="s">
        <x:v>567</x:v>
      </x:c>
      <x:c r="D464" s="10" t="s">
        <x:v>62</x:v>
      </x:c>
      <x:c r="E464" s="10" t="s">
        <x:v>574</x:v>
      </x:c>
      <x:c r="F464" s="10" t="s">
        <x:v>3</x:v>
      </x:c>
      <x:c r="G464" s="10" t="s">
        <x:v>64</x:v>
      </x:c>
      <x:c r="H464" s="10" t="s">
        <x:v>64</x:v>
      </x:c>
      <x:c r="I464" s="10"/>
      <x:c r="J464" s="10"/>
      <x:c r="K464" s="10"/>
      <x:c r="L464" s="10"/>
      <x:c r="M464" s="10">
        <x:f t="shared" si="7"/>
        <x:v>0</x:v>
      </x:c>
    </x:row>
    <x:row r="465" ht="27.600000381469727">
      <x:c r="A465" s="10">
        <x:v>464</x:v>
      </x:c>
      <x:c r="B465" s="10" t="s">
        <x:v>34</x:v>
      </x:c>
      <x:c r="C465" s="10" t="s">
        <x:v>567</x:v>
      </x:c>
      <x:c r="D465" s="10" t="s">
        <x:v>62</x:v>
      </x:c>
      <x:c r="E465" s="10" t="s">
        <x:v>575</x:v>
      </x:c>
      <x:c r="F465" s="10" t="s">
        <x:v>3</x:v>
      </x:c>
      <x:c r="G465" s="10" t="s">
        <x:v>64</x:v>
      </x:c>
      <x:c r="H465" s="10" t="s">
        <x:v>64</x:v>
      </x:c>
      <x:c r="I465" s="10"/>
      <x:c r="J465" s="10"/>
      <x:c r="K465" s="10"/>
      <x:c r="L465" s="10"/>
      <x:c r="M465" s="10">
        <x:f t="shared" si="7"/>
        <x:v>0</x:v>
      </x:c>
    </x:row>
    <x:row r="466" ht="27.600000381469727">
      <x:c r="A466" s="10">
        <x:v>465</x:v>
      </x:c>
      <x:c r="B466" s="10" t="s">
        <x:v>34</x:v>
      </x:c>
      <x:c r="C466" s="10" t="s">
        <x:v>567</x:v>
      </x:c>
      <x:c r="D466" s="10" t="s">
        <x:v>62</x:v>
      </x:c>
      <x:c r="E466" s="10" t="s">
        <x:v>576</x:v>
      </x:c>
      <x:c r="F466" s="10" t="s">
        <x:v>3</x:v>
      </x:c>
      <x:c r="G466" s="10" t="s">
        <x:v>64</x:v>
      </x:c>
      <x:c r="H466" s="10" t="s">
        <x:v>64</x:v>
      </x:c>
      <x:c r="I466" s="10"/>
      <x:c r="J466" s="10"/>
      <x:c r="K466" s="10"/>
      <x:c r="L466" s="10"/>
      <x:c r="M466" s="10">
        <x:f t="shared" si="7"/>
        <x:v>0</x:v>
      </x:c>
    </x:row>
    <x:row r="467" ht="27.600000381469727">
      <x:c r="A467" s="10">
        <x:v>466</x:v>
      </x:c>
      <x:c r="B467" s="10" t="s">
        <x:v>34</x:v>
      </x:c>
      <x:c r="C467" s="10" t="s">
        <x:v>567</x:v>
      </x:c>
      <x:c r="D467" s="10" t="s">
        <x:v>62</x:v>
      </x:c>
      <x:c r="E467" s="10" t="s">
        <x:v>577</x:v>
      </x:c>
      <x:c r="F467" s="10" t="s">
        <x:v>3</x:v>
      </x:c>
      <x:c r="G467" s="10" t="s">
        <x:v>64</x:v>
      </x:c>
      <x:c r="H467" s="10" t="s">
        <x:v>64</x:v>
      </x:c>
      <x:c r="I467" s="10"/>
      <x:c r="J467" s="10"/>
      <x:c r="K467" s="10"/>
      <x:c r="L467" s="10"/>
      <x:c r="M467" s="10">
        <x:f t="shared" si="7"/>
        <x:v>0</x:v>
      </x:c>
    </x:row>
    <x:row r="468" ht="27.600000381469727">
      <x:c r="A468" s="10">
        <x:v>467</x:v>
      </x:c>
      <x:c r="B468" s="10" t="s">
        <x:v>34</x:v>
      </x:c>
      <x:c r="C468" s="10" t="s">
        <x:v>567</x:v>
      </x:c>
      <x:c r="D468" s="10" t="s">
        <x:v>78</x:v>
      </x:c>
      <x:c r="E468" s="10" t="s">
        <x:v>578</x:v>
      </x:c>
      <x:c r="F468" s="10" t="s">
        <x:v>3</x:v>
      </x:c>
      <x:c r="G468" s="10" t="s">
        <x:v>64</x:v>
      </x:c>
      <x:c r="H468" s="10" t="s">
        <x:v>64</x:v>
      </x:c>
      <x:c r="I468" s="10"/>
      <x:c r="J468" s="10"/>
      <x:c r="K468" s="10"/>
      <x:c r="L468" s="10"/>
      <x:c r="M468" s="10">
        <x:f t="shared" si="7"/>
        <x:v>0</x:v>
      </x:c>
    </x:row>
    <x:row r="469" ht="27.600000381469727">
      <x:c r="A469" s="10">
        <x:v>468</x:v>
      </x:c>
      <x:c r="B469" s="10" t="s">
        <x:v>34</x:v>
      </x:c>
      <x:c r="C469" s="10" t="s">
        <x:v>567</x:v>
      </x:c>
      <x:c r="D469" s="10" t="s">
        <x:v>78</x:v>
      </x:c>
      <x:c r="E469" s="10" t="s">
        <x:v>579</x:v>
      </x:c>
      <x:c r="F469" s="10" t="s">
        <x:v>3</x:v>
      </x:c>
      <x:c r="G469" s="10" t="s">
        <x:v>64</x:v>
      </x:c>
      <x:c r="H469" s="10" t="s">
        <x:v>64</x:v>
      </x:c>
      <x:c r="I469" s="10"/>
      <x:c r="J469" s="10"/>
      <x:c r="K469" s="10"/>
      <x:c r="L469" s="10"/>
      <x:c r="M469" s="10">
        <x:f t="shared" si="7"/>
        <x:v>0</x:v>
      </x:c>
    </x:row>
    <x:row r="470" ht="27.600000381469727">
      <x:c r="A470" s="10">
        <x:v>469</x:v>
      </x:c>
      <x:c r="B470" s="10" t="s">
        <x:v>34</x:v>
      </x:c>
      <x:c r="C470" s="10" t="s">
        <x:v>567</x:v>
      </x:c>
      <x:c r="D470" s="10" t="s">
        <x:v>78</x:v>
      </x:c>
      <x:c r="E470" s="10" t="s">
        <x:v>580</x:v>
      </x:c>
      <x:c r="F470" s="10" t="s">
        <x:v>3</x:v>
      </x:c>
      <x:c r="G470" s="10" t="s">
        <x:v>64</x:v>
      </x:c>
      <x:c r="H470" s="10" t="s">
        <x:v>64</x:v>
      </x:c>
      <x:c r="I470" s="10"/>
      <x:c r="J470" s="10"/>
      <x:c r="K470" s="10"/>
      <x:c r="L470" s="10"/>
      <x:c r="M470" s="10">
        <x:f t="shared" si="7"/>
        <x:v>0</x:v>
      </x:c>
    </x:row>
    <x:row r="471" ht="27.600000381469727">
      <x:c r="A471" s="10">
        <x:v>470</x:v>
      </x:c>
      <x:c r="B471" s="10" t="s">
        <x:v>34</x:v>
      </x:c>
      <x:c r="C471" s="10" t="s">
        <x:v>567</x:v>
      </x:c>
      <x:c r="D471" s="10" t="s">
        <x:v>78</x:v>
      </x:c>
      <x:c r="E471" s="10" t="s">
        <x:v>495</x:v>
      </x:c>
      <x:c r="F471" s="10" t="s">
        <x:v>3</x:v>
      </x:c>
      <x:c r="G471" s="10" t="s">
        <x:v>64</x:v>
      </x:c>
      <x:c r="H471" s="10" t="s">
        <x:v>64</x:v>
      </x:c>
      <x:c r="I471" s="10"/>
      <x:c r="J471" s="10"/>
      <x:c r="K471" s="10"/>
      <x:c r="L471" s="10"/>
      <x:c r="M471" s="10">
        <x:f t="shared" si="7"/>
        <x:v>0</x:v>
      </x:c>
    </x:row>
    <x:row r="472" ht="27.600000381469727">
      <x:c r="A472" s="10">
        <x:v>471</x:v>
      </x:c>
      <x:c r="B472" s="10" t="s">
        <x:v>34</x:v>
      </x:c>
      <x:c r="C472" s="10" t="s">
        <x:v>567</x:v>
      </x:c>
      <x:c r="D472" s="10" t="s">
        <x:v>84</x:v>
      </x:c>
      <x:c r="E472" s="10" t="s">
        <x:v>581</x:v>
      </x:c>
      <x:c r="F472" s="10" t="s">
        <x:v>3</x:v>
      </x:c>
      <x:c r="G472" s="10" t="s">
        <x:v>52</x:v>
      </x:c>
      <x:c r="H472" s="10" t="s">
        <x:v>64</x:v>
      </x:c>
      <x:c r="I472" s="10"/>
      <x:c r="J472" s="10"/>
      <x:c r="K472" s="10"/>
      <x:c r="L472" s="10"/>
      <x:c r="M472" s="10">
        <x:f t="shared" si="7"/>
        <x:v>0</x:v>
      </x:c>
    </x:row>
    <x:row r="473" ht="27.600000381469727">
      <x:c r="A473" s="10">
        <x:v>472</x:v>
      </x:c>
      <x:c r="B473" s="10" t="s">
        <x:v>34</x:v>
      </x:c>
      <x:c r="C473" s="10" t="s">
        <x:v>567</x:v>
      </x:c>
      <x:c r="D473" s="10" t="s">
        <x:v>84</x:v>
      </x:c>
      <x:c r="E473" s="10" t="s">
        <x:v>582</x:v>
      </x:c>
      <x:c r="F473" s="10" t="s">
        <x:v>3</x:v>
      </x:c>
      <x:c r="G473" s="10" t="s">
        <x:v>52</x:v>
      </x:c>
      <x:c r="H473" s="10" t="s">
        <x:v>64</x:v>
      </x:c>
      <x:c r="I473" s="10"/>
      <x:c r="J473" s="10"/>
      <x:c r="K473" s="10"/>
      <x:c r="L473" s="10"/>
      <x:c r="M473" s="10">
        <x:f t="shared" si="7"/>
        <x:v>0</x:v>
      </x:c>
    </x:row>
    <x:row r="474" ht="27.600000381469727">
      <x:c r="A474" s="10">
        <x:v>473</x:v>
      </x:c>
      <x:c r="B474" s="10" t="s">
        <x:v>34</x:v>
      </x:c>
      <x:c r="C474" s="10" t="s">
        <x:v>583</x:v>
      </x:c>
      <x:c r="D474" s="10" t="s">
        <x:v>62</x:v>
      </x:c>
      <x:c r="E474" s="10" t="s">
        <x:v>584</x:v>
      </x:c>
      <x:c r="F474" s="10" t="s">
        <x:v>3</x:v>
      </x:c>
      <x:c r="G474" s="10" t="s">
        <x:v>64</x:v>
      </x:c>
      <x:c r="H474" s="10" t="s">
        <x:v>64</x:v>
      </x:c>
      <x:c r="I474" s="10"/>
      <x:c r="J474" s="10"/>
      <x:c r="K474" s="10"/>
      <x:c r="L474" s="10"/>
      <x:c r="M474" s="10">
        <x:f t="shared" si="7"/>
        <x:v>0</x:v>
      </x:c>
    </x:row>
    <x:row r="475" ht="27.600000381469727">
      <x:c r="A475" s="10">
        <x:v>474</x:v>
      </x:c>
      <x:c r="B475" s="10" t="s">
        <x:v>34</x:v>
      </x:c>
      <x:c r="C475" s="10" t="s">
        <x:v>583</x:v>
      </x:c>
      <x:c r="D475" s="10" t="s">
        <x:v>62</x:v>
      </x:c>
      <x:c r="E475" s="10" t="s">
        <x:v>585</x:v>
      </x:c>
      <x:c r="F475" s="10" t="s">
        <x:v>3</x:v>
      </x:c>
      <x:c r="G475" s="10" t="s">
        <x:v>64</x:v>
      </x:c>
      <x:c r="H475" s="10" t="s">
        <x:v>64</x:v>
      </x:c>
      <x:c r="I475" s="10"/>
      <x:c r="J475" s="10"/>
      <x:c r="K475" s="10"/>
      <x:c r="L475" s="10"/>
      <x:c r="M475" s="10">
        <x:f t="shared" si="7"/>
        <x:v>0</x:v>
      </x:c>
    </x:row>
    <x:row r="476" ht="27.600000381469727">
      <x:c r="A476" s="10">
        <x:v>475</x:v>
      </x:c>
      <x:c r="B476" s="10" t="s">
        <x:v>34</x:v>
      </x:c>
      <x:c r="C476" s="10" t="s">
        <x:v>583</x:v>
      </x:c>
      <x:c r="D476" s="10" t="s">
        <x:v>62</x:v>
      </x:c>
      <x:c r="E476" s="10" t="s">
        <x:v>586</x:v>
      </x:c>
      <x:c r="F476" s="10" t="s">
        <x:v>3</x:v>
      </x:c>
      <x:c r="G476" s="10" t="s">
        <x:v>64</x:v>
      </x:c>
      <x:c r="H476" s="10" t="s">
        <x:v>64</x:v>
      </x:c>
      <x:c r="I476" s="10"/>
      <x:c r="J476" s="10"/>
      <x:c r="K476" s="10"/>
      <x:c r="L476" s="10"/>
      <x:c r="M476" s="10">
        <x:f t="shared" si="7"/>
        <x:v>0</x:v>
      </x:c>
    </x:row>
    <x:row r="477" ht="27.600000381469727">
      <x:c r="A477" s="10">
        <x:v>476</x:v>
      </x:c>
      <x:c r="B477" s="10" t="s">
        <x:v>34</x:v>
      </x:c>
      <x:c r="C477" s="10" t="s">
        <x:v>583</x:v>
      </x:c>
      <x:c r="D477" s="10" t="s">
        <x:v>62</x:v>
      </x:c>
      <x:c r="E477" s="10" t="s">
        <x:v>587</x:v>
      </x:c>
      <x:c r="F477" s="10" t="s">
        <x:v>3</x:v>
      </x:c>
      <x:c r="G477" s="10" t="s">
        <x:v>64</x:v>
      </x:c>
      <x:c r="H477" s="10" t="s">
        <x:v>64</x:v>
      </x:c>
      <x:c r="I477" s="10"/>
      <x:c r="J477" s="10"/>
      <x:c r="K477" s="10"/>
      <x:c r="L477" s="10"/>
      <x:c r="M477" s="10">
        <x:f t="shared" si="7"/>
        <x:v>0</x:v>
      </x:c>
    </x:row>
    <x:row r="478" ht="27.600000381469727">
      <x:c r="A478" s="10">
        <x:v>477</x:v>
      </x:c>
      <x:c r="B478" s="10" t="s">
        <x:v>34</x:v>
      </x:c>
      <x:c r="C478" s="10" t="s">
        <x:v>583</x:v>
      </x:c>
      <x:c r="D478" s="10" t="s">
        <x:v>62</x:v>
      </x:c>
      <x:c r="E478" s="10" t="s">
        <x:v>588</x:v>
      </x:c>
      <x:c r="F478" s="10" t="s">
        <x:v>3</x:v>
      </x:c>
      <x:c r="G478" s="10" t="s">
        <x:v>64</x:v>
      </x:c>
      <x:c r="H478" s="10" t="s">
        <x:v>64</x:v>
      </x:c>
      <x:c r="I478" s="10"/>
      <x:c r="J478" s="10"/>
      <x:c r="K478" s="10"/>
      <x:c r="L478" s="10"/>
      <x:c r="M478" s="10">
        <x:f t="shared" si="7"/>
        <x:v>0</x:v>
      </x:c>
    </x:row>
    <x:row r="479" ht="27.600000381469727">
      <x:c r="A479" s="10">
        <x:v>478</x:v>
      </x:c>
      <x:c r="B479" s="10" t="s">
        <x:v>34</x:v>
      </x:c>
      <x:c r="C479" s="10" t="s">
        <x:v>583</x:v>
      </x:c>
      <x:c r="D479" s="10" t="s">
        <x:v>62</x:v>
      </x:c>
      <x:c r="E479" s="10" t="s">
        <x:v>589</x:v>
      </x:c>
      <x:c r="F479" s="10" t="s">
        <x:v>3</x:v>
      </x:c>
      <x:c r="G479" s="10" t="s">
        <x:v>64</x:v>
      </x:c>
      <x:c r="H479" s="10" t="s">
        <x:v>64</x:v>
      </x:c>
      <x:c r="I479" s="10"/>
      <x:c r="J479" s="10"/>
      <x:c r="K479" s="10"/>
      <x:c r="L479" s="10"/>
      <x:c r="M479" s="10">
        <x:f t="shared" si="7"/>
        <x:v>0</x:v>
      </x:c>
    </x:row>
    <x:row r="480" ht="27.600000381469727">
      <x:c r="A480" s="10">
        <x:v>479</x:v>
      </x:c>
      <x:c r="B480" s="10" t="s">
        <x:v>34</x:v>
      </x:c>
      <x:c r="C480" s="10" t="s">
        <x:v>583</x:v>
      </x:c>
      <x:c r="D480" s="10" t="s">
        <x:v>62</x:v>
      </x:c>
      <x:c r="E480" s="10" t="s">
        <x:v>590</x:v>
      </x:c>
      <x:c r="F480" s="10" t="s">
        <x:v>3</x:v>
      </x:c>
      <x:c r="G480" s="10" t="s">
        <x:v>64</x:v>
      </x:c>
      <x:c r="H480" s="10" t="s">
        <x:v>64</x:v>
      </x:c>
      <x:c r="I480" s="10"/>
      <x:c r="J480" s="10"/>
      <x:c r="K480" s="10"/>
      <x:c r="L480" s="10"/>
      <x:c r="M480" s="10">
        <x:f t="shared" si="7"/>
        <x:v>0</x:v>
      </x:c>
    </x:row>
    <x:row r="481" ht="27.600000381469727">
      <x:c r="A481" s="10">
        <x:v>480</x:v>
      </x:c>
      <x:c r="B481" s="10" t="s">
        <x:v>34</x:v>
      </x:c>
      <x:c r="C481" s="10" t="s">
        <x:v>583</x:v>
      </x:c>
      <x:c r="D481" s="10" t="s">
        <x:v>62</x:v>
      </x:c>
      <x:c r="E481" s="10" t="s">
        <x:v>591</x:v>
      </x:c>
      <x:c r="F481" s="10" t="s">
        <x:v>3</x:v>
      </x:c>
      <x:c r="G481" s="10" t="s">
        <x:v>64</x:v>
      </x:c>
      <x:c r="H481" s="10" t="s">
        <x:v>64</x:v>
      </x:c>
      <x:c r="I481" s="10"/>
      <x:c r="J481" s="10"/>
      <x:c r="K481" s="10"/>
      <x:c r="L481" s="10"/>
      <x:c r="M481" s="10">
        <x:f t="shared" si="7"/>
        <x:v>0</x:v>
      </x:c>
    </x:row>
    <x:row r="482" ht="27.600000381469727">
      <x:c r="A482" s="10">
        <x:v>481</x:v>
      </x:c>
      <x:c r="B482" s="10" t="s">
        <x:v>34</x:v>
      </x:c>
      <x:c r="C482" s="10" t="s">
        <x:v>583</x:v>
      </x:c>
      <x:c r="D482" s="10" t="s">
        <x:v>62</x:v>
      </x:c>
      <x:c r="E482" s="10" t="s">
        <x:v>592</x:v>
      </x:c>
      <x:c r="F482" s="10" t="s">
        <x:v>3</x:v>
      </x:c>
      <x:c r="G482" s="10" t="s">
        <x:v>64</x:v>
      </x:c>
      <x:c r="H482" s="10" t="s">
        <x:v>64</x:v>
      </x:c>
      <x:c r="I482" s="10"/>
      <x:c r="J482" s="10"/>
      <x:c r="K482" s="10"/>
      <x:c r="L482" s="10"/>
      <x:c r="M482" s="10">
        <x:f t="shared" si="7"/>
        <x:v>0</x:v>
      </x:c>
    </x:row>
    <x:row r="483" ht="27.600000381469727">
      <x:c r="A483" s="10">
        <x:v>482</x:v>
      </x:c>
      <x:c r="B483" s="10" t="s">
        <x:v>34</x:v>
      </x:c>
      <x:c r="C483" s="10" t="s">
        <x:v>583</x:v>
      </x:c>
      <x:c r="D483" s="10" t="s">
        <x:v>62</x:v>
      </x:c>
      <x:c r="E483" s="10" t="s">
        <x:v>593</x:v>
      </x:c>
      <x:c r="F483" s="10" t="s">
        <x:v>3</x:v>
      </x:c>
      <x:c r="G483" s="10" t="s">
        <x:v>64</x:v>
      </x:c>
      <x:c r="H483" s="10" t="s">
        <x:v>64</x:v>
      </x:c>
      <x:c r="I483" s="10"/>
      <x:c r="J483" s="10"/>
      <x:c r="K483" s="10"/>
      <x:c r="L483" s="10"/>
      <x:c r="M483" s="10">
        <x:f t="shared" si="7"/>
        <x:v>0</x:v>
      </x:c>
    </x:row>
    <x:row r="484" ht="27.600000381469727">
      <x:c r="A484" s="10">
        <x:v>483</x:v>
      </x:c>
      <x:c r="B484" s="10" t="s">
        <x:v>34</x:v>
      </x:c>
      <x:c r="C484" s="10" t="s">
        <x:v>583</x:v>
      </x:c>
      <x:c r="D484" s="10" t="s">
        <x:v>78</x:v>
      </x:c>
      <x:c r="E484" s="10" t="s">
        <x:v>594</x:v>
      </x:c>
      <x:c r="F484" s="10" t="s">
        <x:v>3</x:v>
      </x:c>
      <x:c r="G484" s="10" t="s">
        <x:v>64</x:v>
      </x:c>
      <x:c r="H484" s="10" t="s">
        <x:v>64</x:v>
      </x:c>
      <x:c r="I484" s="10"/>
      <x:c r="J484" s="10"/>
      <x:c r="K484" s="10"/>
      <x:c r="L484" s="10"/>
      <x:c r="M484" s="10">
        <x:f t="shared" si="7"/>
        <x:v>0</x:v>
      </x:c>
    </x:row>
    <x:row r="485" ht="27.600000381469727">
      <x:c r="A485" s="10">
        <x:v>484</x:v>
      </x:c>
      <x:c r="B485" s="10" t="s">
        <x:v>34</x:v>
      </x:c>
      <x:c r="C485" s="10" t="s">
        <x:v>583</x:v>
      </x:c>
      <x:c r="D485" s="10" t="s">
        <x:v>78</x:v>
      </x:c>
      <x:c r="E485" s="10" t="s">
        <x:v>595</x:v>
      </x:c>
      <x:c r="F485" s="10" t="s">
        <x:v>3</x:v>
      </x:c>
      <x:c r="G485" s="10" t="s">
        <x:v>64</x:v>
      </x:c>
      <x:c r="H485" s="10" t="s">
        <x:v>64</x:v>
      </x:c>
      <x:c r="I485" s="10"/>
      <x:c r="J485" s="10"/>
      <x:c r="K485" s="10"/>
      <x:c r="L485" s="10"/>
      <x:c r="M485" s="10">
        <x:f t="shared" si="7"/>
        <x:v>0</x:v>
      </x:c>
    </x:row>
    <x:row r="486" ht="27.600000381469727">
      <x:c r="A486" s="10">
        <x:v>485</x:v>
      </x:c>
      <x:c r="B486" s="10" t="s">
        <x:v>34</x:v>
      </x:c>
      <x:c r="C486" s="10" t="s">
        <x:v>583</x:v>
      </x:c>
      <x:c r="D486" s="10" t="s">
        <x:v>84</x:v>
      </x:c>
      <x:c r="E486" s="10" t="s">
        <x:v>596</x:v>
      </x:c>
      <x:c r="F486" s="10" t="s">
        <x:v>3</x:v>
      </x:c>
      <x:c r="G486" s="10" t="s">
        <x:v>52</x:v>
      </x:c>
      <x:c r="H486" s="10" t="s">
        <x:v>64</x:v>
      </x:c>
      <x:c r="I486" s="10"/>
      <x:c r="J486" s="10"/>
      <x:c r="K486" s="10"/>
      <x:c r="L486" s="10"/>
      <x:c r="M486" s="10">
        <x:f t="shared" si="7"/>
        <x:v>0</x:v>
      </x:c>
    </x:row>
    <x:row r="487" ht="27.600000381469727">
      <x:c r="A487" s="10">
        <x:v>486</x:v>
      </x:c>
      <x:c r="B487" s="10" t="s">
        <x:v>34</x:v>
      </x:c>
      <x:c r="C487" s="10" t="s">
        <x:v>583</x:v>
      </x:c>
      <x:c r="D487" s="10" t="s">
        <x:v>84</x:v>
      </x:c>
      <x:c r="E487" s="10" t="s">
        <x:v>597</x:v>
      </x:c>
      <x:c r="F487" s="10" t="s">
        <x:v>3</x:v>
      </x:c>
      <x:c r="G487" s="10" t="s">
        <x:v>52</x:v>
      </x:c>
      <x:c r="H487" s="10" t="s">
        <x:v>64</x:v>
      </x:c>
      <x:c r="I487" s="10"/>
      <x:c r="J487" s="10"/>
      <x:c r="K487" s="10"/>
      <x:c r="L487" s="10"/>
      <x:c r="M487" s="10">
        <x:f t="shared" si="7"/>
        <x:v>0</x:v>
      </x:c>
    </x:row>
    <x:row r="488" ht="27.600000381469727">
      <x:c r="A488" s="10">
        <x:v>487</x:v>
      </x:c>
      <x:c r="B488" s="10" t="s">
        <x:v>34</x:v>
      </x:c>
      <x:c r="C488" s="10" t="s">
        <x:v>583</x:v>
      </x:c>
      <x:c r="D488" s="10" t="s">
        <x:v>84</x:v>
      </x:c>
      <x:c r="E488" s="10" t="s">
        <x:v>598</x:v>
      </x:c>
      <x:c r="F488" s="10" t="s">
        <x:v>3</x:v>
      </x:c>
      <x:c r="G488" s="10" t="s">
        <x:v>52</x:v>
      </x:c>
      <x:c r="H488" s="10" t="s">
        <x:v>64</x:v>
      </x:c>
      <x:c r="I488" s="10"/>
      <x:c r="J488" s="10"/>
      <x:c r="K488" s="10"/>
      <x:c r="L488" s="10"/>
      <x:c r="M488" s="10">
        <x:f t="shared" si="7"/>
        <x:v>0</x:v>
      </x:c>
    </x:row>
    <x:row r="489" ht="27.600000381469727">
      <x:c r="A489" s="10">
        <x:v>488</x:v>
      </x:c>
      <x:c r="B489" s="10" t="s">
        <x:v>34</x:v>
      </x:c>
      <x:c r="C489" s="10" t="s">
        <x:v>583</x:v>
      </x:c>
      <x:c r="D489" s="10" t="s">
        <x:v>84</x:v>
      </x:c>
      <x:c r="E489" s="10" t="s">
        <x:v>599</x:v>
      </x:c>
      <x:c r="F489" s="10" t="s">
        <x:v>3</x:v>
      </x:c>
      <x:c r="G489" s="10" t="s">
        <x:v>52</x:v>
      </x:c>
      <x:c r="H489" s="10" t="s">
        <x:v>64</x:v>
      </x:c>
      <x:c r="I489" s="10"/>
      <x:c r="J489" s="10"/>
      <x:c r="K489" s="10"/>
      <x:c r="L489" s="10"/>
      <x:c r="M489" s="10">
        <x:f t="shared" si="7"/>
        <x:v>0</x:v>
      </x:c>
    </x:row>
    <x:row r="490">
      <x:c r="A490" s="10">
        <x:v>489</x:v>
      </x:c>
      <x:c r="B490" s="10" t="s">
        <x:v>35</x:v>
      </x:c>
      <x:c r="C490" s="10" t="s">
        <x:v>600</x:v>
      </x:c>
      <x:c r="D490" s="10" t="s">
        <x:v>601</x:v>
      </x:c>
      <x:c r="E490" s="10" t="s">
        <x:v>602</x:v>
      </x:c>
      <x:c r="F490" s="10" t="s">
        <x:v>3</x:v>
      </x:c>
      <x:c r="G490" s="10" t="s">
        <x:v>52</x:v>
      </x:c>
      <x:c r="H490" s="10" t="s">
        <x:v>64</x:v>
      </x:c>
      <x:c r="I490" s="10"/>
      <x:c r="J490" s="10"/>
      <x:c r="K490" s="10"/>
      <x:c r="L490" s="10"/>
      <x:c r="M490" s="10">
        <x:f t="shared" si="7"/>
        <x:v>0</x:v>
      </x:c>
    </x:row>
    <x:row r="491">
      <x:c r="A491" s="10">
        <x:v>490</x:v>
      </x:c>
      <x:c r="B491" s="10" t="s">
        <x:v>35</x:v>
      </x:c>
      <x:c r="C491" s="10" t="s">
        <x:v>600</x:v>
      </x:c>
      <x:c r="D491" s="10" t="s">
        <x:v>601</x:v>
      </x:c>
      <x:c r="E491" s="10" t="s">
        <x:v>603</x:v>
      </x:c>
      <x:c r="F491" s="10" t="s">
        <x:v>3</x:v>
      </x:c>
      <x:c r="G491" s="10" t="s">
        <x:v>52</x:v>
      </x:c>
      <x:c r="H491" s="10" t="s">
        <x:v>52</x:v>
      </x:c>
      <x:c r="I491" s="10"/>
      <x:c r="J491" s="10"/>
      <x:c r="K491" s="10"/>
      <x:c r="L491" s="10"/>
      <x:c r="M491" s="10">
        <x:f t="shared" si="7"/>
        <x:v>0</x:v>
      </x:c>
    </x:row>
    <x:row r="492">
      <x:c r="A492" s="10">
        <x:v>491</x:v>
      </x:c>
      <x:c r="B492" s="10" t="s">
        <x:v>35</x:v>
      </x:c>
      <x:c r="C492" s="10" t="s">
        <x:v>600</x:v>
      </x:c>
      <x:c r="D492" s="10" t="s">
        <x:v>601</x:v>
      </x:c>
      <x:c r="E492" s="10" t="s">
        <x:v>604</x:v>
      </x:c>
      <x:c r="F492" s="10" t="s">
        <x:v>3</x:v>
      </x:c>
      <x:c r="G492" s="10" t="s">
        <x:v>52</x:v>
      </x:c>
      <x:c r="H492" s="10" t="s">
        <x:v>52</x:v>
      </x:c>
      <x:c r="I492" s="10"/>
      <x:c r="J492" s="10"/>
      <x:c r="K492" s="10"/>
      <x:c r="L492" s="10"/>
      <x:c r="M492" s="10">
        <x:f t="shared" si="7"/>
        <x:v>0</x:v>
      </x:c>
    </x:row>
    <x:row r="493">
      <x:c r="A493" s="10">
        <x:v>492</x:v>
      </x:c>
      <x:c r="B493" s="10" t="s">
        <x:v>35</x:v>
      </x:c>
      <x:c r="C493" s="10" t="s">
        <x:v>600</x:v>
      </x:c>
      <x:c r="D493" s="10" t="s">
        <x:v>601</x:v>
      </x:c>
      <x:c r="E493" s="10" t="s">
        <x:v>605</x:v>
      </x:c>
      <x:c r="F493" s="10" t="s">
        <x:v>3</x:v>
      </x:c>
      <x:c r="G493" s="10" t="s">
        <x:v>52</x:v>
      </x:c>
      <x:c r="H493" s="10" t="s">
        <x:v>52</x:v>
      </x:c>
      <x:c r="I493" s="10"/>
      <x:c r="J493" s="10"/>
      <x:c r="K493" s="10"/>
      <x:c r="L493" s="10"/>
      <x:c r="M493" s="10">
        <x:f t="shared" si="7"/>
        <x:v>0</x:v>
      </x:c>
    </x:row>
    <x:row r="494">
      <x:c r="A494" s="10">
        <x:v>493</x:v>
      </x:c>
      <x:c r="B494" s="10" t="s">
        <x:v>35</x:v>
      </x:c>
      <x:c r="C494" s="10" t="s">
        <x:v>600</x:v>
      </x:c>
      <x:c r="D494" s="10" t="s">
        <x:v>601</x:v>
      </x:c>
      <x:c r="E494" s="10" t="s">
        <x:v>606</x:v>
      </x:c>
      <x:c r="F494" s="10" t="s">
        <x:v>3</x:v>
      </x:c>
      <x:c r="G494" s="10" t="s">
        <x:v>52</x:v>
      </x:c>
      <x:c r="H494" s="10" t="s">
        <x:v>64</x:v>
      </x:c>
      <x:c r="I494" s="10"/>
      <x:c r="J494" s="10"/>
      <x:c r="K494" s="10"/>
      <x:c r="L494" s="10"/>
      <x:c r="M494" s="10">
        <x:f t="shared" si="7"/>
        <x:v>0</x:v>
      </x:c>
    </x:row>
    <x:row r="495">
      <x:c r="A495" s="10">
        <x:v>494</x:v>
      </x:c>
      <x:c r="B495" s="10" t="s">
        <x:v>35</x:v>
      </x:c>
      <x:c r="C495" s="10" t="s">
        <x:v>600</x:v>
      </x:c>
      <x:c r="D495" s="10" t="s">
        <x:v>601</x:v>
      </x:c>
      <x:c r="E495" s="10" t="s">
        <x:v>607</x:v>
      </x:c>
      <x:c r="F495" s="10" t="s">
        <x:v>3</x:v>
      </x:c>
      <x:c r="G495" s="10" t="s">
        <x:v>52</x:v>
      </x:c>
      <x:c r="H495" s="10" t="s">
        <x:v>64</x:v>
      </x:c>
      <x:c r="I495" s="10"/>
      <x:c r="J495" s="10"/>
      <x:c r="K495" s="10"/>
      <x:c r="L495" s="10"/>
      <x:c r="M495" s="10">
        <x:f t="shared" si="7"/>
        <x:v>0</x:v>
      </x:c>
    </x:row>
    <x:row r="496">
      <x:c r="A496" s="10">
        <x:v>495</x:v>
      </x:c>
      <x:c r="B496" s="10" t="s">
        <x:v>35</x:v>
      </x:c>
      <x:c r="C496" s="10" t="s">
        <x:v>600</x:v>
      </x:c>
      <x:c r="D496" s="10" t="s">
        <x:v>601</x:v>
      </x:c>
      <x:c r="E496" s="10" t="s">
        <x:v>608</x:v>
      </x:c>
      <x:c r="F496" s="10" t="s">
        <x:v>3</x:v>
      </x:c>
      <x:c r="G496" s="10" t="s">
        <x:v>52</x:v>
      </x:c>
      <x:c r="H496" s="10" t="s">
        <x:v>64</x:v>
      </x:c>
      <x:c r="I496" s="10"/>
      <x:c r="J496" s="10"/>
      <x:c r="K496" s="10"/>
      <x:c r="L496" s="10"/>
      <x:c r="M496" s="10">
        <x:f t="shared" si="7"/>
        <x:v>0</x:v>
      </x:c>
    </x:row>
    <x:row r="497">
      <x:c r="A497">
        <x:v>496</x:v>
      </x:c>
      <x:c r="B497" t="s">
        <x:v>35</x:v>
      </x:c>
      <x:c r="C497" t="s">
        <x:v>600</x:v>
      </x:c>
      <x:c r="D497" t="s">
        <x:v>601</x:v>
      </x:c>
      <x:c r="E497" t="s">
        <x:v>609</x:v>
      </x:c>
      <x:c r="F497" t="s">
        <x:v>3</x:v>
      </x:c>
      <x:c r="G497" t="s">
        <x:v>52</x:v>
      </x:c>
      <x:c r="H497" t="s">
        <x:v>64</x:v>
      </x:c>
      <x:c r="I497"/>
      <x:c r="J497"/>
      <x:c r="K497"/>
      <x:c r="L497"/>
      <x:c r="M497" t="n">
        <x:f t="shared" ref="M497:M534" si="8">IF(F497="Hoàn thành",1,0)</x:f>
        <x:v>0</x:v>
      </x:c>
    </x:row>
    <x:row r="498">
      <x:c r="A498">
        <x:v>497</x:v>
      </x:c>
      <x:c r="B498" t="s">
        <x:v>35</x:v>
      </x:c>
      <x:c r="C498" t="s">
        <x:v>600</x:v>
      </x:c>
      <x:c r="D498" t="s">
        <x:v>601</x:v>
      </x:c>
      <x:c r="E498" t="s">
        <x:v>610</x:v>
      </x:c>
      <x:c r="F498" t="s">
        <x:v>3</x:v>
      </x:c>
      <x:c r="G498" t="s">
        <x:v>52</x:v>
      </x:c>
      <x:c r="H498" t="s">
        <x:v>64</x:v>
      </x:c>
      <x:c r="I498"/>
      <x:c r="J498"/>
      <x:c r="K498"/>
      <x:c r="L498"/>
      <x:c r="M498">
        <x:f t="shared" si="8"/>
        <x:v>0</x:v>
      </x:c>
    </x:row>
    <x:row r="499">
      <x:c r="A499">
        <x:v>498</x:v>
      </x:c>
      <x:c r="B499" t="s">
        <x:v>35</x:v>
      </x:c>
      <x:c r="C499" t="s">
        <x:v>600</x:v>
      </x:c>
      <x:c r="D499" t="s">
        <x:v>601</x:v>
      </x:c>
      <x:c r="E499" t="s">
        <x:v>611</x:v>
      </x:c>
      <x:c r="F499" t="s">
        <x:v>3</x:v>
      </x:c>
      <x:c r="G499" t="s">
        <x:v>52</x:v>
      </x:c>
      <x:c r="H499" t="s">
        <x:v>64</x:v>
      </x:c>
      <x:c r="I499"/>
      <x:c r="J499"/>
      <x:c r="K499"/>
      <x:c r="L499"/>
      <x:c r="M499">
        <x:f t="shared" si="8"/>
        <x:v>0</x:v>
      </x:c>
    </x:row>
    <x:row r="500">
      <x:c r="A500">
        <x:v>499</x:v>
      </x:c>
      <x:c r="B500" t="s">
        <x:v>35</x:v>
      </x:c>
      <x:c r="C500" t="s">
        <x:v>600</x:v>
      </x:c>
      <x:c r="D500" t="s">
        <x:v>601</x:v>
      </x:c>
      <x:c r="E500" t="s">
        <x:v>612</x:v>
      </x:c>
      <x:c r="F500" t="s">
        <x:v>3</x:v>
      </x:c>
      <x:c r="G500" t="s">
        <x:v>52</x:v>
      </x:c>
      <x:c r="H500" t="s">
        <x:v>64</x:v>
      </x:c>
      <x:c r="I500"/>
      <x:c r="J500"/>
      <x:c r="K500"/>
      <x:c r="L500"/>
      <x:c r="M500">
        <x:f t="shared" si="8"/>
        <x:v>0</x:v>
      </x:c>
    </x:row>
    <x:row r="501">
      <x:c r="A501">
        <x:v>500</x:v>
      </x:c>
      <x:c r="B501" t="s">
        <x:v>35</x:v>
      </x:c>
      <x:c r="C501" t="s">
        <x:v>600</x:v>
      </x:c>
      <x:c r="D501" t="s">
        <x:v>601</x:v>
      </x:c>
      <x:c r="E501" t="s">
        <x:v>613</x:v>
      </x:c>
      <x:c r="F501" t="s">
        <x:v>3</x:v>
      </x:c>
      <x:c r="G501" t="s">
        <x:v>52</x:v>
      </x:c>
      <x:c r="H501" t="s">
        <x:v>52</x:v>
      </x:c>
      <x:c r="I501"/>
      <x:c r="J501"/>
      <x:c r="K501"/>
      <x:c r="L501"/>
      <x:c r="M501">
        <x:f t="shared" si="8"/>
        <x:v>0</x:v>
      </x:c>
    </x:row>
    <x:row r="502">
      <x:c r="A502">
        <x:v>501</x:v>
      </x:c>
      <x:c r="B502" t="s">
        <x:v>35</x:v>
      </x:c>
      <x:c r="C502" t="s">
        <x:v>600</x:v>
      </x:c>
      <x:c r="D502" t="s">
        <x:v>601</x:v>
      </x:c>
      <x:c r="E502" t="s">
        <x:v>614</x:v>
      </x:c>
      <x:c r="F502" t="s">
        <x:v>3</x:v>
      </x:c>
      <x:c r="G502" t="s">
        <x:v>52</x:v>
      </x:c>
      <x:c r="H502" t="s">
        <x:v>52</x:v>
      </x:c>
      <x:c r="I502"/>
      <x:c r="J502"/>
      <x:c r="K502"/>
      <x:c r="L502"/>
      <x:c r="M502">
        <x:f t="shared" si="8"/>
        <x:v>0</x:v>
      </x:c>
    </x:row>
    <x:row r="503">
      <x:c r="A503">
        <x:v>502</x:v>
      </x:c>
      <x:c r="B503" t="s">
        <x:v>35</x:v>
      </x:c>
      <x:c r="C503" t="s">
        <x:v>600</x:v>
      </x:c>
      <x:c r="D503" t="s">
        <x:v>601</x:v>
      </x:c>
      <x:c r="E503" t="s">
        <x:v>615</x:v>
      </x:c>
      <x:c r="F503" t="s">
        <x:v>3</x:v>
      </x:c>
      <x:c r="G503" t="s">
        <x:v>52</x:v>
      </x:c>
      <x:c r="H503" t="s">
        <x:v>64</x:v>
      </x:c>
      <x:c r="I503"/>
      <x:c r="J503"/>
      <x:c r="K503"/>
      <x:c r="L503"/>
      <x:c r="M503">
        <x:f t="shared" si="8"/>
        <x:v>0</x:v>
      </x:c>
    </x:row>
    <x:row r="504">
      <x:c r="A504">
        <x:v>503</x:v>
      </x:c>
      <x:c r="B504" t="s">
        <x:v>35</x:v>
      </x:c>
      <x:c r="C504" t="s">
        <x:v>600</x:v>
      </x:c>
      <x:c r="D504" t="s">
        <x:v>601</x:v>
      </x:c>
      <x:c r="E504" t="s">
        <x:v>616</x:v>
      </x:c>
      <x:c r="F504" t="s">
        <x:v>3</x:v>
      </x:c>
      <x:c r="G504" t="s">
        <x:v>52</x:v>
      </x:c>
      <x:c r="H504" t="s">
        <x:v>64</x:v>
      </x:c>
      <x:c r="I504"/>
      <x:c r="J504"/>
      <x:c r="K504"/>
      <x:c r="L504"/>
      <x:c r="M504">
        <x:f t="shared" si="8"/>
        <x:v>0</x:v>
      </x:c>
    </x:row>
    <x:row r="505">
      <x:c r="A505">
        <x:v>504</x:v>
      </x:c>
      <x:c r="B505" t="s">
        <x:v>35</x:v>
      </x:c>
      <x:c r="C505" t="s">
        <x:v>600</x:v>
      </x:c>
      <x:c r="D505" t="s">
        <x:v>601</x:v>
      </x:c>
      <x:c r="E505" t="s">
        <x:v>617</x:v>
      </x:c>
      <x:c r="F505" t="s">
        <x:v>3</x:v>
      </x:c>
      <x:c r="G505" t="s">
        <x:v>52</x:v>
      </x:c>
      <x:c r="H505" t="s">
        <x:v>52</x:v>
      </x:c>
      <x:c r="I505"/>
      <x:c r="J505"/>
      <x:c r="K505"/>
      <x:c r="L505"/>
      <x:c r="M505">
        <x:f t="shared" si="8"/>
        <x:v>0</x:v>
      </x:c>
    </x:row>
    <x:row r="506">
      <x:c r="A506">
        <x:v>505</x:v>
      </x:c>
      <x:c r="B506" t="s">
        <x:v>35</x:v>
      </x:c>
      <x:c r="C506" t="s">
        <x:v>600</x:v>
      </x:c>
      <x:c r="D506" t="s">
        <x:v>601</x:v>
      </x:c>
      <x:c r="E506" t="s">
        <x:v>618</x:v>
      </x:c>
      <x:c r="F506" t="s">
        <x:v>3</x:v>
      </x:c>
      <x:c r="G506" t="s">
        <x:v>52</x:v>
      </x:c>
      <x:c r="H506" t="s">
        <x:v>64</x:v>
      </x:c>
      <x:c r="I506"/>
      <x:c r="J506"/>
      <x:c r="K506"/>
      <x:c r="L506"/>
      <x:c r="M506">
        <x:f t="shared" si="8"/>
        <x:v>0</x:v>
      </x:c>
    </x:row>
    <x:row r="507">
      <x:c r="A507">
        <x:v>506</x:v>
      </x:c>
      <x:c r="B507" t="s">
        <x:v>35</x:v>
      </x:c>
      <x:c r="C507" t="s">
        <x:v>600</x:v>
      </x:c>
      <x:c r="D507" t="s">
        <x:v>601</x:v>
      </x:c>
      <x:c r="E507" t="s">
        <x:v>17</x:v>
      </x:c>
      <x:c r="F507" t="s">
        <x:v>3</x:v>
      </x:c>
      <x:c r="G507" t="s">
        <x:v>52</x:v>
      </x:c>
      <x:c r="H507" t="s">
        <x:v>64</x:v>
      </x:c>
      <x:c r="I507"/>
      <x:c r="J507"/>
      <x:c r="K507"/>
      <x:c r="L507"/>
      <x:c r="M507">
        <x:f t="shared" si="8"/>
        <x:v>0</x:v>
      </x:c>
    </x:row>
    <x:row r="508">
      <x:c r="A508">
        <x:v>507</x:v>
      </x:c>
      <x:c r="B508" t="s">
        <x:v>35</x:v>
      </x:c>
      <x:c r="C508" t="s">
        <x:v>600</x:v>
      </x:c>
      <x:c r="D508" t="s">
        <x:v>601</x:v>
      </x:c>
      <x:c r="E508" t="s">
        <x:v>619</x:v>
      </x:c>
      <x:c r="F508" t="s">
        <x:v>3</x:v>
      </x:c>
      <x:c r="G508" t="s">
        <x:v>52</x:v>
      </x:c>
      <x:c r="H508" t="s">
        <x:v>64</x:v>
      </x:c>
      <x:c r="I508"/>
      <x:c r="J508"/>
      <x:c r="K508"/>
      <x:c r="L508"/>
      <x:c r="M508">
        <x:f t="shared" si="8"/>
        <x:v>0</x:v>
      </x:c>
    </x:row>
    <x:row r="509">
      <x:c r="A509">
        <x:v>508</x:v>
      </x:c>
      <x:c r="B509" t="s">
        <x:v>35</x:v>
      </x:c>
      <x:c r="C509" t="s">
        <x:v>600</x:v>
      </x:c>
      <x:c r="D509" t="s">
        <x:v>601</x:v>
      </x:c>
      <x:c r="E509" t="s">
        <x:v>620</x:v>
      </x:c>
      <x:c r="F509" t="s">
        <x:v>3</x:v>
      </x:c>
      <x:c r="G509" t="s">
        <x:v>52</x:v>
      </x:c>
      <x:c r="H509" t="s">
        <x:v>52</x:v>
      </x:c>
      <x:c r="I509"/>
      <x:c r="J509"/>
      <x:c r="K509"/>
      <x:c r="L509"/>
      <x:c r="M509">
        <x:f t="shared" si="8"/>
        <x:v>0</x:v>
      </x:c>
    </x:row>
    <x:row r="510">
      <x:c r="A510">
        <x:v>509</x:v>
      </x:c>
      <x:c r="B510" t="s">
        <x:v>36</x:v>
      </x:c>
      <x:c r="C510" t="s">
        <x:v>621</x:v>
      </x:c>
      <x:c r="D510" t="s">
        <x:v>601</x:v>
      </x:c>
      <x:c r="E510" t="s">
        <x:v>622</x:v>
      </x:c>
      <x:c r="F510" t="s">
        <x:v>3</x:v>
      </x:c>
      <x:c r="G510" t="s">
        <x:v>52</x:v>
      </x:c>
      <x:c r="H510" t="s">
        <x:v>52</x:v>
      </x:c>
      <x:c r="I510"/>
      <x:c r="J510"/>
      <x:c r="K510"/>
      <x:c r="L510"/>
      <x:c r="M510">
        <x:f t="shared" si="8"/>
        <x:v>0</x:v>
      </x:c>
    </x:row>
    <x:row r="511">
      <x:c r="A511">
        <x:v>510</x:v>
      </x:c>
      <x:c r="B511" t="s">
        <x:v>36</x:v>
      </x:c>
      <x:c r="C511" t="s">
        <x:v>621</x:v>
      </x:c>
      <x:c r="D511" t="s">
        <x:v>601</x:v>
      </x:c>
      <x:c r="E511" t="s">
        <x:v>623</x:v>
      </x:c>
      <x:c r="F511" t="s">
        <x:v>3</x:v>
      </x:c>
      <x:c r="G511" t="s">
        <x:v>52</x:v>
      </x:c>
      <x:c r="H511" t="s">
        <x:v>52</x:v>
      </x:c>
      <x:c r="I511"/>
      <x:c r="J511"/>
      <x:c r="K511"/>
      <x:c r="L511"/>
      <x:c r="M511">
        <x:f t="shared" si="8"/>
        <x:v>0</x:v>
      </x:c>
    </x:row>
    <x:row r="512">
      <x:c r="A512">
        <x:v>511</x:v>
      </x:c>
      <x:c r="B512" t="s">
        <x:v>36</x:v>
      </x:c>
      <x:c r="C512" t="s">
        <x:v>621</x:v>
      </x:c>
      <x:c r="D512" t="s">
        <x:v>601</x:v>
      </x:c>
      <x:c r="E512" t="s">
        <x:v>624</x:v>
      </x:c>
      <x:c r="F512" t="s">
        <x:v>3</x:v>
      </x:c>
      <x:c r="G512" t="s">
        <x:v>52</x:v>
      </x:c>
      <x:c r="H512" t="s">
        <x:v>52</x:v>
      </x:c>
      <x:c r="I512"/>
      <x:c r="J512"/>
      <x:c r="K512"/>
      <x:c r="L512"/>
      <x:c r="M512">
        <x:f t="shared" si="8"/>
        <x:v>0</x:v>
      </x:c>
    </x:row>
    <x:row r="513">
      <x:c r="A513">
        <x:v>512</x:v>
      </x:c>
      <x:c r="B513" t="s">
        <x:v>36</x:v>
      </x:c>
      <x:c r="C513" t="s">
        <x:v>621</x:v>
      </x:c>
      <x:c r="D513" t="s">
        <x:v>601</x:v>
      </x:c>
      <x:c r="E513" t="s">
        <x:v>625</x:v>
      </x:c>
      <x:c r="F513" t="s">
        <x:v>3</x:v>
      </x:c>
      <x:c r="G513" t="s">
        <x:v>52</x:v>
      </x:c>
      <x:c r="H513" t="s">
        <x:v>52</x:v>
      </x:c>
      <x:c r="I513"/>
      <x:c r="J513"/>
      <x:c r="K513"/>
      <x:c r="L513"/>
      <x:c r="M513">
        <x:f t="shared" si="8"/>
        <x:v>0</x:v>
      </x:c>
    </x:row>
    <x:row r="514">
      <x:c r="A514">
        <x:v>513</x:v>
      </x:c>
      <x:c r="B514" t="s">
        <x:v>36</x:v>
      </x:c>
      <x:c r="C514" t="s">
        <x:v>621</x:v>
      </x:c>
      <x:c r="D514" t="s">
        <x:v>601</x:v>
      </x:c>
      <x:c r="E514" t="s">
        <x:v>626</x:v>
      </x:c>
      <x:c r="F514" t="s">
        <x:v>3</x:v>
      </x:c>
      <x:c r="G514" t="s">
        <x:v>52</x:v>
      </x:c>
      <x:c r="H514" t="s">
        <x:v>52</x:v>
      </x:c>
      <x:c r="I514"/>
      <x:c r="J514"/>
      <x:c r="K514"/>
      <x:c r="L514"/>
      <x:c r="M514">
        <x:f t="shared" si="8"/>
        <x:v>0</x:v>
      </x:c>
    </x:row>
    <x:row r="515">
      <x:c r="A515">
        <x:v>514</x:v>
      </x:c>
      <x:c r="B515" t="s">
        <x:v>36</x:v>
      </x:c>
      <x:c r="C515" t="s">
        <x:v>621</x:v>
      </x:c>
      <x:c r="D515" t="s">
        <x:v>601</x:v>
      </x:c>
      <x:c r="E515" t="s">
        <x:v>627</x:v>
      </x:c>
      <x:c r="F515" t="s">
        <x:v>3</x:v>
      </x:c>
      <x:c r="G515" t="s">
        <x:v>52</x:v>
      </x:c>
      <x:c r="H515" t="s">
        <x:v>52</x:v>
      </x:c>
      <x:c r="I515"/>
      <x:c r="J515"/>
      <x:c r="K515"/>
      <x:c r="L515"/>
      <x:c r="M515">
        <x:f t="shared" si="8"/>
        <x:v>0</x:v>
      </x:c>
    </x:row>
    <x:row r="516">
      <x:c r="A516">
        <x:v>515</x:v>
      </x:c>
      <x:c r="B516" t="s">
        <x:v>36</x:v>
      </x:c>
      <x:c r="C516" t="s">
        <x:v>621</x:v>
      </x:c>
      <x:c r="D516" t="s">
        <x:v>601</x:v>
      </x:c>
      <x:c r="E516" t="s">
        <x:v>628</x:v>
      </x:c>
      <x:c r="F516" t="s">
        <x:v>3</x:v>
      </x:c>
      <x:c r="G516" t="s">
        <x:v>52</x:v>
      </x:c>
      <x:c r="H516" t="s">
        <x:v>52</x:v>
      </x:c>
      <x:c r="I516"/>
      <x:c r="J516"/>
      <x:c r="K516"/>
      <x:c r="L516"/>
      <x:c r="M516">
        <x:f t="shared" si="8"/>
        <x:v>0</x:v>
      </x:c>
    </x:row>
    <x:row r="517">
      <x:c r="A517">
        <x:v>516</x:v>
      </x:c>
      <x:c r="B517" t="s">
        <x:v>36</x:v>
      </x:c>
      <x:c r="C517" t="s">
        <x:v>621</x:v>
      </x:c>
      <x:c r="D517" t="s">
        <x:v>601</x:v>
      </x:c>
      <x:c r="E517" t="s">
        <x:v>629</x:v>
      </x:c>
      <x:c r="F517" t="s">
        <x:v>3</x:v>
      </x:c>
      <x:c r="G517" t="s">
        <x:v>52</x:v>
      </x:c>
      <x:c r="H517" t="s">
        <x:v>52</x:v>
      </x:c>
      <x:c r="I517"/>
      <x:c r="J517"/>
      <x:c r="K517"/>
      <x:c r="L517"/>
      <x:c r="M517">
        <x:f t="shared" si="8"/>
        <x:v>0</x:v>
      </x:c>
    </x:row>
    <x:row r="518">
      <x:c r="A518">
        <x:v>517</x:v>
      </x:c>
      <x:c r="B518" t="s">
        <x:v>36</x:v>
      </x:c>
      <x:c r="C518" t="s">
        <x:v>621</x:v>
      </x:c>
      <x:c r="D518" t="s">
        <x:v>601</x:v>
      </x:c>
      <x:c r="E518" t="s">
        <x:v>630</x:v>
      </x:c>
      <x:c r="F518" t="s">
        <x:v>3</x:v>
      </x:c>
      <x:c r="G518" t="s">
        <x:v>52</x:v>
      </x:c>
      <x:c r="H518" t="s">
        <x:v>52</x:v>
      </x:c>
      <x:c r="I518"/>
      <x:c r="J518"/>
      <x:c r="K518"/>
      <x:c r="L518"/>
      <x:c r="M518">
        <x:f t="shared" si="8"/>
        <x:v>0</x:v>
      </x:c>
    </x:row>
    <x:row r="519">
      <x:c r="A519">
        <x:v>518</x:v>
      </x:c>
      <x:c r="B519" t="s">
        <x:v>36</x:v>
      </x:c>
      <x:c r="C519" t="s">
        <x:v>621</x:v>
      </x:c>
      <x:c r="D519" t="s">
        <x:v>601</x:v>
      </x:c>
      <x:c r="E519" t="s">
        <x:v>631</x:v>
      </x:c>
      <x:c r="F519" t="s">
        <x:v>3</x:v>
      </x:c>
      <x:c r="G519" t="s">
        <x:v>52</x:v>
      </x:c>
      <x:c r="H519" t="s">
        <x:v>52</x:v>
      </x:c>
      <x:c r="I519"/>
      <x:c r="J519"/>
      <x:c r="K519"/>
      <x:c r="L519"/>
      <x:c r="M519">
        <x:f t="shared" si="8"/>
        <x:v>0</x:v>
      </x:c>
    </x:row>
    <x:row r="520">
      <x:c r="A520">
        <x:v>519</x:v>
      </x:c>
      <x:c r="B520" t="s">
        <x:v>36</x:v>
      </x:c>
      <x:c r="C520" t="s">
        <x:v>621</x:v>
      </x:c>
      <x:c r="D520" t="s">
        <x:v>601</x:v>
      </x:c>
      <x:c r="E520" t="s">
        <x:v>632</x:v>
      </x:c>
      <x:c r="F520" t="s">
        <x:v>3</x:v>
      </x:c>
      <x:c r="G520" t="s">
        <x:v>52</x:v>
      </x:c>
      <x:c r="H520" t="s">
        <x:v>52</x:v>
      </x:c>
      <x:c r="I520"/>
      <x:c r="J520"/>
      <x:c r="K520"/>
      <x:c r="L520"/>
      <x:c r="M520">
        <x:f t="shared" si="8"/>
        <x:v>0</x:v>
      </x:c>
    </x:row>
    <x:row r="521">
      <x:c r="A521">
        <x:v>520</x:v>
      </x:c>
      <x:c r="B521" t="s">
        <x:v>36</x:v>
      </x:c>
      <x:c r="C521" t="s">
        <x:v>621</x:v>
      </x:c>
      <x:c r="D521" t="s">
        <x:v>601</x:v>
      </x:c>
      <x:c r="E521" t="s">
        <x:v>633</x:v>
      </x:c>
      <x:c r="F521" t="s">
        <x:v>3</x:v>
      </x:c>
      <x:c r="G521" t="s">
        <x:v>52</x:v>
      </x:c>
      <x:c r="H521" t="s">
        <x:v>52</x:v>
      </x:c>
      <x:c r="I521"/>
      <x:c r="J521"/>
      <x:c r="K521"/>
      <x:c r="L521"/>
      <x:c r="M521">
        <x:f t="shared" si="8"/>
        <x:v>0</x:v>
      </x:c>
    </x:row>
    <x:row r="522">
      <x:c r="A522">
        <x:v>521</x:v>
      </x:c>
      <x:c r="B522" t="s">
        <x:v>36</x:v>
      </x:c>
      <x:c r="C522" t="s">
        <x:v>621</x:v>
      </x:c>
      <x:c r="D522" t="s">
        <x:v>601</x:v>
      </x:c>
      <x:c r="E522" t="s">
        <x:v>634</x:v>
      </x:c>
      <x:c r="F522" t="s">
        <x:v>3</x:v>
      </x:c>
      <x:c r="G522" t="s">
        <x:v>52</x:v>
      </x:c>
      <x:c r="H522" t="s">
        <x:v>52</x:v>
      </x:c>
      <x:c r="I522"/>
      <x:c r="J522"/>
      <x:c r="K522"/>
      <x:c r="L522"/>
      <x:c r="M522">
        <x:f t="shared" si="8"/>
        <x:v>0</x:v>
      </x:c>
    </x:row>
    <x:row r="523">
      <x:c r="A523">
        <x:v>522</x:v>
      </x:c>
      <x:c r="B523" t="s">
        <x:v>36</x:v>
      </x:c>
      <x:c r="C523" t="s">
        <x:v>621</x:v>
      </x:c>
      <x:c r="D523" t="s">
        <x:v>601</x:v>
      </x:c>
      <x:c r="E523" t="s">
        <x:v>635</x:v>
      </x:c>
      <x:c r="F523" t="s">
        <x:v>3</x:v>
      </x:c>
      <x:c r="G523" t="s">
        <x:v>52</x:v>
      </x:c>
      <x:c r="H523" t="s">
        <x:v>52</x:v>
      </x:c>
      <x:c r="I523"/>
      <x:c r="J523"/>
      <x:c r="K523"/>
      <x:c r="L523"/>
      <x:c r="M523">
        <x:f t="shared" si="8"/>
        <x:v>0</x:v>
      </x:c>
    </x:row>
    <x:row r="524">
      <x:c r="A524">
        <x:v>523</x:v>
      </x:c>
      <x:c r="B524" t="s">
        <x:v>36</x:v>
      </x:c>
      <x:c r="C524" t="s">
        <x:v>621</x:v>
      </x:c>
      <x:c r="D524" t="s">
        <x:v>601</x:v>
      </x:c>
      <x:c r="E524" t="s">
        <x:v>636</x:v>
      </x:c>
      <x:c r="F524" t="s">
        <x:v>3</x:v>
      </x:c>
      <x:c r="G524" t="s">
        <x:v>52</x:v>
      </x:c>
      <x:c r="H524" t="s">
        <x:v>52</x:v>
      </x:c>
      <x:c r="I524"/>
      <x:c r="J524"/>
      <x:c r="K524"/>
      <x:c r="L524"/>
      <x:c r="M524">
        <x:f t="shared" si="8"/>
        <x:v>0</x:v>
      </x:c>
    </x:row>
    <x:row r="525">
      <x:c r="A525">
        <x:v>524</x:v>
      </x:c>
      <x:c r="B525" t="s">
        <x:v>36</x:v>
      </x:c>
      <x:c r="C525" t="s">
        <x:v>621</x:v>
      </x:c>
      <x:c r="D525" t="s">
        <x:v>601</x:v>
      </x:c>
      <x:c r="E525" t="s">
        <x:v>637</x:v>
      </x:c>
      <x:c r="F525" t="s">
        <x:v>3</x:v>
      </x:c>
      <x:c r="G525" t="s">
        <x:v>52</x:v>
      </x:c>
      <x:c r="H525" t="s">
        <x:v>52</x:v>
      </x:c>
      <x:c r="I525"/>
      <x:c r="J525"/>
      <x:c r="K525"/>
      <x:c r="L525"/>
      <x:c r="M525">
        <x:f t="shared" si="8"/>
        <x:v>0</x:v>
      </x:c>
    </x:row>
    <x:row r="526">
      <x:c r="A526">
        <x:v>525</x:v>
      </x:c>
      <x:c r="B526" t="s">
        <x:v>36</x:v>
      </x:c>
      <x:c r="C526" t="s">
        <x:v>621</x:v>
      </x:c>
      <x:c r="D526" t="s">
        <x:v>601</x:v>
      </x:c>
      <x:c r="E526" t="s">
        <x:v>638</x:v>
      </x:c>
      <x:c r="F526" t="s">
        <x:v>3</x:v>
      </x:c>
      <x:c r="G526" t="s">
        <x:v>52</x:v>
      </x:c>
      <x:c r="H526" t="s">
        <x:v>52</x:v>
      </x:c>
      <x:c r="I526"/>
      <x:c r="J526"/>
      <x:c r="K526"/>
      <x:c r="L526"/>
      <x:c r="M526">
        <x:f t="shared" si="8"/>
        <x:v>0</x:v>
      </x:c>
    </x:row>
    <x:row r="527">
      <x:c r="A527">
        <x:v>526</x:v>
      </x:c>
      <x:c r="B527" t="s">
        <x:v>36</x:v>
      </x:c>
      <x:c r="C527" t="s">
        <x:v>621</x:v>
      </x:c>
      <x:c r="D527" t="s">
        <x:v>601</x:v>
      </x:c>
      <x:c r="E527" t="s">
        <x:v>639</x:v>
      </x:c>
      <x:c r="F527" t="s">
        <x:v>3</x:v>
      </x:c>
      <x:c r="G527" t="s">
        <x:v>52</x:v>
      </x:c>
      <x:c r="H527" t="s">
        <x:v>52</x:v>
      </x:c>
      <x:c r="I527"/>
      <x:c r="J527"/>
      <x:c r="K527"/>
      <x:c r="L527"/>
      <x:c r="M527">
        <x:f t="shared" si="8"/>
        <x:v>0</x:v>
      </x:c>
    </x:row>
    <x:row r="528">
      <x:c r="A528">
        <x:v>527</x:v>
      </x:c>
      <x:c r="B528" t="s">
        <x:v>37</x:v>
      </x:c>
      <x:c r="C528" t="s">
        <x:v>640</x:v>
      </x:c>
      <x:c r="D528" t="s">
        <x:v>601</x:v>
      </x:c>
      <x:c r="E528" t="s">
        <x:v>641</x:v>
      </x:c>
      <x:c r="F528" t="s">
        <x:v>3</x:v>
      </x:c>
      <x:c r="G528" t="s">
        <x:v>52</x:v>
      </x:c>
      <x:c r="H528" t="s">
        <x:v>52</x:v>
      </x:c>
      <x:c r="I528"/>
      <x:c r="J528"/>
      <x:c r="K528"/>
      <x:c r="L528"/>
      <x:c r="M528">
        <x:f t="shared" si="8"/>
        <x:v>0</x:v>
      </x:c>
    </x:row>
    <x:row r="529">
      <x:c r="A529">
        <x:v>528</x:v>
      </x:c>
      <x:c r="B529" t="s">
        <x:v>37</x:v>
      </x:c>
      <x:c r="C529" t="s">
        <x:v>640</x:v>
      </x:c>
      <x:c r="D529" t="s">
        <x:v>601</x:v>
      </x:c>
      <x:c r="E529" t="s">
        <x:v>642</x:v>
      </x:c>
      <x:c r="F529" t="s">
        <x:v>3</x:v>
      </x:c>
      <x:c r="G529" t="s">
        <x:v>52</x:v>
      </x:c>
      <x:c r="H529" t="s">
        <x:v>52</x:v>
      </x:c>
      <x:c r="I529"/>
      <x:c r="J529"/>
      <x:c r="K529"/>
      <x:c r="L529"/>
      <x:c r="M529">
        <x:f t="shared" si="8"/>
        <x:v>0</x:v>
      </x:c>
    </x:row>
    <x:row r="530">
      <x:c r="A530">
        <x:v>529</x:v>
      </x:c>
      <x:c r="B530" t="s">
        <x:v>37</x:v>
      </x:c>
      <x:c r="C530" t="s">
        <x:v>640</x:v>
      </x:c>
      <x:c r="D530" t="s">
        <x:v>601</x:v>
      </x:c>
      <x:c r="E530" t="s">
        <x:v>643</x:v>
      </x:c>
      <x:c r="F530" t="s">
        <x:v>3</x:v>
      </x:c>
      <x:c r="G530" t="s">
        <x:v>52</x:v>
      </x:c>
      <x:c r="H530" t="s">
        <x:v>52</x:v>
      </x:c>
      <x:c r="I530"/>
      <x:c r="J530"/>
      <x:c r="K530"/>
      <x:c r="L530"/>
      <x:c r="M530">
        <x:f t="shared" si="8"/>
        <x:v>0</x:v>
      </x:c>
    </x:row>
    <x:row r="531">
      <x:c r="A531">
        <x:v>530</x:v>
      </x:c>
      <x:c r="B531" t="s">
        <x:v>37</x:v>
      </x:c>
      <x:c r="C531" t="s">
        <x:v>640</x:v>
      </x:c>
      <x:c r="D531" t="s">
        <x:v>601</x:v>
      </x:c>
      <x:c r="E531" t="s">
        <x:v>644</x:v>
      </x:c>
      <x:c r="F531" t="s">
        <x:v>3</x:v>
      </x:c>
      <x:c r="G531" t="s">
        <x:v>52</x:v>
      </x:c>
      <x:c r="H531" t="s">
        <x:v>52</x:v>
      </x:c>
      <x:c r="I531"/>
      <x:c r="J531"/>
      <x:c r="K531"/>
      <x:c r="L531"/>
      <x:c r="M531">
        <x:f t="shared" si="8"/>
        <x:v>0</x:v>
      </x:c>
    </x:row>
    <x:row r="532">
      <x:c r="A532">
        <x:v>531</x:v>
      </x:c>
      <x:c r="B532" t="s">
        <x:v>37</x:v>
      </x:c>
      <x:c r="C532" t="s">
        <x:v>640</x:v>
      </x:c>
      <x:c r="D532" t="s">
        <x:v>601</x:v>
      </x:c>
      <x:c r="E532" t="s">
        <x:v>645</x:v>
      </x:c>
      <x:c r="F532" t="s">
        <x:v>3</x:v>
      </x:c>
      <x:c r="G532" t="s">
        <x:v>52</x:v>
      </x:c>
      <x:c r="H532" t="s">
        <x:v>52</x:v>
      </x:c>
      <x:c r="I532"/>
      <x:c r="J532"/>
      <x:c r="K532"/>
      <x:c r="L532"/>
      <x:c r="M532">
        <x:f t="shared" si="8"/>
        <x:v>0</x:v>
      </x:c>
    </x:row>
    <x:row r="533">
      <x:c r="A533">
        <x:v>532</x:v>
      </x:c>
      <x:c r="B533" t="s">
        <x:v>37</x:v>
      </x:c>
      <x:c r="C533" t="s">
        <x:v>640</x:v>
      </x:c>
      <x:c r="D533" t="s">
        <x:v>601</x:v>
      </x:c>
      <x:c r="E533" t="s">
        <x:v>646</x:v>
      </x:c>
      <x:c r="F533" t="s">
        <x:v>3</x:v>
      </x:c>
      <x:c r="G533" t="s">
        <x:v>52</x:v>
      </x:c>
      <x:c r="H533" t="s">
        <x:v>52</x:v>
      </x:c>
      <x:c r="I533"/>
      <x:c r="J533"/>
      <x:c r="K533"/>
      <x:c r="L533"/>
      <x:c r="M533">
        <x:f t="shared" si="8"/>
        <x:v>0</x:v>
      </x:c>
    </x:row>
    <x:row r="534">
      <x:c r="A534">
        <x:v>533</x:v>
      </x:c>
      <x:c r="B534" t="s">
        <x:v>37</x:v>
      </x:c>
      <x:c r="C534" t="s">
        <x:v>640</x:v>
      </x:c>
      <x:c r="D534" t="s">
        <x:v>601</x:v>
      </x:c>
      <x:c r="E534" t="s">
        <x:v>647</x:v>
      </x:c>
      <x:c r="F534" t="s">
        <x:v>3</x:v>
      </x:c>
      <x:c r="G534" t="s">
        <x:v>52</x:v>
      </x:c>
      <x:c r="H534" t="s">
        <x:v>52</x:v>
      </x:c>
      <x:c r="I534"/>
      <x:c r="J534"/>
      <x:c r="K534"/>
      <x:c r="L534"/>
      <x:c r="M534">
        <x:f t="shared" si="8"/>
        <x:v>0</x:v>
      </x:c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  <x:c r="M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  <x:c r="M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  <x:c r="M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  <x:c r="M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  <x:c r="M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  <x:c r="M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  <x:c r="M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  <x:c r="M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  <x:c r="M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  <x:c r="M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  <x:c r="M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  <x:c r="M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  <x:c r="M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  <x:c r="M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  <x:c r="M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  <x:c r="M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  <x:c r="M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  <x:c r="M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  <x:c r="M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  <x:c r="M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  <x:c r="M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  <x:c r="M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  <x:c r="M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  <x:c r="M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  <x:c r="M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  <x:c r="M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  <x:c r="M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  <x:c r="M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  <x:c r="M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  <x:c r="M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  <x:c r="M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  <x:c r="M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  <x:c r="M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  <x:c r="M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  <x:c r="M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  <x:c r="M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  <x:c r="M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  <x:c r="M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  <x:c r="M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  <x:c r="M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  <x:c r="M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  <x:c r="M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  <x:c r="M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  <x:c r="M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  <x:c r="M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  <x:c r="M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  <x:c r="M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  <x:c r="M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  <x:c r="M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  <x:c r="M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  <x:c r="M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  <x:c r="M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  <x:c r="M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  <x:c r="M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  <x:c r="M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  <x:c r="M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  <x:c r="M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  <x:c r="M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  <x:c r="M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  <x:c r="M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  <x:c r="M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  <x:c r="M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  <x:c r="M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  <x:c r="M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  <x:c r="M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  <x:c r="M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  <x:c r="M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  <x:c r="M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  <x:c r="M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  <x:c r="M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  <x:c r="M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  <x:c r="M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  <x:c r="M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  <x:c r="M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  <x:c r="M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  <x:c r="M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  <x:c r="M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  <x:c r="M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  <x:c r="M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  <x:c r="M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  <x:c r="M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  <x:c r="M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  <x:c r="M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  <x:c r="M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  <x:c r="M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  <x:c r="M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  <x:c r="M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  <x:c r="M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  <x:c r="M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  <x:c r="M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  <x:c r="M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  <x:c r="M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  <x:c r="M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  <x:c r="M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  <x:c r="M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  <x:c r="M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  <x:c r="M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  <x:c r="M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  <x:c r="M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  <x:c r="M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  <x:c r="M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  <x:c r="M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  <x:c r="M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  <x:c r="M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  <x:c r="M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  <x:c r="M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  <x:c r="M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  <x:c r="M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  <x:c r="M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  <x:c r="M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  <x:c r="M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  <x:c r="M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  <x:c r="M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  <x:c r="M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  <x:c r="M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  <x:c r="M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  <x:c r="M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  <x:c r="M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  <x:c r="M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  <x:c r="M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  <x:c r="M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  <x:c r="M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  <x:c r="M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  <x:c r="M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  <x:c r="M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  <x:c r="M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  <x:c r="M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  <x:c r="M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  <x:c r="M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  <x:c r="M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  <x:c r="M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  <x:c r="M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  <x:c r="M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  <x:c r="M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  <x:c r="M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  <x:c r="M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  <x:c r="M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  <x:c r="M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  <x:c r="M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  <x:c r="M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  <x:c r="M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  <x:c r="M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  <x:c r="M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  <x:c r="M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  <x:c r="M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  <x:c r="M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  <x:c r="M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  <x:c r="M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  <x:c r="M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  <x:c r="M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  <x:c r="M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  <x:c r="M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  <x:c r="M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  <x:c r="M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  <x:c r="M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  <x:c r="M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  <x:c r="M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  <x:c r="M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  <x:c r="M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  <x:c r="M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  <x:c r="M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  <x:c r="M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  <x:c r="M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  <x:c r="M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  <x:c r="M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  <x:c r="M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  <x:c r="M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  <x:c r="M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  <x:c r="M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  <x:c r="M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  <x:c r="M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  <x:c r="M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  <x:c r="M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  <x:c r="M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  <x:c r="M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  <x:c r="M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  <x:c r="M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  <x:c r="M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  <x:c r="M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  <x:c r="M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  <x:c r="M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  <x:c r="M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  <x:c r="M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  <x:c r="M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  <x:c r="M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  <x:c r="M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  <x:c r="M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  <x:c r="M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  <x:c r="M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  <x:c r="M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  <x:c r="M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  <x:c r="M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  <x:c r="M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  <x:c r="M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  <x:c r="M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  <x:c r="M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  <x:c r="M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  <x:c r="M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  <x:c r="M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  <x:c r="M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  <x:c r="M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  <x:c r="M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  <x:c r="M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  <x:c r="M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  <x:c r="M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  <x:c r="M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  <x:c r="M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  <x:c r="M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  <x:c r="M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  <x:c r="M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  <x:c r="M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  <x:c r="M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  <x:c r="M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  <x:c r="M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  <x:c r="M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  <x:c r="M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  <x:c r="M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  <x:c r="M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  <x:c r="M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  <x:c r="M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  <x:c r="M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  <x:c r="M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  <x:c r="M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  <x:c r="M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  <x:c r="M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  <x:c r="M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  <x:c r="M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  <x:c r="M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  <x:c r="M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  <x:c r="M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  <x:c r="M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  <x:c r="M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  <x:c r="M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  <x:c r="M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  <x:c r="M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  <x:c r="M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  <x:c r="M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  <x:c r="M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  <x:c r="M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  <x:c r="M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  <x:c r="M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  <x:c r="M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  <x:c r="M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  <x:c r="M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  <x:c r="M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  <x:c r="M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  <x:c r="M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  <x:c r="M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  <x:c r="M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  <x:c r="M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  <x:c r="M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  <x:c r="M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  <x:c r="M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  <x:c r="M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  <x:c r="M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  <x:c r="M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  <x:c r="M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  <x:c r="M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  <x:c r="M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  <x:c r="M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  <x:c r="M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  <x:c r="M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  <x:c r="M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  <x:c r="M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  <x:c r="M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  <x:c r="M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  <x:c r="M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  <x:c r="M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  <x:c r="M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  <x:c r="M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  <x:c r="M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  <x:c r="M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  <x:c r="M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  <x:c r="M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  <x:c r="M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  <x:c r="M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  <x:c r="M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  <x:c r="M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  <x:c r="M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  <x:c r="M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  <x:c r="M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  <x:c r="M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  <x:c r="M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  <x:c r="M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  <x:c r="M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  <x:c r="M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  <x:c r="M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  <x:c r="M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  <x:c r="M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  <x:c r="M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  <x:c r="M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  <x:c r="M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  <x:c r="M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  <x:c r="M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  <x:c r="M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  <x:c r="M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  <x:c r="M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  <x:c r="M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  <x:c r="M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  <x:c r="M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  <x:c r="M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  <x:c r="M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  <x:c r="M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  <x:c r="M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  <x:c r="M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  <x:c r="M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  <x:c r="M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  <x:c r="M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  <x:c r="M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  <x:c r="M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  <x:c r="M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  <x:c r="M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  <x:c r="M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  <x:c r="M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  <x:c r="M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  <x:c r="M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  <x:c r="M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  <x:c r="M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  <x:c r="M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  <x:c r="M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  <x:c r="M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  <x:c r="M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  <x:c r="M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  <x:c r="M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  <x:c r="M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  <x:c r="M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  <x:c r="M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  <x:c r="M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  <x:c r="M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  <x:c r="M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  <x:c r="M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  <x:c r="M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  <x:c r="M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  <x:c r="M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  <x:c r="M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  <x:c r="M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  <x:c r="M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  <x:c r="M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  <x:c r="M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  <x:c r="M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  <x:c r="M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  <x:c r="M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  <x:c r="M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  <x:c r="M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  <x:c r="M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  <x:c r="M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  <x:c r="M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  <x:c r="M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  <x:c r="M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  <x:c r="M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  <x:c r="M950"/>
    </x:row>
  </x:sheetData>
  <x:conditionalFormatting sqref="F2:F496">
    <x:cfRule type="expression" dxfId="10" priority="1">
      <x:formula>F2="Hoàn thành"</x:formula>
    </x:cfRule>
    <x:cfRule type="expression" dxfId="9" priority="2">
      <x:formula>F2="Đang làm"</x:formula>
    </x:cfRule>
    <x:cfRule type="expression" dxfId="8" priority="3">
      <x:formula>F2="Bị chặn"</x:formula>
    </x:cfRule>
  </x:conditionalFormatting>
  <x:conditionalFormatting sqref="F136:F534">
    <x:cfRule type="expression" dxfId="7" priority="6">
      <x:formula>F136="Đang làm"</x:formula>
    </x:cfRule>
    <x:cfRule type="expression" dxfId="6" priority="7">
      <x:formula>F136="Hoàn thành"</x:formula>
    </x:cfRule>
    <x:cfRule type="expression" dxfId="5" priority="8">
      <x:formula>F136="Bị chặn"</x:formula>
    </x:cfRule>
    <x:cfRule type="expression" dxfId="4" priority="9">
      <x:formula>F136="Tạm hoãn"</x:formula>
    </x:cfRule>
  </x:conditionalFormatting>
  <x:conditionalFormatting sqref="G2:G496">
    <x:cfRule type="expression" dxfId="3" priority="4">
      <x:formula>G2="Cao"</x:formula>
    </x:cfRule>
  </x:conditionalFormatting>
  <x:conditionalFormatting sqref="G136:H534">
    <x:cfRule type="expression" dxfId="2" priority="10">
      <x:formula>G136="Cao"</x:formula>
    </x:cfRule>
    <x:cfRule type="expression" dxfId="1" priority="11">
      <x:formula>G136="Thấp"</x:formula>
    </x:cfRule>
  </x:conditionalFormatting>
  <x:conditionalFormatting sqref="H2:H496">
    <x:cfRule type="expression" dxfId="0" priority="5">
      <x:formula>H2="Cao"</x:formula>
    </x:cfRule>
  </x:conditionalFormatting>
  <x:dataValidations count="2">
    <x:dataValidation type="list" allowBlank="1" sqref="F2:F534">
      <x:formula1>"Chưa làm,Đang làm,Hoàn thành,Bị chặn,Tạm hoãn"</x:formula1>
    </x:dataValidation>
    <x:dataValidation type="list" allowBlank="1" sqref="G2:H534">
      <x:formula1>"Cao,Trung bình,Thấp"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a7a8663ebfe4066"/>
  </x:tableParts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45" customWidth="1"/>
    <x:col min="2" max="8" width="14" customWidth="1"/>
  </x:cols>
  <x:sheetData>
    <x:row r="1">
      <x:c r="A1" s="1" t="s">
        <x:v>22</x:v>
      </x:c>
      <x:c r="B1" s="1" t="s">
        <x:v>23</x:v>
      </x:c>
      <x:c r="C1" s="1" t="s">
        <x:v>3</x:v>
      </x:c>
      <x:c r="D1" s="1" t="s">
        <x:v>6</x:v>
      </x:c>
      <x:c r="E1" s="1" t="s">
        <x:v>9</x:v>
      </x:c>
      <x:c r="F1" s="1" t="s">
        <x:v>12</x:v>
      </x:c>
      <x:c r="G1" s="1" t="s">
        <x:v>24</x:v>
      </x:c>
      <x:c r="H1" s="1" t="s">
        <x:v>25</x:v>
      </x:c>
    </x:row>
    <x:row r="2">
      <x:c r="A2" t="s">
        <x:v>26</x:v>
      </x:c>
      <x:c r="B2" t="n">
        <x:f>COUNTIF(Checklist!$B:$B,A2)</x:f>
        <x:v>8</x:v>
      </x:c>
      <x:c r="C2" t="n">
        <x:f>COUNTIFS(Checklist!$B:$B,A2,Checklist!$F:$F,"Chưa làm")</x:f>
        <x:v>0</x:v>
      </x:c>
      <x:c r="D2" t="n">
        <x:f>COUNTIFS(Checklist!$B:$B,A2,Checklist!$F:$F,"Đang làm")</x:f>
        <x:v>0</x:v>
      </x:c>
      <x:c r="E2" t="n">
        <x:f>COUNTIFS(Checklist!$B:$B,A2,Checklist!$F:$F,"Hoàn thành")</x:f>
        <x:v>8</x:v>
      </x:c>
      <x:c r="F2" t="n">
        <x:f>COUNTIFS(Checklist!$B:$B,A2,Checklist!$F:$F,"Bị chặn")</x:f>
        <x:v>0</x:v>
      </x:c>
      <x:c r="G2" t="n">
        <x:f>COUNTIFS(Checklist!$B:$B,A2,Checklist!$F:$F,"Tạm hoãn")</x:f>
        <x:v>0</x:v>
      </x:c>
      <x:c r="H2" s="6" t="n">
        <x:f t="shared" ref="H2:H13" si="0">IFERROR(E2/B2,0)</x:f>
        <x:v>1</x:v>
      </x:c>
    </x:row>
    <x:row r="3">
      <x:c r="A3" t="s">
        <x:v>27</x:v>
      </x:c>
      <x:c r="B3" t="n">
        <x:f>COUNTIF(Checklist!$B:$B,A3)</x:f>
        <x:v>23</x:v>
      </x:c>
      <x:c r="C3" t="n">
        <x:f>COUNTIFS(Checklist!$B:$B,A3,Checklist!$F:$F,"Chưa làm")</x:f>
        <x:v>2</x:v>
      </x:c>
      <x:c r="D3" t="n">
        <x:f>COUNTIFS(Checklist!$B:$B,A3,Checklist!$F:$F,"Đang làm")</x:f>
        <x:v>0</x:v>
      </x:c>
      <x:c r="E3" t="n">
        <x:f>COUNTIFS(Checklist!$B:$B,A3,Checklist!$F:$F,"Hoàn thành")</x:f>
        <x:v>19</x:v>
      </x:c>
      <x:c r="F3" t="n">
        <x:f>COUNTIFS(Checklist!$B:$B,A3,Checklist!$F:$F,"Bị chặn")</x:f>
        <x:v>2</x:v>
      </x:c>
      <x:c r="G3" t="n">
        <x:f>COUNTIFS(Checklist!$B:$B,A3,Checklist!$F:$F,"Tạm hoãn")</x:f>
        <x:v>0</x:v>
      </x:c>
      <x:c r="H3" s="6" t="n">
        <x:f t="shared" si="0">IFERROR(E3/B3,0)</x:f>
        <x:v>0.8260869565217391</x:v>
      </x:c>
    </x:row>
    <x:row r="4">
      <x:c r="A4" t="s">
        <x:v>28</x:v>
      </x:c>
      <x:c r="B4" t="n">
        <x:f>COUNTIF(Checklist!$B:$B,A4)</x:f>
        <x:v>51</x:v>
      </x:c>
      <x:c r="C4" t="n">
        <x:f>COUNTIFS(Checklist!$B:$B,A4,Checklist!$F:$F,"Chưa làm")</x:f>
        <x:v>0</x:v>
      </x:c>
      <x:c r="D4" t="n">
        <x:f>COUNTIFS(Checklist!$B:$B,A4,Checklist!$F:$F,"Đang làm")</x:f>
        <x:v>0</x:v>
      </x:c>
      <x:c r="E4" t="n">
        <x:f>COUNTIFS(Checklist!$B:$B,A4,Checklist!$F:$F,"Hoàn thành")</x:f>
        <x:v>51</x:v>
      </x:c>
      <x:c r="F4" t="n">
        <x:f>COUNTIFS(Checklist!$B:$B,A4,Checklist!$F:$F,"Bị chặn")</x:f>
        <x:v>0</x:v>
      </x:c>
      <x:c r="G4" t="n">
        <x:f>COUNTIFS(Checklist!$B:$B,A4,Checklist!$F:$F,"Tạm hoãn")</x:f>
        <x:v>0</x:v>
      </x:c>
      <x:c r="H4" s="6" t="n">
        <x:f t="shared" si="0">IFERROR(E4/B4,0)</x:f>
        <x:v>1</x:v>
      </x:c>
    </x:row>
    <x:row r="5">
      <x:c r="A5" t="s">
        <x:v>29</x:v>
      </x:c>
      <x:c r="B5" t="n">
        <x:f>COUNTIF(Checklist!$B:$B,A5)</x:f>
        <x:v>153</x:v>
      </x:c>
      <x:c r="C5" t="n">
        <x:f>COUNTIFS(Checklist!$B:$B,A5,Checklist!$F:$F,"Chưa làm")</x:f>
        <x:v>67</x:v>
      </x:c>
      <x:c r="D5" t="n">
        <x:f>COUNTIFS(Checklist!$B:$B,A5,Checklist!$F:$F,"Đang làm")</x:f>
        <x:v>0</x:v>
      </x:c>
      <x:c r="E5" t="n">
        <x:f>COUNTIFS(Checklist!$B:$B,A5,Checklist!$F:$F,"Hoàn thành")</x:f>
        <x:v>86</x:v>
      </x:c>
      <x:c r="F5" t="n">
        <x:f>COUNTIFS(Checklist!$B:$B,A5,Checklist!$F:$F,"Bị chặn")</x:f>
        <x:v>0</x:v>
      </x:c>
      <x:c r="G5" t="n">
        <x:f>COUNTIFS(Checklist!$B:$B,A5,Checklist!$F:$F,"Tạm hoãn")</x:f>
        <x:v>0</x:v>
      </x:c>
      <x:c r="H5" s="6" t="n">
        <x:f t="shared" si="0">IFERROR(E5/B5,0)</x:f>
        <x:v>0.5620915032679739</x:v>
      </x:c>
    </x:row>
    <x:row r="6">
      <x:c r="A6" t="s">
        <x:v>30</x:v>
      </x:c>
      <x:c r="B6" t="n">
        <x:f>COUNTIF(Checklist!$B:$B,A6)</x:f>
        <x:v>17</x:v>
      </x:c>
      <x:c r="C6" t="n">
        <x:f>COUNTIFS(Checklist!$B:$B,A6,Checklist!$F:$F,"Chưa làm")</x:f>
        <x:v>17</x:v>
      </x:c>
      <x:c r="D6" t="n">
        <x:f>COUNTIFS(Checklist!$B:$B,A6,Checklist!$F:$F,"Đang làm")</x:f>
        <x:v>0</x:v>
      </x:c>
      <x:c r="E6" t="n">
        <x:f>COUNTIFS(Checklist!$B:$B,A6,Checklist!$F:$F,"Hoàn thành")</x:f>
        <x:v>0</x:v>
      </x:c>
      <x:c r="F6" t="n">
        <x:f>COUNTIFS(Checklist!$B:$B,A6,Checklist!$F:$F,"Bị chặn")</x:f>
        <x:v>0</x:v>
      </x:c>
      <x:c r="G6" t="n">
        <x:f>COUNTIFS(Checklist!$B:$B,A6,Checklist!$F:$F,"Tạm hoãn")</x:f>
        <x:v>0</x:v>
      </x:c>
      <x:c r="H6" s="6" t="n">
        <x:f t="shared" si="0">IFERROR(E6/B6,0)</x:f>
        <x:v>0</x:v>
      </x:c>
    </x:row>
    <x:row r="7">
      <x:c r="A7" t="s">
        <x:v>31</x:v>
      </x:c>
      <x:c r="B7" t="n">
        <x:f>COUNTIF(Checklist!$B:$B,A7)</x:f>
        <x:v>47</x:v>
      </x:c>
      <x:c r="C7" t="n">
        <x:f>COUNTIFS(Checklist!$B:$B,A7,Checklist!$F:$F,"Chưa làm")</x:f>
        <x:v>47</x:v>
      </x:c>
      <x:c r="D7" t="n">
        <x:f>COUNTIFS(Checklist!$B:$B,A7,Checklist!$F:$F,"Đang làm")</x:f>
        <x:v>0</x:v>
      </x:c>
      <x:c r="E7" t="n">
        <x:f>COUNTIFS(Checklist!$B:$B,A7,Checklist!$F:$F,"Hoàn thành")</x:f>
        <x:v>0</x:v>
      </x:c>
      <x:c r="F7" t="n">
        <x:f>COUNTIFS(Checklist!$B:$B,A7,Checklist!$F:$F,"Bị chặn")</x:f>
        <x:v>0</x:v>
      </x:c>
      <x:c r="G7" t="n">
        <x:f>COUNTIFS(Checklist!$B:$B,A7,Checklist!$F:$F,"Tạm hoãn")</x:f>
        <x:v>0</x:v>
      </x:c>
      <x:c r="H7" s="6" t="n">
        <x:f t="shared" si="0">IFERROR(E7/B7,0)</x:f>
        <x:v>0</x:v>
      </x:c>
    </x:row>
    <x:row r="8">
      <x:c r="A8" t="s">
        <x:v>32</x:v>
      </x:c>
      <x:c r="B8" t="n">
        <x:f>COUNTIF(Checklist!$B:$B,A8)</x:f>
        <x:v>101</x:v>
      </x:c>
      <x:c r="C8" t="n">
        <x:f>COUNTIFS(Checklist!$B:$B,A8,Checklist!$F:$F,"Chưa làm")</x:f>
        <x:v>101</x:v>
      </x:c>
      <x:c r="D8" t="n">
        <x:f>COUNTIFS(Checklist!$B:$B,A8,Checklist!$F:$F,"Đang làm")</x:f>
        <x:v>0</x:v>
      </x:c>
      <x:c r="E8" t="n">
        <x:f>COUNTIFS(Checklist!$B:$B,A8,Checklist!$F:$F,"Hoàn thành")</x:f>
        <x:v>0</x:v>
      </x:c>
      <x:c r="F8" t="n">
        <x:f>COUNTIFS(Checklist!$B:$B,A8,Checklist!$F:$F,"Bị chặn")</x:f>
        <x:v>0</x:v>
      </x:c>
      <x:c r="G8" t="n">
        <x:f>COUNTIFS(Checklist!$B:$B,A8,Checklist!$F:$F,"Tạm hoãn")</x:f>
        <x:v>0</x:v>
      </x:c>
      <x:c r="H8" s="6" t="n">
        <x:f t="shared" si="0">IFERROR(E8/B8,0)</x:f>
        <x:v>0</x:v>
      </x:c>
    </x:row>
    <x:row r="9">
      <x:c r="A9" t="s">
        <x:v>33</x:v>
      </x:c>
      <x:c r="B9" t="n">
        <x:f>COUNTIF(Checklist!$B:$B,A9)</x:f>
        <x:v>56</x:v>
      </x:c>
      <x:c r="C9" t="n">
        <x:f>COUNTIFS(Checklist!$B:$B,A9,Checklist!$F:$F,"Chưa làm")</x:f>
        <x:v>56</x:v>
      </x:c>
      <x:c r="D9" t="n">
        <x:f>COUNTIFS(Checklist!$B:$B,A9,Checklist!$F:$F,"Đang làm")</x:f>
        <x:v>0</x:v>
      </x:c>
      <x:c r="E9" t="n">
        <x:f>COUNTIFS(Checklist!$B:$B,A9,Checklist!$F:$F,"Hoàn thành")</x:f>
        <x:v>0</x:v>
      </x:c>
      <x:c r="F9" t="n">
        <x:f>COUNTIFS(Checklist!$B:$B,A9,Checklist!$F:$F,"Bị chặn")</x:f>
        <x:v>0</x:v>
      </x:c>
      <x:c r="G9" t="n">
        <x:f>COUNTIFS(Checklist!$B:$B,A9,Checklist!$F:$F,"Tạm hoãn")</x:f>
        <x:v>0</x:v>
      </x:c>
      <x:c r="H9" s="6" t="n">
        <x:f t="shared" si="0">IFERROR(E9/B9,0)</x:f>
        <x:v>0</x:v>
      </x:c>
    </x:row>
    <x:row r="10">
      <x:c r="A10" t="s">
        <x:v>34</x:v>
      </x:c>
      <x:c r="B10" t="n">
        <x:f>COUNTIF(Checklist!$B:$B,A10)</x:f>
        <x:v>32</x:v>
      </x:c>
      <x:c r="C10" t="n">
        <x:f>COUNTIFS(Checklist!$B:$B,A10,Checklist!$F:$F,"Chưa làm")</x:f>
        <x:v>32</x:v>
      </x:c>
      <x:c r="D10" t="n">
        <x:f>COUNTIFS(Checklist!$B:$B,A10,Checklist!$F:$F,"Đang làm")</x:f>
        <x:v>0</x:v>
      </x:c>
      <x:c r="E10" t="n">
        <x:f>COUNTIFS(Checklist!$B:$B,A10,Checklist!$F:$F,"Hoàn thành")</x:f>
        <x:v>0</x:v>
      </x:c>
      <x:c r="F10" t="n">
        <x:f>COUNTIFS(Checklist!$B:$B,A10,Checklist!$F:$F,"Bị chặn")</x:f>
        <x:v>0</x:v>
      </x:c>
      <x:c r="G10" t="n">
        <x:f>COUNTIFS(Checklist!$B:$B,A10,Checklist!$F:$F,"Tạm hoãn")</x:f>
        <x:v>0</x:v>
      </x:c>
      <x:c r="H10" s="6" t="n">
        <x:f t="shared" si="0">IFERROR(E10/B10,0)</x:f>
        <x:v>0</x:v>
      </x:c>
    </x:row>
    <x:row r="11">
      <x:c r="A11" t="s">
        <x:v>35</x:v>
      </x:c>
      <x:c r="B11" t="n">
        <x:f>COUNTIF(Checklist!$B:$B,A11)</x:f>
        <x:v>20</x:v>
      </x:c>
      <x:c r="C11" t="n">
        <x:f>COUNTIFS(Checklist!$B:$B,A11,Checklist!$F:$F,"Chưa làm")</x:f>
        <x:v>20</x:v>
      </x:c>
      <x:c r="D11" t="n">
        <x:f>COUNTIFS(Checklist!$B:$B,A11,Checklist!$F:$F,"Đang làm")</x:f>
        <x:v>0</x:v>
      </x:c>
      <x:c r="E11" t="n">
        <x:f>COUNTIFS(Checklist!$B:$B,A11,Checklist!$F:$F,"Hoàn thành")</x:f>
        <x:v>0</x:v>
      </x:c>
      <x:c r="F11" t="n">
        <x:f>COUNTIFS(Checklist!$B:$B,A11,Checklist!$F:$F,"Bị chặn")</x:f>
        <x:v>0</x:v>
      </x:c>
      <x:c r="G11" t="n">
        <x:f>COUNTIFS(Checklist!$B:$B,A11,Checklist!$F:$F,"Tạm hoãn")</x:f>
        <x:v>0</x:v>
      </x:c>
      <x:c r="H11" s="6" t="n">
        <x:f t="shared" si="0">IFERROR(E11/B11,0)</x:f>
        <x:v>0</x:v>
      </x:c>
    </x:row>
    <x:row r="12">
      <x:c r="A12" t="s">
        <x:v>36</x:v>
      </x:c>
      <x:c r="B12" t="n">
        <x:f>COUNTIF(Checklist!$B:$B,A12)</x:f>
        <x:v>18</x:v>
      </x:c>
      <x:c r="C12" t="n">
        <x:f>COUNTIFS(Checklist!$B:$B,A12,Checklist!$F:$F,"Chưa làm")</x:f>
        <x:v>18</x:v>
      </x:c>
      <x:c r="D12" t="n">
        <x:f>COUNTIFS(Checklist!$B:$B,A12,Checklist!$F:$F,"Đang làm")</x:f>
        <x:v>0</x:v>
      </x:c>
      <x:c r="E12" t="n">
        <x:f>COUNTIFS(Checklist!$B:$B,A12,Checklist!$F:$F,"Hoàn thành")</x:f>
        <x:v>0</x:v>
      </x:c>
      <x:c r="F12" t="n">
        <x:f>COUNTIFS(Checklist!$B:$B,A12,Checklist!$F:$F,"Bị chặn")</x:f>
        <x:v>0</x:v>
      </x:c>
      <x:c r="G12" t="n">
        <x:f>COUNTIFS(Checklist!$B:$B,A12,Checklist!$F:$F,"Tạm hoãn")</x:f>
        <x:v>0</x:v>
      </x:c>
      <x:c r="H12" s="6" t="n">
        <x:f t="shared" si="0">IFERROR(E12/B12,0)</x:f>
        <x:v>0</x:v>
      </x:c>
    </x:row>
    <x:row r="13">
      <x:c r="A13" t="s">
        <x:v>37</x:v>
      </x:c>
      <x:c r="B13" t="n">
        <x:f>COUNTIF(Checklist!$B:$B,A13)</x:f>
        <x:v>7</x:v>
      </x:c>
      <x:c r="C13" t="n">
        <x:f>COUNTIFS(Checklist!$B:$B,A13,Checklist!$F:$F,"Chưa làm")</x:f>
        <x:v>7</x:v>
      </x:c>
      <x:c r="D13" t="n">
        <x:f>COUNTIFS(Checklist!$B:$B,A13,Checklist!$F:$F,"Đang làm")</x:f>
        <x:v>0</x:v>
      </x:c>
      <x:c r="E13" t="n">
        <x:f>COUNTIFS(Checklist!$B:$B,A13,Checklist!$F:$F,"Hoàn thành")</x:f>
        <x:v>0</x:v>
      </x:c>
      <x:c r="F13" t="n">
        <x:f>COUNTIFS(Checklist!$B:$B,A13,Checklist!$F:$F,"Bị chặn")</x:f>
        <x:v>0</x:v>
      </x:c>
      <x:c r="G13" t="n">
        <x:f>COUNTIFS(Checklist!$B:$B,A13,Checklist!$F:$F,"Tạm hoãn")</x:f>
        <x:v>0</x:v>
      </x:c>
      <x:c r="H13" s="6" t="n">
        <x:f t="shared" si="0">IFERROR(E13/B13,0)</x:f>
        <x:v>0</x:v>
      </x:c>
    </x:row>
  </x:sheetData>
  <x:conditionalFormatting sqref="H2:H13">
    <x:cfRule type="dataBar" priority="1">
      <x:dataBar>
        <x:cfvo type="min"/>
        <x:cfvo type="max"/>
        <x:color rgb="FF2563EB"/>
      </x:dataBar>
    </x:cfRule>
    <x:cfRule type="dataBar" priority="2">
      <x:dataBar>
        <x:cfvo type="min"/>
        <x:cfvo type="max"/>
        <x:color rgb="FF2563EB"/>
      </x:dataBar>
    </x:cfRule>
    <x:cfRule type="dataBar" priority="3">
      <x:dataBar>
        <x:cfvo type="min"/>
        <x:cfvo type="max"/>
        <x:color rgb="FF2563EB"/>
      </x:dataBar>
    </x:cfRule>
    <x:cfRule type="dataBar" priority="4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{AD83FEA1-1E63-DAB2-4B99-051C2DBA3A1A}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4e323ceb459c402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AD83FEA1-1E63-DAB2-4B99-051C2DBA3A1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H2:H13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3.800000190734863"/>
  <x:cols>
    <x:col min="1" max="3" width="16" customWidth="1"/>
  </x:cols>
  <x:sheetData>
    <x:row r="1">
      <x:c r="A1" s="1" t="s">
        <x:v>42</x:v>
      </x:c>
      <x:c r="B1" s="1" t="s">
        <x:v>43</x:v>
      </x:c>
      <x:c r="C1" s="1" t="s">
        <x:v>44</x:v>
      </x:c>
    </x:row>
    <x:row r="2">
      <x:c r="A2" t="s">
        <x:v>3</x:v>
      </x:c>
      <x:c r="B2" t="s">
        <x:v>52</x:v>
      </x:c>
      <x:c r="C2" t="s">
        <x:v>52</x:v>
      </x:c>
    </x:row>
    <x:row r="3">
      <x:c r="A3" t="s">
        <x:v>6</x:v>
      </x:c>
      <x:c r="B3" t="s">
        <x:v>64</x:v>
      </x:c>
      <x:c r="C3" t="s">
        <x:v>64</x:v>
      </x:c>
    </x:row>
    <x:row r="4">
      <x:c r="A4" t="s">
        <x:v>9</x:v>
      </x:c>
      <x:c r="B4" t="s">
        <x:v>53</x:v>
      </x:c>
      <x:c r="C4" t="s">
        <x:v>53</x:v>
      </x:c>
    </x:row>
    <x:row r="5">
      <x:c r="A5" t="s">
        <x:v>12</x:v>
      </x:c>
    </x:row>
    <x:row r="6">
      <x:c r="A6" t="s">
        <x:v>24</x:v>
      </x:c>
    </x:row>
  </x:sheetData>
  <x:pageMargins left="0.7" right="0.7" top="0.75" bottom="0.75" header="0.3" footer="0.3"/>
</x:worksheet>
</file>