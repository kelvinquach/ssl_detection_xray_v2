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722D5090-6DDA-46AC-9235-E1EDB014D09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<sst xmlns="http://schemas.openxmlformats.org/spreadsheetml/2006/main" count="3554" uniqueCount="582">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</sst>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376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117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0.23636363636363636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115</v>
      </c>
      <c r="C15">
        <f>'Phase Summary'!C5</f>
        <v>76</v>
      </c>
      <c r="D15">
        <f>'Phase Summary'!D5</f>
        <v>0</v>
      </c>
      <c r="E15">
        <f>'Phase Summary'!E5</f>
        <v>39</v>
      </c>
      <c r="F15">
        <f>'Phase Summary'!F5</f>
        <v>0</v>
      </c>
      <c r="G15">
        <f>'Phase Summary'!G5</f>
        <v>0</v>
      </c>
      <c r="H15" s="6">
        <f>'Phase Summary'!H5</f>
        <v>0.33913043478260868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109" zoomScaleNormal="100" workbookViewId="0">
      <selection activeCell="E117" sqref="E117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9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9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9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9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9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9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9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9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9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9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9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9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9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9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9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9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9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9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9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9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9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9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9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9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9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9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9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9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9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9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1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9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1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9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1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9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1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9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1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9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1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9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1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9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1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9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1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9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1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9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1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9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1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9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1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9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1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9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1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9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1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9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1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9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1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9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1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9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1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9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1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9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1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9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1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76</v>
      </c>
      <c r="D5">
        <f>COUNTIFS(Checklist!$B:$B,A5,Checklist!$F:$F,"Đang làm")</f>
        <v>0</v>
      </c>
      <c r="E5">
        <f>COUNTIFS(Checklist!$B:$B,A5,Checklist!$F:$F,"Hoàn thành")</f>
        <v>39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0.33913043478260868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2026-07-14T08:06:06Z</dcterms:modified>
</cp:coreProperties>
</file>